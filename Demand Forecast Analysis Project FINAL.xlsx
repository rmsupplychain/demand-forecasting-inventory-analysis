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te\OneDrive\Desktop\CAREER STUFF\Supply Chain Projects\Demand Forecasting &amp; Inventory Analysis\demand forecasting project excel files\"/>
    </mc:Choice>
  </mc:AlternateContent>
  <xr:revisionPtr revIDLastSave="0" documentId="13_ncr:1_{1AE85B56-78CE-44FA-8EA5-D0F618C20F13}" xr6:coauthVersionLast="47" xr6:coauthVersionMax="47" xr10:uidLastSave="{00000000-0000-0000-0000-000000000000}"/>
  <bookViews>
    <workbookView xWindow="-120" yWindow="-120" windowWidth="29040" windowHeight="15720" xr2:uid="{8022312E-71CE-411B-BF44-EBC5D493AD12}"/>
  </bookViews>
  <sheets>
    <sheet name="Data" sheetId="1" r:id="rId1"/>
    <sheet name="Pivot Table" sheetId="2" r:id="rId2"/>
    <sheet name="Seasonality Chart" sheetId="10" r:id="rId3"/>
    <sheet name="Item 1 3 Month Moving Avg" sheetId="3" r:id="rId4"/>
    <sheet name="Item 1 Exponential Smoothing" sheetId="11" r:id="rId5"/>
    <sheet name="Item 2" sheetId="4" r:id="rId6"/>
    <sheet name="Item 3" sheetId="5" r:id="rId7"/>
    <sheet name="Item 4" sheetId="6" r:id="rId8"/>
    <sheet name="Item 5" sheetId="7" r:id="rId9"/>
    <sheet name="Summary" sheetId="8" r:id="rId10"/>
    <sheet name="Dashboard" sheetId="9" r:id="rId11"/>
  </sheets>
  <definedNames>
    <definedName name="_xlnm._FilterDatabase" localSheetId="0" hidden="1">Data!$A$1:$D$9131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5" i="9" l="1"/>
  <c r="C34" i="9"/>
  <c r="J2" i="11"/>
  <c r="K2" i="11"/>
  <c r="I4" i="11"/>
  <c r="I3" i="11"/>
  <c r="I2" i="11"/>
  <c r="F2" i="11"/>
  <c r="C62" i="11"/>
  <c r="C61" i="11"/>
  <c r="D61" i="11" s="1"/>
  <c r="D60" i="11"/>
  <c r="C60" i="11"/>
  <c r="C59" i="11"/>
  <c r="D59" i="11" s="1"/>
  <c r="C58" i="11"/>
  <c r="D58" i="11" s="1"/>
  <c r="D57" i="11"/>
  <c r="C57" i="11"/>
  <c r="C56" i="11"/>
  <c r="D56" i="11" s="1"/>
  <c r="C55" i="11"/>
  <c r="D55" i="11" s="1"/>
  <c r="D54" i="11"/>
  <c r="C54" i="11"/>
  <c r="D53" i="11"/>
  <c r="C53" i="11"/>
  <c r="D52" i="11"/>
  <c r="C52" i="11"/>
  <c r="D51" i="11"/>
  <c r="C51" i="11"/>
  <c r="D50" i="11"/>
  <c r="C50" i="11"/>
  <c r="D49" i="11"/>
  <c r="C49" i="11"/>
  <c r="D48" i="11"/>
  <c r="C48" i="11"/>
  <c r="D47" i="11"/>
  <c r="C47" i="11"/>
  <c r="D46" i="11"/>
  <c r="C46" i="11"/>
  <c r="D45" i="11"/>
  <c r="C45" i="11"/>
  <c r="D44" i="11"/>
  <c r="C44" i="11"/>
  <c r="D43" i="11"/>
  <c r="C43" i="11"/>
  <c r="D42" i="11"/>
  <c r="C42" i="11"/>
  <c r="D41" i="11"/>
  <c r="C41" i="11"/>
  <c r="D40" i="11"/>
  <c r="C40" i="11"/>
  <c r="D39" i="11"/>
  <c r="C39" i="11"/>
  <c r="D38" i="11"/>
  <c r="C38" i="11"/>
  <c r="D37" i="11"/>
  <c r="C37" i="11"/>
  <c r="D36" i="11"/>
  <c r="C36" i="11"/>
  <c r="D35" i="11"/>
  <c r="C35" i="1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C14" i="11"/>
  <c r="D14" i="11" s="1"/>
  <c r="C13" i="11"/>
  <c r="D13" i="11" s="1"/>
  <c r="C12" i="11"/>
  <c r="D12" i="11" s="1"/>
  <c r="D11" i="11"/>
  <c r="C11" i="11"/>
  <c r="D10" i="11"/>
  <c r="C10" i="11"/>
  <c r="D9" i="11"/>
  <c r="C9" i="11"/>
  <c r="C8" i="11"/>
  <c r="D8" i="11" s="1"/>
  <c r="C7" i="11"/>
  <c r="D7" i="11" s="1"/>
  <c r="C6" i="11"/>
  <c r="D6" i="11" s="1"/>
  <c r="E5" i="11"/>
  <c r="E11" i="11" s="1"/>
  <c r="E14" i="11" s="1"/>
  <c r="D5" i="11"/>
  <c r="C5" i="11"/>
  <c r="B31" i="9"/>
  <c r="B30" i="9"/>
  <c r="B29" i="9"/>
  <c r="B28" i="9"/>
  <c r="B27" i="9"/>
  <c r="E11" i="7"/>
  <c r="E14" i="7" s="1"/>
  <c r="F6" i="8" s="1"/>
  <c r="E11" i="6"/>
  <c r="E14" i="6" s="1"/>
  <c r="F5" i="8" s="1"/>
  <c r="E11" i="5"/>
  <c r="E14" i="5" s="1"/>
  <c r="F4" i="8" s="1"/>
  <c r="E11" i="4"/>
  <c r="E14" i="4" s="1"/>
  <c r="F3" i="8" s="1"/>
  <c r="E14" i="3"/>
  <c r="E11" i="3"/>
  <c r="E2" i="8" s="1"/>
  <c r="E6" i="8"/>
  <c r="E5" i="8"/>
  <c r="E4" i="8"/>
  <c r="E3" i="8"/>
  <c r="D6" i="8"/>
  <c r="D5" i="8"/>
  <c r="D4" i="8"/>
  <c r="D3" i="8"/>
  <c r="D2" i="8"/>
  <c r="C6" i="8"/>
  <c r="C5" i="8"/>
  <c r="C4" i="8"/>
  <c r="C3" i="8"/>
  <c r="C2" i="8"/>
  <c r="B6" i="8"/>
  <c r="B5" i="8"/>
  <c r="B4" i="8"/>
  <c r="B3" i="8"/>
  <c r="B2" i="8"/>
  <c r="E5" i="7"/>
  <c r="E5" i="6"/>
  <c r="E5" i="5"/>
  <c r="E8" i="4"/>
  <c r="E5" i="4"/>
  <c r="E8" i="3"/>
  <c r="E5" i="3"/>
  <c r="E2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5" i="7"/>
  <c r="D61" i="5"/>
  <c r="C62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5" i="7"/>
  <c r="E2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D5" i="6"/>
  <c r="C5" i="6"/>
  <c r="E2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5" i="5"/>
  <c r="E2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5" i="4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C5" i="3"/>
  <c r="D5" i="3" s="1"/>
  <c r="F2" i="1"/>
  <c r="H4" i="11"/>
  <c r="H3" i="11"/>
  <c r="H2" i="11"/>
  <c r="E2" i="11" l="1"/>
  <c r="E8" i="11"/>
  <c r="F2" i="8"/>
  <c r="E8" i="7"/>
  <c r="E8" i="6"/>
  <c r="E8" i="5"/>
  <c r="E2" i="3"/>
</calcChain>
</file>

<file path=xl/sharedStrings.xml><?xml version="1.0" encoding="utf-8"?>
<sst xmlns="http://schemas.openxmlformats.org/spreadsheetml/2006/main" count="175" uniqueCount="50">
  <si>
    <t>date</t>
  </si>
  <si>
    <t>store</t>
  </si>
  <si>
    <t>item</t>
  </si>
  <si>
    <t>sales</t>
  </si>
  <si>
    <t>2013</t>
  </si>
  <si>
    <t>2014</t>
  </si>
  <si>
    <t>2015</t>
  </si>
  <si>
    <t>2016</t>
  </si>
  <si>
    <t>2017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</si>
  <si>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</si>
  <si>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</si>
  <si>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</si>
  <si>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</si>
  <si>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</si>
  <si>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</si>
  <si>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</si>
  <si>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</si>
  <si>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</si>
  <si>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</si>
  <si>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</si>
  <si>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</si>
  <si>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</si>
  <si>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Items</t>
  </si>
  <si>
    <t>Years &amp; Months</t>
  </si>
  <si>
    <t>Month</t>
  </si>
  <si>
    <t>Actual Sales</t>
  </si>
  <si>
    <t>3 Month Moving Average</t>
  </si>
  <si>
    <t>%Error</t>
  </si>
  <si>
    <t>Mean Absolute Percentage Error</t>
  </si>
  <si>
    <t>Demand Variability</t>
  </si>
  <si>
    <t>Safety Stock</t>
  </si>
  <si>
    <t>Reorder Point</t>
  </si>
  <si>
    <t>Coefficient of Variation</t>
  </si>
  <si>
    <t>Item</t>
  </si>
  <si>
    <t>Average Monthly Demand</t>
  </si>
  <si>
    <t>MAPE</t>
  </si>
  <si>
    <t>Missing Data Check</t>
  </si>
  <si>
    <t>Dates for Exponential Smoothing</t>
  </si>
  <si>
    <t>October</t>
  </si>
  <si>
    <t>November</t>
  </si>
  <si>
    <t>December</t>
  </si>
  <si>
    <t>ETS MAPE</t>
  </si>
  <si>
    <t>ETS MAPE Average</t>
  </si>
  <si>
    <t>Original MAPE for OCT, NOV, DEC</t>
  </si>
  <si>
    <t>Item 1</t>
  </si>
  <si>
    <t>Method</t>
  </si>
  <si>
    <t>Accuracy</t>
  </si>
  <si>
    <t>Exponential Smoothing</t>
  </si>
  <si>
    <t>Months being Forecast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</si>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</sst>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2" borderId="1" xfId="0" applyFill="1" applyBorder="1"/>
    <xf numFmtId="0" fontId="1" fillId="3" borderId="2" xfId="0" applyFont="1" applyFill="1" applyBorder="1"/>
    <xf numFmtId="0" fontId="0" fillId="2" borderId="0" xfId="0" applyFill="1"/>
    <xf numFmtId="0" fontId="1" fillId="3" borderId="2" xfId="0" applyFont="1" applyFill="1" applyBorder="1" applyAlignment="1">
      <alignment horizontal="left"/>
    </xf>
    <xf numFmtId="2" fontId="1" fillId="3" borderId="2" xfId="0" applyNumberFormat="1" applyFont="1" applyFill="1" applyBorder="1"/>
    <xf numFmtId="2" fontId="0" fillId="2" borderId="0" xfId="0" applyNumberFormat="1" applyFill="1"/>
    <xf numFmtId="10" fontId="0" fillId="2" borderId="0" xfId="0" applyNumberFormat="1" applyFill="1"/>
    <xf numFmtId="2" fontId="0" fillId="2" borderId="1" xfId="0" applyNumberFormat="1" applyFill="1" applyBorder="1"/>
    <xf numFmtId="10" fontId="0" fillId="2" borderId="1" xfId="0" applyNumberFormat="1" applyFill="1" applyBorder="1"/>
  </cellXfs>
  <cellStyles count="1">
    <cellStyle name="Normal" xfId="0" builtinId="0"/>
  </cellStyles>
  <dxfs count="7"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[Demand Forecast Analysis Project FINAL.xlsx]Pivot Table!PivotTable1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Table'!$A$3:$A$67</c:f>
              <c:multiLvlStrCache>
                <c:ptCount val="6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</c:lvl>
              </c:multiLvlStrCache>
            </c:multiLvlStrRef>
          </c:cat>
          <c:val>
            <c:numRef>
              <c:f>'Pivot Table'!$B$3:$B$67</c:f>
              <c:numCache>
                <c:formatCode>General</c:formatCode>
                <c:ptCount val="60"/>
                <c:pt idx="0">
                  <c:v>328</c:v>
                </c:pt>
                <c:pt idx="1">
                  <c:v>322</c:v>
                </c:pt>
                <c:pt idx="2">
                  <c:v>477</c:v>
                </c:pt>
                <c:pt idx="3">
                  <c:v>522</c:v>
                </c:pt>
                <c:pt idx="4">
                  <c:v>531</c:v>
                </c:pt>
                <c:pt idx="5">
                  <c:v>627</c:v>
                </c:pt>
                <c:pt idx="6">
                  <c:v>661</c:v>
                </c:pt>
                <c:pt idx="7">
                  <c:v>594</c:v>
                </c:pt>
                <c:pt idx="8">
                  <c:v>519</c:v>
                </c:pt>
                <c:pt idx="9">
                  <c:v>484</c:v>
                </c:pt>
                <c:pt idx="10">
                  <c:v>572</c:v>
                </c:pt>
                <c:pt idx="11">
                  <c:v>388</c:v>
                </c:pt>
                <c:pt idx="12">
                  <c:v>435</c:v>
                </c:pt>
                <c:pt idx="13">
                  <c:v>405</c:v>
                </c:pt>
                <c:pt idx="14">
                  <c:v>549</c:v>
                </c:pt>
                <c:pt idx="15">
                  <c:v>573</c:v>
                </c:pt>
                <c:pt idx="16">
                  <c:v>651</c:v>
                </c:pt>
                <c:pt idx="17">
                  <c:v>710</c:v>
                </c:pt>
                <c:pt idx="18">
                  <c:v>746</c:v>
                </c:pt>
                <c:pt idx="19">
                  <c:v>671</c:v>
                </c:pt>
                <c:pt idx="20">
                  <c:v>566</c:v>
                </c:pt>
                <c:pt idx="21">
                  <c:v>555</c:v>
                </c:pt>
                <c:pt idx="22">
                  <c:v>619</c:v>
                </c:pt>
                <c:pt idx="23">
                  <c:v>409</c:v>
                </c:pt>
                <c:pt idx="24">
                  <c:v>428</c:v>
                </c:pt>
                <c:pt idx="25">
                  <c:v>399</c:v>
                </c:pt>
                <c:pt idx="26">
                  <c:v>552</c:v>
                </c:pt>
                <c:pt idx="27">
                  <c:v>652</c:v>
                </c:pt>
                <c:pt idx="28">
                  <c:v>711</c:v>
                </c:pt>
                <c:pt idx="29">
                  <c:v>748</c:v>
                </c:pt>
                <c:pt idx="30">
                  <c:v>842</c:v>
                </c:pt>
                <c:pt idx="31">
                  <c:v>706</c:v>
                </c:pt>
                <c:pt idx="32">
                  <c:v>678</c:v>
                </c:pt>
                <c:pt idx="33">
                  <c:v>647</c:v>
                </c:pt>
                <c:pt idx="34">
                  <c:v>684</c:v>
                </c:pt>
                <c:pt idx="35">
                  <c:v>460</c:v>
                </c:pt>
                <c:pt idx="36">
                  <c:v>449</c:v>
                </c:pt>
                <c:pt idx="37">
                  <c:v>450</c:v>
                </c:pt>
                <c:pt idx="38">
                  <c:v>589</c:v>
                </c:pt>
                <c:pt idx="39">
                  <c:v>694</c:v>
                </c:pt>
                <c:pt idx="40">
                  <c:v>782</c:v>
                </c:pt>
                <c:pt idx="41">
                  <c:v>790</c:v>
                </c:pt>
                <c:pt idx="42">
                  <c:v>903</c:v>
                </c:pt>
                <c:pt idx="43">
                  <c:v>727</c:v>
                </c:pt>
                <c:pt idx="44">
                  <c:v>709</c:v>
                </c:pt>
                <c:pt idx="45">
                  <c:v>699</c:v>
                </c:pt>
                <c:pt idx="46">
                  <c:v>662</c:v>
                </c:pt>
                <c:pt idx="47">
                  <c:v>496</c:v>
                </c:pt>
                <c:pt idx="48">
                  <c:v>485</c:v>
                </c:pt>
                <c:pt idx="49">
                  <c:v>487</c:v>
                </c:pt>
                <c:pt idx="50">
                  <c:v>561</c:v>
                </c:pt>
                <c:pt idx="51">
                  <c:v>677</c:v>
                </c:pt>
                <c:pt idx="52">
                  <c:v>773</c:v>
                </c:pt>
                <c:pt idx="53">
                  <c:v>850</c:v>
                </c:pt>
                <c:pt idx="54">
                  <c:v>873</c:v>
                </c:pt>
                <c:pt idx="55">
                  <c:v>794</c:v>
                </c:pt>
                <c:pt idx="56">
                  <c:v>736</c:v>
                </c:pt>
                <c:pt idx="57">
                  <c:v>660</c:v>
                </c:pt>
                <c:pt idx="58">
                  <c:v>668</c:v>
                </c:pt>
                <c:pt idx="59">
                  <c:v>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5F-4133-99BA-C5A372E3BCBB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Table'!$A$3:$A$67</c:f>
              <c:multiLvlStrCache>
                <c:ptCount val="6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</c:lvl>
              </c:multiLvlStrCache>
            </c:multiLvlStrRef>
          </c:cat>
          <c:val>
            <c:numRef>
              <c:f>'Pivot Table'!$C$3:$C$67</c:f>
              <c:numCache>
                <c:formatCode>General</c:formatCode>
                <c:ptCount val="60"/>
                <c:pt idx="0">
                  <c:v>911</c:v>
                </c:pt>
                <c:pt idx="1">
                  <c:v>873</c:v>
                </c:pt>
                <c:pt idx="2">
                  <c:v>1299</c:v>
                </c:pt>
                <c:pt idx="3">
                  <c:v>1316</c:v>
                </c:pt>
                <c:pt idx="4">
                  <c:v>1527</c:v>
                </c:pt>
                <c:pt idx="5">
                  <c:v>1643</c:v>
                </c:pt>
                <c:pt idx="6">
                  <c:v>1743</c:v>
                </c:pt>
                <c:pt idx="7">
                  <c:v>1591</c:v>
                </c:pt>
                <c:pt idx="8">
                  <c:v>1353</c:v>
                </c:pt>
                <c:pt idx="9">
                  <c:v>1330</c:v>
                </c:pt>
                <c:pt idx="10">
                  <c:v>1427</c:v>
                </c:pt>
                <c:pt idx="11">
                  <c:v>1023</c:v>
                </c:pt>
                <c:pt idx="12">
                  <c:v>1116</c:v>
                </c:pt>
                <c:pt idx="13">
                  <c:v>1135</c:v>
                </c:pt>
                <c:pt idx="14">
                  <c:v>1406</c:v>
                </c:pt>
                <c:pt idx="15">
                  <c:v>1645</c:v>
                </c:pt>
                <c:pt idx="16">
                  <c:v>1870</c:v>
                </c:pt>
                <c:pt idx="17">
                  <c:v>1849</c:v>
                </c:pt>
                <c:pt idx="18">
                  <c:v>2039</c:v>
                </c:pt>
                <c:pt idx="19">
                  <c:v>1823</c:v>
                </c:pt>
                <c:pt idx="20">
                  <c:v>1539</c:v>
                </c:pt>
                <c:pt idx="21">
                  <c:v>1506</c:v>
                </c:pt>
                <c:pt idx="22">
                  <c:v>1595</c:v>
                </c:pt>
                <c:pt idx="23">
                  <c:v>1211</c:v>
                </c:pt>
                <c:pt idx="24">
                  <c:v>1114</c:v>
                </c:pt>
                <c:pt idx="25">
                  <c:v>1157</c:v>
                </c:pt>
                <c:pt idx="26">
                  <c:v>1536</c:v>
                </c:pt>
                <c:pt idx="27">
                  <c:v>1700</c:v>
                </c:pt>
                <c:pt idx="28">
                  <c:v>1941</c:v>
                </c:pt>
                <c:pt idx="29">
                  <c:v>1828</c:v>
                </c:pt>
                <c:pt idx="30">
                  <c:v>1967</c:v>
                </c:pt>
                <c:pt idx="31">
                  <c:v>1915</c:v>
                </c:pt>
                <c:pt idx="32">
                  <c:v>1625</c:v>
                </c:pt>
                <c:pt idx="33">
                  <c:v>1622</c:v>
                </c:pt>
                <c:pt idx="34">
                  <c:v>1680</c:v>
                </c:pt>
                <c:pt idx="35">
                  <c:v>1227</c:v>
                </c:pt>
                <c:pt idx="36">
                  <c:v>1248</c:v>
                </c:pt>
                <c:pt idx="37">
                  <c:v>1270</c:v>
                </c:pt>
                <c:pt idx="38">
                  <c:v>1628</c:v>
                </c:pt>
                <c:pt idx="39">
                  <c:v>1791</c:v>
                </c:pt>
                <c:pt idx="40">
                  <c:v>2003</c:v>
                </c:pt>
                <c:pt idx="41">
                  <c:v>2062</c:v>
                </c:pt>
                <c:pt idx="42">
                  <c:v>2387</c:v>
                </c:pt>
                <c:pt idx="43">
                  <c:v>2016</c:v>
                </c:pt>
                <c:pt idx="44">
                  <c:v>1807</c:v>
                </c:pt>
                <c:pt idx="45">
                  <c:v>1806</c:v>
                </c:pt>
                <c:pt idx="46">
                  <c:v>1789</c:v>
                </c:pt>
                <c:pt idx="47">
                  <c:v>1338</c:v>
                </c:pt>
                <c:pt idx="48">
                  <c:v>1202</c:v>
                </c:pt>
                <c:pt idx="49">
                  <c:v>1196</c:v>
                </c:pt>
                <c:pt idx="50">
                  <c:v>1592</c:v>
                </c:pt>
                <c:pt idx="51">
                  <c:v>1951</c:v>
                </c:pt>
                <c:pt idx="52">
                  <c:v>2101</c:v>
                </c:pt>
                <c:pt idx="53">
                  <c:v>2214</c:v>
                </c:pt>
                <c:pt idx="54">
                  <c:v>2370</c:v>
                </c:pt>
                <c:pt idx="55">
                  <c:v>2089</c:v>
                </c:pt>
                <c:pt idx="56">
                  <c:v>1923</c:v>
                </c:pt>
                <c:pt idx="57">
                  <c:v>1748</c:v>
                </c:pt>
                <c:pt idx="58">
                  <c:v>1962</c:v>
                </c:pt>
                <c:pt idx="59">
                  <c:v>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B8-4312-8094-5E8C042AE0D1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Table'!$A$3:$A$67</c:f>
              <c:multiLvlStrCache>
                <c:ptCount val="6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</c:lvl>
              </c:multiLvlStrCache>
            </c:multiLvlStrRef>
          </c:cat>
          <c:val>
            <c:numRef>
              <c:f>'Pivot Table'!$D$3:$D$67</c:f>
              <c:numCache>
                <c:formatCode>General</c:formatCode>
                <c:ptCount val="60"/>
                <c:pt idx="0">
                  <c:v>547</c:v>
                </c:pt>
                <c:pt idx="1">
                  <c:v>597</c:v>
                </c:pt>
                <c:pt idx="2">
                  <c:v>789</c:v>
                </c:pt>
                <c:pt idx="3">
                  <c:v>853</c:v>
                </c:pt>
                <c:pt idx="4">
                  <c:v>993</c:v>
                </c:pt>
                <c:pt idx="5">
                  <c:v>996</c:v>
                </c:pt>
                <c:pt idx="6">
                  <c:v>1105</c:v>
                </c:pt>
                <c:pt idx="7">
                  <c:v>996</c:v>
                </c:pt>
                <c:pt idx="8">
                  <c:v>891</c:v>
                </c:pt>
                <c:pt idx="9">
                  <c:v>776</c:v>
                </c:pt>
                <c:pt idx="10">
                  <c:v>900</c:v>
                </c:pt>
                <c:pt idx="11">
                  <c:v>657</c:v>
                </c:pt>
                <c:pt idx="12">
                  <c:v>654</c:v>
                </c:pt>
                <c:pt idx="13">
                  <c:v>674</c:v>
                </c:pt>
                <c:pt idx="14">
                  <c:v>885</c:v>
                </c:pt>
                <c:pt idx="15">
                  <c:v>973</c:v>
                </c:pt>
                <c:pt idx="16">
                  <c:v>1168</c:v>
                </c:pt>
                <c:pt idx="17">
                  <c:v>1129</c:v>
                </c:pt>
                <c:pt idx="18">
                  <c:v>1204</c:v>
                </c:pt>
                <c:pt idx="19">
                  <c:v>1116</c:v>
                </c:pt>
                <c:pt idx="20">
                  <c:v>971</c:v>
                </c:pt>
                <c:pt idx="21">
                  <c:v>981</c:v>
                </c:pt>
                <c:pt idx="22">
                  <c:v>1020</c:v>
                </c:pt>
                <c:pt idx="23">
                  <c:v>729</c:v>
                </c:pt>
                <c:pt idx="24">
                  <c:v>719</c:v>
                </c:pt>
                <c:pt idx="25">
                  <c:v>670</c:v>
                </c:pt>
                <c:pt idx="26">
                  <c:v>908</c:v>
                </c:pt>
                <c:pt idx="27">
                  <c:v>1058</c:v>
                </c:pt>
                <c:pt idx="28">
                  <c:v>1236</c:v>
                </c:pt>
                <c:pt idx="29">
                  <c:v>1215</c:v>
                </c:pt>
                <c:pt idx="30">
                  <c:v>1325</c:v>
                </c:pt>
                <c:pt idx="31">
                  <c:v>1178</c:v>
                </c:pt>
                <c:pt idx="32">
                  <c:v>1112</c:v>
                </c:pt>
                <c:pt idx="33">
                  <c:v>1041</c:v>
                </c:pt>
                <c:pt idx="34">
                  <c:v>1059</c:v>
                </c:pt>
                <c:pt idx="35">
                  <c:v>750</c:v>
                </c:pt>
                <c:pt idx="36">
                  <c:v>795</c:v>
                </c:pt>
                <c:pt idx="37">
                  <c:v>791</c:v>
                </c:pt>
                <c:pt idx="38">
                  <c:v>1001</c:v>
                </c:pt>
                <c:pt idx="39">
                  <c:v>1113</c:v>
                </c:pt>
                <c:pt idx="40">
                  <c:v>1297</c:v>
                </c:pt>
                <c:pt idx="41">
                  <c:v>1276</c:v>
                </c:pt>
                <c:pt idx="42">
                  <c:v>1443</c:v>
                </c:pt>
                <c:pt idx="43">
                  <c:v>1197</c:v>
                </c:pt>
                <c:pt idx="44">
                  <c:v>1163</c:v>
                </c:pt>
                <c:pt idx="45">
                  <c:v>1076</c:v>
                </c:pt>
                <c:pt idx="46">
                  <c:v>1134</c:v>
                </c:pt>
                <c:pt idx="47">
                  <c:v>831</c:v>
                </c:pt>
                <c:pt idx="48">
                  <c:v>788</c:v>
                </c:pt>
                <c:pt idx="49">
                  <c:v>777</c:v>
                </c:pt>
                <c:pt idx="50">
                  <c:v>1023</c:v>
                </c:pt>
                <c:pt idx="51">
                  <c:v>1207</c:v>
                </c:pt>
                <c:pt idx="52">
                  <c:v>1387</c:v>
                </c:pt>
                <c:pt idx="53">
                  <c:v>1356</c:v>
                </c:pt>
                <c:pt idx="54">
                  <c:v>1501</c:v>
                </c:pt>
                <c:pt idx="55">
                  <c:v>1278</c:v>
                </c:pt>
                <c:pt idx="56">
                  <c:v>1200</c:v>
                </c:pt>
                <c:pt idx="57">
                  <c:v>1100</c:v>
                </c:pt>
                <c:pt idx="58">
                  <c:v>1156</c:v>
                </c:pt>
                <c:pt idx="59">
                  <c:v>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B8-4312-8094-5E8C042AE0D1}"/>
            </c:ext>
          </c:extLst>
        </c:ser>
        <c:ser>
          <c:idx val="3"/>
          <c:order val="3"/>
          <c:tx>
            <c:strRef>
              <c:f>'Pivot Table'!$E$1:$E$2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Table'!$A$3:$A$67</c:f>
              <c:multiLvlStrCache>
                <c:ptCount val="6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</c:lvl>
              </c:multiLvlStrCache>
            </c:multiLvlStrRef>
          </c:cat>
          <c:val>
            <c:numRef>
              <c:f>'Pivot Table'!$E$3:$E$67</c:f>
              <c:numCache>
                <c:formatCode>General</c:formatCode>
                <c:ptCount val="60"/>
                <c:pt idx="0">
                  <c:v>346</c:v>
                </c:pt>
                <c:pt idx="1">
                  <c:v>340</c:v>
                </c:pt>
                <c:pt idx="2">
                  <c:v>467</c:v>
                </c:pt>
                <c:pt idx="3">
                  <c:v>514</c:v>
                </c:pt>
                <c:pt idx="4">
                  <c:v>632</c:v>
                </c:pt>
                <c:pt idx="5">
                  <c:v>599</c:v>
                </c:pt>
                <c:pt idx="6">
                  <c:v>626</c:v>
                </c:pt>
                <c:pt idx="7">
                  <c:v>580</c:v>
                </c:pt>
                <c:pt idx="8">
                  <c:v>554</c:v>
                </c:pt>
                <c:pt idx="9">
                  <c:v>475</c:v>
                </c:pt>
                <c:pt idx="10">
                  <c:v>519</c:v>
                </c:pt>
                <c:pt idx="11">
                  <c:v>393</c:v>
                </c:pt>
                <c:pt idx="12">
                  <c:v>366</c:v>
                </c:pt>
                <c:pt idx="13">
                  <c:v>415</c:v>
                </c:pt>
                <c:pt idx="14">
                  <c:v>524</c:v>
                </c:pt>
                <c:pt idx="15">
                  <c:v>631</c:v>
                </c:pt>
                <c:pt idx="16">
                  <c:v>645</c:v>
                </c:pt>
                <c:pt idx="17">
                  <c:v>693</c:v>
                </c:pt>
                <c:pt idx="18">
                  <c:v>791</c:v>
                </c:pt>
                <c:pt idx="19">
                  <c:v>705</c:v>
                </c:pt>
                <c:pt idx="20">
                  <c:v>605</c:v>
                </c:pt>
                <c:pt idx="21">
                  <c:v>541</c:v>
                </c:pt>
                <c:pt idx="22">
                  <c:v>640</c:v>
                </c:pt>
                <c:pt idx="23">
                  <c:v>474</c:v>
                </c:pt>
                <c:pt idx="24">
                  <c:v>454</c:v>
                </c:pt>
                <c:pt idx="25">
                  <c:v>407</c:v>
                </c:pt>
                <c:pt idx="26">
                  <c:v>552</c:v>
                </c:pt>
                <c:pt idx="27">
                  <c:v>666</c:v>
                </c:pt>
                <c:pt idx="28">
                  <c:v>732</c:v>
                </c:pt>
                <c:pt idx="29">
                  <c:v>686</c:v>
                </c:pt>
                <c:pt idx="30">
                  <c:v>783</c:v>
                </c:pt>
                <c:pt idx="31">
                  <c:v>691</c:v>
                </c:pt>
                <c:pt idx="32">
                  <c:v>650</c:v>
                </c:pt>
                <c:pt idx="33">
                  <c:v>604</c:v>
                </c:pt>
                <c:pt idx="34">
                  <c:v>605</c:v>
                </c:pt>
                <c:pt idx="35">
                  <c:v>461</c:v>
                </c:pt>
                <c:pt idx="36">
                  <c:v>447</c:v>
                </c:pt>
                <c:pt idx="37">
                  <c:v>491</c:v>
                </c:pt>
                <c:pt idx="38">
                  <c:v>594</c:v>
                </c:pt>
                <c:pt idx="39">
                  <c:v>706</c:v>
                </c:pt>
                <c:pt idx="40">
                  <c:v>779</c:v>
                </c:pt>
                <c:pt idx="41">
                  <c:v>810</c:v>
                </c:pt>
                <c:pt idx="42">
                  <c:v>856</c:v>
                </c:pt>
                <c:pt idx="43">
                  <c:v>739</c:v>
                </c:pt>
                <c:pt idx="44">
                  <c:v>689</c:v>
                </c:pt>
                <c:pt idx="45">
                  <c:v>687</c:v>
                </c:pt>
                <c:pt idx="46">
                  <c:v>643</c:v>
                </c:pt>
                <c:pt idx="47">
                  <c:v>555</c:v>
                </c:pt>
                <c:pt idx="48">
                  <c:v>488</c:v>
                </c:pt>
                <c:pt idx="49">
                  <c:v>464</c:v>
                </c:pt>
                <c:pt idx="50">
                  <c:v>622</c:v>
                </c:pt>
                <c:pt idx="51">
                  <c:v>724</c:v>
                </c:pt>
                <c:pt idx="52">
                  <c:v>742</c:v>
                </c:pt>
                <c:pt idx="53">
                  <c:v>814</c:v>
                </c:pt>
                <c:pt idx="54">
                  <c:v>917</c:v>
                </c:pt>
                <c:pt idx="55">
                  <c:v>780</c:v>
                </c:pt>
                <c:pt idx="56">
                  <c:v>649</c:v>
                </c:pt>
                <c:pt idx="57">
                  <c:v>680</c:v>
                </c:pt>
                <c:pt idx="58">
                  <c:v>701</c:v>
                </c:pt>
                <c:pt idx="59">
                  <c:v>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B8-4312-8094-5E8C042AE0D1}"/>
            </c:ext>
          </c:extLst>
        </c:ser>
        <c:ser>
          <c:idx val="4"/>
          <c:order val="4"/>
          <c:tx>
            <c:strRef>
              <c:f>'Pivot Table'!$F$1:$F$2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Table'!$A$3:$A$67</c:f>
              <c:multiLvlStrCache>
                <c:ptCount val="6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  <c:pt idx="48">
                    <c:v>2017</c:v>
                  </c:pt>
                </c:lvl>
              </c:multiLvlStrCache>
            </c:multiLvlStrRef>
          </c:cat>
          <c:val>
            <c:numRef>
              <c:f>'Pivot Table'!$F$3:$F$67</c:f>
              <c:numCache>
                <c:formatCode>General</c:formatCode>
                <c:ptCount val="60"/>
                <c:pt idx="0">
                  <c:v>276</c:v>
                </c:pt>
                <c:pt idx="1">
                  <c:v>276</c:v>
                </c:pt>
                <c:pt idx="2">
                  <c:v>378</c:v>
                </c:pt>
                <c:pt idx="3">
                  <c:v>417</c:v>
                </c:pt>
                <c:pt idx="4">
                  <c:v>497</c:v>
                </c:pt>
                <c:pt idx="5">
                  <c:v>497</c:v>
                </c:pt>
                <c:pt idx="6">
                  <c:v>519</c:v>
                </c:pt>
                <c:pt idx="7">
                  <c:v>508</c:v>
                </c:pt>
                <c:pt idx="8">
                  <c:v>430</c:v>
                </c:pt>
                <c:pt idx="9">
                  <c:v>426</c:v>
                </c:pt>
                <c:pt idx="10">
                  <c:v>422</c:v>
                </c:pt>
                <c:pt idx="11">
                  <c:v>356</c:v>
                </c:pt>
                <c:pt idx="12">
                  <c:v>330</c:v>
                </c:pt>
                <c:pt idx="13">
                  <c:v>314</c:v>
                </c:pt>
                <c:pt idx="14">
                  <c:v>472</c:v>
                </c:pt>
                <c:pt idx="15">
                  <c:v>516</c:v>
                </c:pt>
                <c:pt idx="16">
                  <c:v>598</c:v>
                </c:pt>
                <c:pt idx="17">
                  <c:v>565</c:v>
                </c:pt>
                <c:pt idx="18">
                  <c:v>634</c:v>
                </c:pt>
                <c:pt idx="19">
                  <c:v>589</c:v>
                </c:pt>
                <c:pt idx="20">
                  <c:v>473</c:v>
                </c:pt>
                <c:pt idx="21">
                  <c:v>465</c:v>
                </c:pt>
                <c:pt idx="22">
                  <c:v>501</c:v>
                </c:pt>
                <c:pt idx="23">
                  <c:v>343</c:v>
                </c:pt>
                <c:pt idx="24">
                  <c:v>367</c:v>
                </c:pt>
                <c:pt idx="25">
                  <c:v>335</c:v>
                </c:pt>
                <c:pt idx="26">
                  <c:v>470</c:v>
                </c:pt>
                <c:pt idx="27">
                  <c:v>495</c:v>
                </c:pt>
                <c:pt idx="28">
                  <c:v>559</c:v>
                </c:pt>
                <c:pt idx="29">
                  <c:v>614</c:v>
                </c:pt>
                <c:pt idx="30">
                  <c:v>632</c:v>
                </c:pt>
                <c:pt idx="31">
                  <c:v>616</c:v>
                </c:pt>
                <c:pt idx="32">
                  <c:v>511</c:v>
                </c:pt>
                <c:pt idx="33">
                  <c:v>486</c:v>
                </c:pt>
                <c:pt idx="34">
                  <c:v>509</c:v>
                </c:pt>
                <c:pt idx="35">
                  <c:v>380</c:v>
                </c:pt>
                <c:pt idx="36">
                  <c:v>413</c:v>
                </c:pt>
                <c:pt idx="37">
                  <c:v>417</c:v>
                </c:pt>
                <c:pt idx="38">
                  <c:v>515</c:v>
                </c:pt>
                <c:pt idx="39">
                  <c:v>581</c:v>
                </c:pt>
                <c:pt idx="40">
                  <c:v>619</c:v>
                </c:pt>
                <c:pt idx="41">
                  <c:v>643</c:v>
                </c:pt>
                <c:pt idx="42">
                  <c:v>744</c:v>
                </c:pt>
                <c:pt idx="43">
                  <c:v>655</c:v>
                </c:pt>
                <c:pt idx="44">
                  <c:v>584</c:v>
                </c:pt>
                <c:pt idx="45">
                  <c:v>565</c:v>
                </c:pt>
                <c:pt idx="46">
                  <c:v>559</c:v>
                </c:pt>
                <c:pt idx="47">
                  <c:v>440</c:v>
                </c:pt>
                <c:pt idx="48">
                  <c:v>407</c:v>
                </c:pt>
                <c:pt idx="49">
                  <c:v>432</c:v>
                </c:pt>
                <c:pt idx="50">
                  <c:v>512</c:v>
                </c:pt>
                <c:pt idx="51">
                  <c:v>633</c:v>
                </c:pt>
                <c:pt idx="52">
                  <c:v>653</c:v>
                </c:pt>
                <c:pt idx="53">
                  <c:v>686</c:v>
                </c:pt>
                <c:pt idx="54">
                  <c:v>699</c:v>
                </c:pt>
                <c:pt idx="55">
                  <c:v>637</c:v>
                </c:pt>
                <c:pt idx="56">
                  <c:v>589</c:v>
                </c:pt>
                <c:pt idx="57">
                  <c:v>565</c:v>
                </c:pt>
                <c:pt idx="58">
                  <c:v>575</c:v>
                </c:pt>
                <c:pt idx="59">
                  <c:v>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B8-4312-8094-5E8C042AE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3214463"/>
        <c:axId val="1888619663"/>
      </c:lineChart>
      <c:catAx>
        <c:axId val="18832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19663"/>
        <c:crosses val="autoZero"/>
        <c:auto val="1"/>
        <c:lblAlgn val="ctr"/>
        <c:lblOffset val="100"/>
        <c:noMultiLvlLbl val="0"/>
      </c:catAx>
      <c:valAx>
        <c:axId val="188861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21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[Demand Forecast Analysis Project FINAL.xlsx]Seasonality Chart!PivotTable1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Seasonality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'Seasonality Chart'!$B$1:$B$3</c:f>
              <c:strCache>
                <c:ptCount val="1"/>
                <c:pt idx="0">
                  <c:v>1 - 2013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Chart'!$B$4:$B$15</c:f>
              <c:numCache>
                <c:formatCode>General</c:formatCode>
                <c:ptCount val="12"/>
                <c:pt idx="0">
                  <c:v>328</c:v>
                </c:pt>
                <c:pt idx="1">
                  <c:v>322</c:v>
                </c:pt>
                <c:pt idx="2">
                  <c:v>477</c:v>
                </c:pt>
                <c:pt idx="3">
                  <c:v>522</c:v>
                </c:pt>
                <c:pt idx="4">
                  <c:v>531</c:v>
                </c:pt>
                <c:pt idx="5">
                  <c:v>627</c:v>
                </c:pt>
                <c:pt idx="6">
                  <c:v>661</c:v>
                </c:pt>
                <c:pt idx="7">
                  <c:v>594</c:v>
                </c:pt>
                <c:pt idx="8">
                  <c:v>519</c:v>
                </c:pt>
                <c:pt idx="9">
                  <c:v>484</c:v>
                </c:pt>
                <c:pt idx="10">
                  <c:v>572</c:v>
                </c:pt>
                <c:pt idx="11">
                  <c:v>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05-4BCB-AC64-95CE5465D284}"/>
            </c:ext>
          </c:extLst>
        </c:ser>
        <c:ser>
          <c:idx val="1"/>
          <c:order val="1"/>
          <c:tx>
            <c:strRef>
              <c:f>'Seasonality Chart'!$C$1:$C$3</c:f>
              <c:strCache>
                <c:ptCount val="1"/>
                <c:pt idx="0">
                  <c:v>1 - 2014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Chart'!$C$4:$C$15</c:f>
              <c:numCache>
                <c:formatCode>General</c:formatCode>
                <c:ptCount val="12"/>
                <c:pt idx="0">
                  <c:v>435</c:v>
                </c:pt>
                <c:pt idx="1">
                  <c:v>405</c:v>
                </c:pt>
                <c:pt idx="2">
                  <c:v>549</c:v>
                </c:pt>
                <c:pt idx="3">
                  <c:v>573</c:v>
                </c:pt>
                <c:pt idx="4">
                  <c:v>651</c:v>
                </c:pt>
                <c:pt idx="5">
                  <c:v>710</c:v>
                </c:pt>
                <c:pt idx="6">
                  <c:v>746</c:v>
                </c:pt>
                <c:pt idx="7">
                  <c:v>671</c:v>
                </c:pt>
                <c:pt idx="8">
                  <c:v>566</c:v>
                </c:pt>
                <c:pt idx="9">
                  <c:v>555</c:v>
                </c:pt>
                <c:pt idx="10">
                  <c:v>619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05-4BCB-AC64-95CE5465D284}"/>
            </c:ext>
          </c:extLst>
        </c:ser>
        <c:ser>
          <c:idx val="2"/>
          <c:order val="2"/>
          <c:tx>
            <c:strRef>
              <c:f>'Seasonality Chart'!$D$1:$D$3</c:f>
              <c:strCache>
                <c:ptCount val="1"/>
                <c:pt idx="0">
                  <c:v>1 - 2015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Chart'!$D$4:$D$15</c:f>
              <c:numCache>
                <c:formatCode>General</c:formatCode>
                <c:ptCount val="12"/>
                <c:pt idx="0">
                  <c:v>428</c:v>
                </c:pt>
                <c:pt idx="1">
                  <c:v>399</c:v>
                </c:pt>
                <c:pt idx="2">
                  <c:v>552</c:v>
                </c:pt>
                <c:pt idx="3">
                  <c:v>652</c:v>
                </c:pt>
                <c:pt idx="4">
                  <c:v>711</c:v>
                </c:pt>
                <c:pt idx="5">
                  <c:v>748</c:v>
                </c:pt>
                <c:pt idx="6">
                  <c:v>842</c:v>
                </c:pt>
                <c:pt idx="7">
                  <c:v>706</c:v>
                </c:pt>
                <c:pt idx="8">
                  <c:v>678</c:v>
                </c:pt>
                <c:pt idx="9">
                  <c:v>647</c:v>
                </c:pt>
                <c:pt idx="10">
                  <c:v>684</c:v>
                </c:pt>
                <c:pt idx="11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05-4BCB-AC64-95CE5465D284}"/>
            </c:ext>
          </c:extLst>
        </c:ser>
        <c:ser>
          <c:idx val="3"/>
          <c:order val="3"/>
          <c:tx>
            <c:strRef>
              <c:f>'Seasonality Chart'!$E$1:$E$3</c:f>
              <c:strCache>
                <c:ptCount val="1"/>
                <c:pt idx="0">
                  <c:v>1 - 2016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Chart'!$E$4:$E$15</c:f>
              <c:numCache>
                <c:formatCode>General</c:formatCode>
                <c:ptCount val="12"/>
                <c:pt idx="0">
                  <c:v>449</c:v>
                </c:pt>
                <c:pt idx="1">
                  <c:v>450</c:v>
                </c:pt>
                <c:pt idx="2">
                  <c:v>589</c:v>
                </c:pt>
                <c:pt idx="3">
                  <c:v>694</c:v>
                </c:pt>
                <c:pt idx="4">
                  <c:v>782</c:v>
                </c:pt>
                <c:pt idx="5">
                  <c:v>790</c:v>
                </c:pt>
                <c:pt idx="6">
                  <c:v>903</c:v>
                </c:pt>
                <c:pt idx="7">
                  <c:v>727</c:v>
                </c:pt>
                <c:pt idx="8">
                  <c:v>709</c:v>
                </c:pt>
                <c:pt idx="9">
                  <c:v>699</c:v>
                </c:pt>
                <c:pt idx="10">
                  <c:v>662</c:v>
                </c:pt>
                <c:pt idx="11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05-4BCB-AC64-95CE5465D284}"/>
            </c:ext>
          </c:extLst>
        </c:ser>
        <c:ser>
          <c:idx val="4"/>
          <c:order val="4"/>
          <c:tx>
            <c:strRef>
              <c:f>'Seasonality Chart'!$F$1:$F$3</c:f>
              <c:strCache>
                <c:ptCount val="1"/>
                <c:pt idx="0">
                  <c:v>1 - 2017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Chart'!$F$4:$F$15</c:f>
              <c:numCache>
                <c:formatCode>General</c:formatCode>
                <c:ptCount val="12"/>
                <c:pt idx="0">
                  <c:v>485</c:v>
                </c:pt>
                <c:pt idx="1">
                  <c:v>487</c:v>
                </c:pt>
                <c:pt idx="2">
                  <c:v>561</c:v>
                </c:pt>
                <c:pt idx="3">
                  <c:v>677</c:v>
                </c:pt>
                <c:pt idx="4">
                  <c:v>773</c:v>
                </c:pt>
                <c:pt idx="5">
                  <c:v>850</c:v>
                </c:pt>
                <c:pt idx="6">
                  <c:v>873</c:v>
                </c:pt>
                <c:pt idx="7">
                  <c:v>794</c:v>
                </c:pt>
                <c:pt idx="8">
                  <c:v>736</c:v>
                </c:pt>
                <c:pt idx="9">
                  <c:v>660</c:v>
                </c:pt>
                <c:pt idx="10">
                  <c:v>668</c:v>
                </c:pt>
                <c:pt idx="11">
                  <c:v>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05-4BCB-AC64-95CE5465D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440191"/>
        <c:axId val="1697891631"/>
      </c:lineChart>
      <c:catAx>
        <c:axId val="172644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91631"/>
        <c:crosses val="autoZero"/>
        <c:auto val="1"/>
        <c:lblAlgn val="ctr"/>
        <c:lblOffset val="100"/>
        <c:noMultiLvlLbl val="0"/>
      </c:catAx>
      <c:valAx>
        <c:axId val="16978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4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</a:t>
            </a:r>
            <a:r>
              <a:rPr lang="en-US" baseline="0"/>
              <a:t> 1: Actual Sales vs. 3 Month Moving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'Item 1 3 Month Moving Avg'!$B$1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'Item 1 3 Month Moving Avg'!$A$2:$A$64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1 3 Month Moving Avg'!$B$2:$B$64</c:f>
              <c:numCache>
                <c:formatCode>General</c:formatCode>
                <c:ptCount val="63"/>
                <c:pt idx="0">
                  <c:v>328</c:v>
                </c:pt>
                <c:pt idx="1">
                  <c:v>322</c:v>
                </c:pt>
                <c:pt idx="2">
                  <c:v>477</c:v>
                </c:pt>
                <c:pt idx="3">
                  <c:v>522</c:v>
                </c:pt>
                <c:pt idx="4">
                  <c:v>531</c:v>
                </c:pt>
                <c:pt idx="5">
                  <c:v>627</c:v>
                </c:pt>
                <c:pt idx="6">
                  <c:v>661</c:v>
                </c:pt>
                <c:pt idx="7">
                  <c:v>594</c:v>
                </c:pt>
                <c:pt idx="8">
                  <c:v>519</c:v>
                </c:pt>
                <c:pt idx="9">
                  <c:v>484</c:v>
                </c:pt>
                <c:pt idx="10">
                  <c:v>572</c:v>
                </c:pt>
                <c:pt idx="11">
                  <c:v>388</c:v>
                </c:pt>
                <c:pt idx="12">
                  <c:v>435</c:v>
                </c:pt>
                <c:pt idx="13">
                  <c:v>405</c:v>
                </c:pt>
                <c:pt idx="14">
                  <c:v>549</c:v>
                </c:pt>
                <c:pt idx="15">
                  <c:v>573</c:v>
                </c:pt>
                <c:pt idx="16">
                  <c:v>651</c:v>
                </c:pt>
                <c:pt idx="17">
                  <c:v>710</c:v>
                </c:pt>
                <c:pt idx="18">
                  <c:v>746</c:v>
                </c:pt>
                <c:pt idx="19">
                  <c:v>671</c:v>
                </c:pt>
                <c:pt idx="20">
                  <c:v>566</c:v>
                </c:pt>
                <c:pt idx="21">
                  <c:v>555</c:v>
                </c:pt>
                <c:pt idx="22">
                  <c:v>619</c:v>
                </c:pt>
                <c:pt idx="23">
                  <c:v>409</c:v>
                </c:pt>
                <c:pt idx="24">
                  <c:v>428</c:v>
                </c:pt>
                <c:pt idx="25">
                  <c:v>399</c:v>
                </c:pt>
                <c:pt idx="26">
                  <c:v>552</c:v>
                </c:pt>
                <c:pt idx="27">
                  <c:v>652</c:v>
                </c:pt>
                <c:pt idx="28">
                  <c:v>711</c:v>
                </c:pt>
                <c:pt idx="29">
                  <c:v>748</c:v>
                </c:pt>
                <c:pt idx="30">
                  <c:v>842</c:v>
                </c:pt>
                <c:pt idx="31">
                  <c:v>706</c:v>
                </c:pt>
                <c:pt idx="32">
                  <c:v>678</c:v>
                </c:pt>
                <c:pt idx="33">
                  <c:v>647</c:v>
                </c:pt>
                <c:pt idx="34">
                  <c:v>684</c:v>
                </c:pt>
                <c:pt idx="35">
                  <c:v>460</c:v>
                </c:pt>
                <c:pt idx="36">
                  <c:v>449</c:v>
                </c:pt>
                <c:pt idx="37">
                  <c:v>450</c:v>
                </c:pt>
                <c:pt idx="38">
                  <c:v>589</c:v>
                </c:pt>
                <c:pt idx="39">
                  <c:v>694</c:v>
                </c:pt>
                <c:pt idx="40">
                  <c:v>782</c:v>
                </c:pt>
                <c:pt idx="41">
                  <c:v>790</c:v>
                </c:pt>
                <c:pt idx="42">
                  <c:v>903</c:v>
                </c:pt>
                <c:pt idx="43">
                  <c:v>727</c:v>
                </c:pt>
                <c:pt idx="44">
                  <c:v>709</c:v>
                </c:pt>
                <c:pt idx="45">
                  <c:v>699</c:v>
                </c:pt>
                <c:pt idx="46">
                  <c:v>662</c:v>
                </c:pt>
                <c:pt idx="47">
                  <c:v>496</c:v>
                </c:pt>
                <c:pt idx="48">
                  <c:v>485</c:v>
                </c:pt>
                <c:pt idx="49">
                  <c:v>487</c:v>
                </c:pt>
                <c:pt idx="50">
                  <c:v>561</c:v>
                </c:pt>
                <c:pt idx="51">
                  <c:v>677</c:v>
                </c:pt>
                <c:pt idx="52">
                  <c:v>773</c:v>
                </c:pt>
                <c:pt idx="53">
                  <c:v>850</c:v>
                </c:pt>
                <c:pt idx="54">
                  <c:v>873</c:v>
                </c:pt>
                <c:pt idx="55">
                  <c:v>794</c:v>
                </c:pt>
                <c:pt idx="56">
                  <c:v>736</c:v>
                </c:pt>
                <c:pt idx="57">
                  <c:v>660</c:v>
                </c:pt>
                <c:pt idx="58">
                  <c:v>668</c:v>
                </c:pt>
                <c:pt idx="59">
                  <c:v>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44-49D7-88DD-9CB20AA0B4FF}"/>
            </c:ext>
          </c:extLst>
        </c:ser>
        <c:ser>
          <c:idx val="1"/>
          <c:order val="1"/>
          <c:tx>
            <c:strRef>
              <c:f>'Item 1 3 Month Moving Avg'!$C$1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'Item 1 3 Month Moving Avg'!$A$2:$A$64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1 3 Month Moving Avg'!$C$2:$C$64</c:f>
              <c:numCache>
                <c:formatCode>0.00</c:formatCode>
                <c:ptCount val="63"/>
                <c:pt idx="3">
                  <c:v>375.66666666666669</c:v>
                </c:pt>
                <c:pt idx="4">
                  <c:v>440.33333333333331</c:v>
                </c:pt>
                <c:pt idx="5">
                  <c:v>510</c:v>
                </c:pt>
                <c:pt idx="6">
                  <c:v>560</c:v>
                </c:pt>
                <c:pt idx="7">
                  <c:v>606.33333333333337</c:v>
                </c:pt>
                <c:pt idx="8">
                  <c:v>627.33333333333337</c:v>
                </c:pt>
                <c:pt idx="9">
                  <c:v>591.33333333333337</c:v>
                </c:pt>
                <c:pt idx="10">
                  <c:v>532.33333333333337</c:v>
                </c:pt>
                <c:pt idx="11">
                  <c:v>525</c:v>
                </c:pt>
                <c:pt idx="12">
                  <c:v>481.33333333333331</c:v>
                </c:pt>
                <c:pt idx="13">
                  <c:v>465</c:v>
                </c:pt>
                <c:pt idx="14">
                  <c:v>409.33333333333331</c:v>
                </c:pt>
                <c:pt idx="15">
                  <c:v>463</c:v>
                </c:pt>
                <c:pt idx="16">
                  <c:v>509</c:v>
                </c:pt>
                <c:pt idx="17">
                  <c:v>591</c:v>
                </c:pt>
                <c:pt idx="18">
                  <c:v>644.66666666666663</c:v>
                </c:pt>
                <c:pt idx="19">
                  <c:v>702.33333333333337</c:v>
                </c:pt>
                <c:pt idx="20">
                  <c:v>709</c:v>
                </c:pt>
                <c:pt idx="21">
                  <c:v>661</c:v>
                </c:pt>
                <c:pt idx="22">
                  <c:v>597.33333333333337</c:v>
                </c:pt>
                <c:pt idx="23">
                  <c:v>580</c:v>
                </c:pt>
                <c:pt idx="24">
                  <c:v>527.66666666666663</c:v>
                </c:pt>
                <c:pt idx="25">
                  <c:v>485.33333333333331</c:v>
                </c:pt>
                <c:pt idx="26">
                  <c:v>412</c:v>
                </c:pt>
                <c:pt idx="27">
                  <c:v>459.66666666666669</c:v>
                </c:pt>
                <c:pt idx="28">
                  <c:v>534.33333333333337</c:v>
                </c:pt>
                <c:pt idx="29">
                  <c:v>638.33333333333337</c:v>
                </c:pt>
                <c:pt idx="30">
                  <c:v>703.66666666666663</c:v>
                </c:pt>
                <c:pt idx="31">
                  <c:v>767</c:v>
                </c:pt>
                <c:pt idx="32">
                  <c:v>765.33333333333337</c:v>
                </c:pt>
                <c:pt idx="33">
                  <c:v>742</c:v>
                </c:pt>
                <c:pt idx="34">
                  <c:v>677</c:v>
                </c:pt>
                <c:pt idx="35">
                  <c:v>669.66666666666663</c:v>
                </c:pt>
                <c:pt idx="36">
                  <c:v>597</c:v>
                </c:pt>
                <c:pt idx="37">
                  <c:v>531</c:v>
                </c:pt>
                <c:pt idx="38">
                  <c:v>453</c:v>
                </c:pt>
                <c:pt idx="39">
                  <c:v>496</c:v>
                </c:pt>
                <c:pt idx="40">
                  <c:v>577.66666666666663</c:v>
                </c:pt>
                <c:pt idx="41">
                  <c:v>688.33333333333337</c:v>
                </c:pt>
                <c:pt idx="42">
                  <c:v>755.33333333333337</c:v>
                </c:pt>
                <c:pt idx="43">
                  <c:v>825</c:v>
                </c:pt>
                <c:pt idx="44">
                  <c:v>806.66666666666663</c:v>
                </c:pt>
                <c:pt idx="45">
                  <c:v>779.66666666666663</c:v>
                </c:pt>
                <c:pt idx="46">
                  <c:v>711.66666666666663</c:v>
                </c:pt>
                <c:pt idx="47">
                  <c:v>690</c:v>
                </c:pt>
                <c:pt idx="48">
                  <c:v>619</c:v>
                </c:pt>
                <c:pt idx="49">
                  <c:v>547.66666666666663</c:v>
                </c:pt>
                <c:pt idx="50">
                  <c:v>489.33333333333331</c:v>
                </c:pt>
                <c:pt idx="51">
                  <c:v>511</c:v>
                </c:pt>
                <c:pt idx="52">
                  <c:v>575</c:v>
                </c:pt>
                <c:pt idx="53">
                  <c:v>670.33333333333337</c:v>
                </c:pt>
                <c:pt idx="54">
                  <c:v>766.66666666666663</c:v>
                </c:pt>
                <c:pt idx="55">
                  <c:v>832</c:v>
                </c:pt>
                <c:pt idx="56">
                  <c:v>839</c:v>
                </c:pt>
                <c:pt idx="57">
                  <c:v>801</c:v>
                </c:pt>
                <c:pt idx="58">
                  <c:v>730</c:v>
                </c:pt>
                <c:pt idx="59">
                  <c:v>688</c:v>
                </c:pt>
                <c:pt idx="60">
                  <c:v>620.33333333333337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44-49D7-88DD-9CB20AA0B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298703"/>
        <c:axId val="1501730383"/>
      </c:lineChart>
      <c:dateAx>
        <c:axId val="20862987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30383"/>
        <c:crosses val="autoZero"/>
        <c:auto val="1"/>
        <c:lblOffset val="100"/>
        <c:baseTimeUnit val="months"/>
      </c:dateAx>
      <c:valAx>
        <c:axId val="15017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9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Item 2: Actual Sales vs. 3 Month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'Item 2'!$B$1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'Item 2'!$A$2:$A$64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2'!$B$2:$B$64</c:f>
              <c:numCache>
                <c:formatCode>General</c:formatCode>
                <c:ptCount val="63"/>
                <c:pt idx="0">
                  <c:v>911</c:v>
                </c:pt>
                <c:pt idx="1">
                  <c:v>873</c:v>
                </c:pt>
                <c:pt idx="2">
                  <c:v>1299</c:v>
                </c:pt>
                <c:pt idx="3">
                  <c:v>1316</c:v>
                </c:pt>
                <c:pt idx="4">
                  <c:v>1527</c:v>
                </c:pt>
                <c:pt idx="5">
                  <c:v>1643</c:v>
                </c:pt>
                <c:pt idx="6">
                  <c:v>1743</c:v>
                </c:pt>
                <c:pt idx="7">
                  <c:v>1591</c:v>
                </c:pt>
                <c:pt idx="8">
                  <c:v>1353</c:v>
                </c:pt>
                <c:pt idx="9">
                  <c:v>1330</c:v>
                </c:pt>
                <c:pt idx="10">
                  <c:v>1427</c:v>
                </c:pt>
                <c:pt idx="11">
                  <c:v>1023</c:v>
                </c:pt>
                <c:pt idx="12">
                  <c:v>1116</c:v>
                </c:pt>
                <c:pt idx="13">
                  <c:v>1135</c:v>
                </c:pt>
                <c:pt idx="14">
                  <c:v>1406</c:v>
                </c:pt>
                <c:pt idx="15">
                  <c:v>1645</c:v>
                </c:pt>
                <c:pt idx="16">
                  <c:v>1870</c:v>
                </c:pt>
                <c:pt idx="17">
                  <c:v>1849</c:v>
                </c:pt>
                <c:pt idx="18">
                  <c:v>2039</c:v>
                </c:pt>
                <c:pt idx="19">
                  <c:v>1823</c:v>
                </c:pt>
                <c:pt idx="20">
                  <c:v>1539</c:v>
                </c:pt>
                <c:pt idx="21">
                  <c:v>1506</c:v>
                </c:pt>
                <c:pt idx="22">
                  <c:v>1595</c:v>
                </c:pt>
                <c:pt idx="23">
                  <c:v>1211</c:v>
                </c:pt>
                <c:pt idx="24">
                  <c:v>1114</c:v>
                </c:pt>
                <c:pt idx="25">
                  <c:v>1157</c:v>
                </c:pt>
                <c:pt idx="26">
                  <c:v>1536</c:v>
                </c:pt>
                <c:pt idx="27">
                  <c:v>1700</c:v>
                </c:pt>
                <c:pt idx="28">
                  <c:v>1941</c:v>
                </c:pt>
                <c:pt idx="29">
                  <c:v>1828</c:v>
                </c:pt>
                <c:pt idx="30">
                  <c:v>1967</c:v>
                </c:pt>
                <c:pt idx="31">
                  <c:v>1915</c:v>
                </c:pt>
                <c:pt idx="32">
                  <c:v>1625</c:v>
                </c:pt>
                <c:pt idx="33">
                  <c:v>1622</c:v>
                </c:pt>
                <c:pt idx="34">
                  <c:v>1680</c:v>
                </c:pt>
                <c:pt idx="35">
                  <c:v>1227</c:v>
                </c:pt>
                <c:pt idx="36">
                  <c:v>1248</c:v>
                </c:pt>
                <c:pt idx="37">
                  <c:v>1270</c:v>
                </c:pt>
                <c:pt idx="38">
                  <c:v>1628</c:v>
                </c:pt>
                <c:pt idx="39">
                  <c:v>1791</c:v>
                </c:pt>
                <c:pt idx="40">
                  <c:v>2003</c:v>
                </c:pt>
                <c:pt idx="41">
                  <c:v>2062</c:v>
                </c:pt>
                <c:pt idx="42">
                  <c:v>2387</c:v>
                </c:pt>
                <c:pt idx="43">
                  <c:v>2016</c:v>
                </c:pt>
                <c:pt idx="44">
                  <c:v>1807</c:v>
                </c:pt>
                <c:pt idx="45">
                  <c:v>1806</c:v>
                </c:pt>
                <c:pt idx="46">
                  <c:v>1789</c:v>
                </c:pt>
                <c:pt idx="47">
                  <c:v>1338</c:v>
                </c:pt>
                <c:pt idx="48">
                  <c:v>1202</c:v>
                </c:pt>
                <c:pt idx="49">
                  <c:v>1196</c:v>
                </c:pt>
                <c:pt idx="50">
                  <c:v>1592</c:v>
                </c:pt>
                <c:pt idx="51">
                  <c:v>1951</c:v>
                </c:pt>
                <c:pt idx="52">
                  <c:v>2101</c:v>
                </c:pt>
                <c:pt idx="53">
                  <c:v>2214</c:v>
                </c:pt>
                <c:pt idx="54">
                  <c:v>2370</c:v>
                </c:pt>
                <c:pt idx="55">
                  <c:v>2089</c:v>
                </c:pt>
                <c:pt idx="56">
                  <c:v>1923</c:v>
                </c:pt>
                <c:pt idx="57">
                  <c:v>1748</c:v>
                </c:pt>
                <c:pt idx="58">
                  <c:v>1962</c:v>
                </c:pt>
                <c:pt idx="59">
                  <c:v>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2E-4912-9F2B-DD9B54ABF98D}"/>
            </c:ext>
          </c:extLst>
        </c:ser>
        <c:ser>
          <c:idx val="1"/>
          <c:order val="1"/>
          <c:tx>
            <c:strRef>
              <c:f>'Item 2'!$C$1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'Item 2'!$A$2:$A$64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2'!$C$2:$C$64</c:f>
              <c:numCache>
                <c:formatCode>0.00</c:formatCode>
                <c:ptCount val="63"/>
                <c:pt idx="3">
                  <c:v>1027.6666666666667</c:v>
                </c:pt>
                <c:pt idx="4">
                  <c:v>1162.6666666666667</c:v>
                </c:pt>
                <c:pt idx="5">
                  <c:v>1380.6666666666667</c:v>
                </c:pt>
                <c:pt idx="6">
                  <c:v>1495.3333333333333</c:v>
                </c:pt>
                <c:pt idx="7">
                  <c:v>1637.6666666666667</c:v>
                </c:pt>
                <c:pt idx="8">
                  <c:v>1659</c:v>
                </c:pt>
                <c:pt idx="9">
                  <c:v>1562.3333333333333</c:v>
                </c:pt>
                <c:pt idx="10">
                  <c:v>1424.6666666666667</c:v>
                </c:pt>
                <c:pt idx="11">
                  <c:v>1370</c:v>
                </c:pt>
                <c:pt idx="12">
                  <c:v>1260</c:v>
                </c:pt>
                <c:pt idx="13">
                  <c:v>1188.6666666666667</c:v>
                </c:pt>
                <c:pt idx="14">
                  <c:v>1091.3333333333333</c:v>
                </c:pt>
                <c:pt idx="15">
                  <c:v>1219</c:v>
                </c:pt>
                <c:pt idx="16">
                  <c:v>1395.3333333333333</c:v>
                </c:pt>
                <c:pt idx="17">
                  <c:v>1640.3333333333333</c:v>
                </c:pt>
                <c:pt idx="18">
                  <c:v>1788</c:v>
                </c:pt>
                <c:pt idx="19">
                  <c:v>1919.3333333333333</c:v>
                </c:pt>
                <c:pt idx="20">
                  <c:v>1903.6666666666667</c:v>
                </c:pt>
                <c:pt idx="21">
                  <c:v>1800.3333333333333</c:v>
                </c:pt>
                <c:pt idx="22">
                  <c:v>1622.6666666666667</c:v>
                </c:pt>
                <c:pt idx="23">
                  <c:v>1546.6666666666667</c:v>
                </c:pt>
                <c:pt idx="24">
                  <c:v>1437.3333333333333</c:v>
                </c:pt>
                <c:pt idx="25">
                  <c:v>1306.6666666666667</c:v>
                </c:pt>
                <c:pt idx="26">
                  <c:v>1160.6666666666667</c:v>
                </c:pt>
                <c:pt idx="27">
                  <c:v>1269</c:v>
                </c:pt>
                <c:pt idx="28">
                  <c:v>1464.3333333333333</c:v>
                </c:pt>
                <c:pt idx="29">
                  <c:v>1725.6666666666667</c:v>
                </c:pt>
                <c:pt idx="30">
                  <c:v>1823</c:v>
                </c:pt>
                <c:pt idx="31">
                  <c:v>1912</c:v>
                </c:pt>
                <c:pt idx="32">
                  <c:v>1903.3333333333333</c:v>
                </c:pt>
                <c:pt idx="33">
                  <c:v>1835.6666666666667</c:v>
                </c:pt>
                <c:pt idx="34">
                  <c:v>1720.6666666666667</c:v>
                </c:pt>
                <c:pt idx="35">
                  <c:v>1642.3333333333333</c:v>
                </c:pt>
                <c:pt idx="36">
                  <c:v>1509.6666666666667</c:v>
                </c:pt>
                <c:pt idx="37">
                  <c:v>1385</c:v>
                </c:pt>
                <c:pt idx="38">
                  <c:v>1248.3333333333333</c:v>
                </c:pt>
                <c:pt idx="39">
                  <c:v>1382</c:v>
                </c:pt>
                <c:pt idx="40">
                  <c:v>1563</c:v>
                </c:pt>
                <c:pt idx="41">
                  <c:v>1807.3333333333333</c:v>
                </c:pt>
                <c:pt idx="42">
                  <c:v>1952</c:v>
                </c:pt>
                <c:pt idx="43">
                  <c:v>2150.6666666666665</c:v>
                </c:pt>
                <c:pt idx="44">
                  <c:v>2155</c:v>
                </c:pt>
                <c:pt idx="45">
                  <c:v>2070</c:v>
                </c:pt>
                <c:pt idx="46">
                  <c:v>1876.3333333333333</c:v>
                </c:pt>
                <c:pt idx="47">
                  <c:v>1800.6666666666667</c:v>
                </c:pt>
                <c:pt idx="48">
                  <c:v>1644.3333333333333</c:v>
                </c:pt>
                <c:pt idx="49">
                  <c:v>1443</c:v>
                </c:pt>
                <c:pt idx="50">
                  <c:v>1245.3333333333333</c:v>
                </c:pt>
                <c:pt idx="51">
                  <c:v>1330</c:v>
                </c:pt>
                <c:pt idx="52">
                  <c:v>1579.6666666666667</c:v>
                </c:pt>
                <c:pt idx="53">
                  <c:v>1881.3333333333333</c:v>
                </c:pt>
                <c:pt idx="54">
                  <c:v>2088.6666666666665</c:v>
                </c:pt>
                <c:pt idx="55">
                  <c:v>2228.3333333333335</c:v>
                </c:pt>
                <c:pt idx="56">
                  <c:v>2224.3333333333335</c:v>
                </c:pt>
                <c:pt idx="57">
                  <c:v>2127.3333333333335</c:v>
                </c:pt>
                <c:pt idx="58">
                  <c:v>1920</c:v>
                </c:pt>
                <c:pt idx="59">
                  <c:v>1877.6666666666667</c:v>
                </c:pt>
                <c:pt idx="60">
                  <c:v>1728.3333333333333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2E-4912-9F2B-DD9B54ABF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1373647"/>
        <c:axId val="1888719983"/>
      </c:lineChart>
      <c:dateAx>
        <c:axId val="11313736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719983"/>
        <c:crosses val="autoZero"/>
        <c:auto val="1"/>
        <c:lblOffset val="100"/>
        <c:baseTimeUnit val="months"/>
      </c:dateAx>
      <c:valAx>
        <c:axId val="188871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7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Item 3: Actual Sales vs. 3 Month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'Item 3'!$B$1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'Item 3'!$A$2:$A$64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3'!$B$2:$B$64</c:f>
              <c:numCache>
                <c:formatCode>General</c:formatCode>
                <c:ptCount val="63"/>
                <c:pt idx="0">
                  <c:v>547</c:v>
                </c:pt>
                <c:pt idx="1">
                  <c:v>597</c:v>
                </c:pt>
                <c:pt idx="2">
                  <c:v>789</c:v>
                </c:pt>
                <c:pt idx="3">
                  <c:v>853</c:v>
                </c:pt>
                <c:pt idx="4">
                  <c:v>993</c:v>
                </c:pt>
                <c:pt idx="5">
                  <c:v>996</c:v>
                </c:pt>
                <c:pt idx="6">
                  <c:v>1105</c:v>
                </c:pt>
                <c:pt idx="7">
                  <c:v>996</c:v>
                </c:pt>
                <c:pt idx="8">
                  <c:v>891</c:v>
                </c:pt>
                <c:pt idx="9">
                  <c:v>776</c:v>
                </c:pt>
                <c:pt idx="10">
                  <c:v>900</c:v>
                </c:pt>
                <c:pt idx="11">
                  <c:v>657</c:v>
                </c:pt>
                <c:pt idx="12">
                  <c:v>654</c:v>
                </c:pt>
                <c:pt idx="13">
                  <c:v>674</c:v>
                </c:pt>
                <c:pt idx="14">
                  <c:v>885</c:v>
                </c:pt>
                <c:pt idx="15">
                  <c:v>973</c:v>
                </c:pt>
                <c:pt idx="16">
                  <c:v>1168</c:v>
                </c:pt>
                <c:pt idx="17">
                  <c:v>1129</c:v>
                </c:pt>
                <c:pt idx="18">
                  <c:v>1204</c:v>
                </c:pt>
                <c:pt idx="19">
                  <c:v>1116</c:v>
                </c:pt>
                <c:pt idx="20">
                  <c:v>971</c:v>
                </c:pt>
                <c:pt idx="21">
                  <c:v>981</c:v>
                </c:pt>
                <c:pt idx="22">
                  <c:v>1020</c:v>
                </c:pt>
                <c:pt idx="23">
                  <c:v>729</c:v>
                </c:pt>
                <c:pt idx="24">
                  <c:v>719</c:v>
                </c:pt>
                <c:pt idx="25">
                  <c:v>670</c:v>
                </c:pt>
                <c:pt idx="26">
                  <c:v>908</c:v>
                </c:pt>
                <c:pt idx="27">
                  <c:v>1058</c:v>
                </c:pt>
                <c:pt idx="28">
                  <c:v>1236</c:v>
                </c:pt>
                <c:pt idx="29">
                  <c:v>1215</c:v>
                </c:pt>
                <c:pt idx="30">
                  <c:v>1325</c:v>
                </c:pt>
                <c:pt idx="31">
                  <c:v>1178</c:v>
                </c:pt>
                <c:pt idx="32">
                  <c:v>1112</c:v>
                </c:pt>
                <c:pt idx="33">
                  <c:v>1041</c:v>
                </c:pt>
                <c:pt idx="34">
                  <c:v>1059</c:v>
                </c:pt>
                <c:pt idx="35">
                  <c:v>750</c:v>
                </c:pt>
                <c:pt idx="36">
                  <c:v>795</c:v>
                </c:pt>
                <c:pt idx="37">
                  <c:v>791</c:v>
                </c:pt>
                <c:pt idx="38">
                  <c:v>1001</c:v>
                </c:pt>
                <c:pt idx="39">
                  <c:v>1113</c:v>
                </c:pt>
                <c:pt idx="40">
                  <c:v>1297</c:v>
                </c:pt>
                <c:pt idx="41">
                  <c:v>1276</c:v>
                </c:pt>
                <c:pt idx="42">
                  <c:v>1443</c:v>
                </c:pt>
                <c:pt idx="43">
                  <c:v>1197</c:v>
                </c:pt>
                <c:pt idx="44">
                  <c:v>1163</c:v>
                </c:pt>
                <c:pt idx="45">
                  <c:v>1076</c:v>
                </c:pt>
                <c:pt idx="46">
                  <c:v>1134</c:v>
                </c:pt>
                <c:pt idx="47">
                  <c:v>831</c:v>
                </c:pt>
                <c:pt idx="48">
                  <c:v>788</c:v>
                </c:pt>
                <c:pt idx="49">
                  <c:v>777</c:v>
                </c:pt>
                <c:pt idx="50">
                  <c:v>1023</c:v>
                </c:pt>
                <c:pt idx="51">
                  <c:v>1207</c:v>
                </c:pt>
                <c:pt idx="52">
                  <c:v>1387</c:v>
                </c:pt>
                <c:pt idx="53">
                  <c:v>1356</c:v>
                </c:pt>
                <c:pt idx="54">
                  <c:v>1501</c:v>
                </c:pt>
                <c:pt idx="55">
                  <c:v>1278</c:v>
                </c:pt>
                <c:pt idx="56">
                  <c:v>1200</c:v>
                </c:pt>
                <c:pt idx="57">
                  <c:v>1100</c:v>
                </c:pt>
                <c:pt idx="58">
                  <c:v>1156</c:v>
                </c:pt>
                <c:pt idx="59">
                  <c:v>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DF-43A9-932F-19EA8AEB5C4E}"/>
            </c:ext>
          </c:extLst>
        </c:ser>
        <c:ser>
          <c:idx val="1"/>
          <c:order val="1"/>
          <c:tx>
            <c:strRef>
              <c:f>'Item 3'!$C$1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'Item 3'!$A$2:$A$64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3'!$C$2:$C$64</c:f>
              <c:numCache>
                <c:formatCode>0.00</c:formatCode>
                <c:ptCount val="63"/>
                <c:pt idx="3">
                  <c:v>644.33333333333337</c:v>
                </c:pt>
                <c:pt idx="4">
                  <c:v>746.33333333333337</c:v>
                </c:pt>
                <c:pt idx="5">
                  <c:v>878.33333333333337</c:v>
                </c:pt>
                <c:pt idx="6">
                  <c:v>947.33333333333337</c:v>
                </c:pt>
                <c:pt idx="7">
                  <c:v>1031.3333333333333</c:v>
                </c:pt>
                <c:pt idx="8">
                  <c:v>1032.3333333333333</c:v>
                </c:pt>
                <c:pt idx="9">
                  <c:v>997.33333333333337</c:v>
                </c:pt>
                <c:pt idx="10">
                  <c:v>887.66666666666663</c:v>
                </c:pt>
                <c:pt idx="11">
                  <c:v>855.66666666666663</c:v>
                </c:pt>
                <c:pt idx="12">
                  <c:v>777.66666666666663</c:v>
                </c:pt>
                <c:pt idx="13">
                  <c:v>737</c:v>
                </c:pt>
                <c:pt idx="14">
                  <c:v>661.66666666666663</c:v>
                </c:pt>
                <c:pt idx="15">
                  <c:v>737.66666666666663</c:v>
                </c:pt>
                <c:pt idx="16">
                  <c:v>844</c:v>
                </c:pt>
                <c:pt idx="17">
                  <c:v>1008.6666666666666</c:v>
                </c:pt>
                <c:pt idx="18">
                  <c:v>1090</c:v>
                </c:pt>
                <c:pt idx="19">
                  <c:v>1167</c:v>
                </c:pt>
                <c:pt idx="20">
                  <c:v>1149.6666666666667</c:v>
                </c:pt>
                <c:pt idx="21">
                  <c:v>1097</c:v>
                </c:pt>
                <c:pt idx="22">
                  <c:v>1022.6666666666666</c:v>
                </c:pt>
                <c:pt idx="23">
                  <c:v>990.66666666666663</c:v>
                </c:pt>
                <c:pt idx="24">
                  <c:v>910</c:v>
                </c:pt>
                <c:pt idx="25">
                  <c:v>822.66666666666663</c:v>
                </c:pt>
                <c:pt idx="26">
                  <c:v>706</c:v>
                </c:pt>
                <c:pt idx="27">
                  <c:v>765.66666666666663</c:v>
                </c:pt>
                <c:pt idx="28">
                  <c:v>878.66666666666663</c:v>
                </c:pt>
                <c:pt idx="29">
                  <c:v>1067.3333333333333</c:v>
                </c:pt>
                <c:pt idx="30">
                  <c:v>1169.6666666666667</c:v>
                </c:pt>
                <c:pt idx="31">
                  <c:v>1258.6666666666667</c:v>
                </c:pt>
                <c:pt idx="32">
                  <c:v>1239.3333333333333</c:v>
                </c:pt>
                <c:pt idx="33">
                  <c:v>1205</c:v>
                </c:pt>
                <c:pt idx="34">
                  <c:v>1110.3333333333333</c:v>
                </c:pt>
                <c:pt idx="35">
                  <c:v>1070.6666666666667</c:v>
                </c:pt>
                <c:pt idx="36">
                  <c:v>950</c:v>
                </c:pt>
                <c:pt idx="37">
                  <c:v>868</c:v>
                </c:pt>
                <c:pt idx="38">
                  <c:v>778.66666666666663</c:v>
                </c:pt>
                <c:pt idx="39">
                  <c:v>862.33333333333337</c:v>
                </c:pt>
                <c:pt idx="40">
                  <c:v>968.33333333333337</c:v>
                </c:pt>
                <c:pt idx="41">
                  <c:v>1137</c:v>
                </c:pt>
                <c:pt idx="42">
                  <c:v>1228.6666666666667</c:v>
                </c:pt>
                <c:pt idx="43">
                  <c:v>1338.6666666666667</c:v>
                </c:pt>
                <c:pt idx="44">
                  <c:v>1305.3333333333333</c:v>
                </c:pt>
                <c:pt idx="45">
                  <c:v>1267.6666666666667</c:v>
                </c:pt>
                <c:pt idx="46">
                  <c:v>1145.3333333333333</c:v>
                </c:pt>
                <c:pt idx="47">
                  <c:v>1124.3333333333333</c:v>
                </c:pt>
                <c:pt idx="48">
                  <c:v>1013.6666666666666</c:v>
                </c:pt>
                <c:pt idx="49">
                  <c:v>917.66666666666663</c:v>
                </c:pt>
                <c:pt idx="50">
                  <c:v>798.66666666666663</c:v>
                </c:pt>
                <c:pt idx="51">
                  <c:v>862.66666666666663</c:v>
                </c:pt>
                <c:pt idx="52">
                  <c:v>1002.3333333333334</c:v>
                </c:pt>
                <c:pt idx="53">
                  <c:v>1205.6666666666667</c:v>
                </c:pt>
                <c:pt idx="54">
                  <c:v>1316.6666666666667</c:v>
                </c:pt>
                <c:pt idx="55">
                  <c:v>1414.6666666666667</c:v>
                </c:pt>
                <c:pt idx="56">
                  <c:v>1378.3333333333333</c:v>
                </c:pt>
                <c:pt idx="57">
                  <c:v>1326.3333333333333</c:v>
                </c:pt>
                <c:pt idx="58">
                  <c:v>1192.6666666666667</c:v>
                </c:pt>
                <c:pt idx="59">
                  <c:v>1152</c:v>
                </c:pt>
                <c:pt idx="60">
                  <c:v>1043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DF-43A9-932F-19EA8AEB5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514783"/>
        <c:axId val="1888634063"/>
      </c:lineChart>
      <c:dateAx>
        <c:axId val="11355147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34063"/>
        <c:crosses val="autoZero"/>
        <c:auto val="1"/>
        <c:lblOffset val="100"/>
        <c:baseTimeUnit val="months"/>
      </c:dateAx>
      <c:valAx>
        <c:axId val="18886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51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Item 4: Actual Sales vs. 3 Month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'Item 4'!$B$1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'Item 4'!$A$2:$A$64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4'!$B$2:$B$64</c:f>
              <c:numCache>
                <c:formatCode>General</c:formatCode>
                <c:ptCount val="63"/>
                <c:pt idx="0">
                  <c:v>346</c:v>
                </c:pt>
                <c:pt idx="1">
                  <c:v>340</c:v>
                </c:pt>
                <c:pt idx="2">
                  <c:v>467</c:v>
                </c:pt>
                <c:pt idx="3">
                  <c:v>514</c:v>
                </c:pt>
                <c:pt idx="4">
                  <c:v>632</c:v>
                </c:pt>
                <c:pt idx="5">
                  <c:v>599</c:v>
                </c:pt>
                <c:pt idx="6">
                  <c:v>626</c:v>
                </c:pt>
                <c:pt idx="7">
                  <c:v>580</c:v>
                </c:pt>
                <c:pt idx="8">
                  <c:v>554</c:v>
                </c:pt>
                <c:pt idx="9">
                  <c:v>475</c:v>
                </c:pt>
                <c:pt idx="10">
                  <c:v>519</c:v>
                </c:pt>
                <c:pt idx="11">
                  <c:v>393</c:v>
                </c:pt>
                <c:pt idx="12">
                  <c:v>366</c:v>
                </c:pt>
                <c:pt idx="13">
                  <c:v>415</c:v>
                </c:pt>
                <c:pt idx="14">
                  <c:v>524</c:v>
                </c:pt>
                <c:pt idx="15">
                  <c:v>631</c:v>
                </c:pt>
                <c:pt idx="16">
                  <c:v>645</c:v>
                </c:pt>
                <c:pt idx="17">
                  <c:v>693</c:v>
                </c:pt>
                <c:pt idx="18">
                  <c:v>791</c:v>
                </c:pt>
                <c:pt idx="19">
                  <c:v>705</c:v>
                </c:pt>
                <c:pt idx="20">
                  <c:v>605</c:v>
                </c:pt>
                <c:pt idx="21">
                  <c:v>541</c:v>
                </c:pt>
                <c:pt idx="22">
                  <c:v>640</c:v>
                </c:pt>
                <c:pt idx="23">
                  <c:v>474</c:v>
                </c:pt>
                <c:pt idx="24">
                  <c:v>454</c:v>
                </c:pt>
                <c:pt idx="25">
                  <c:v>407</c:v>
                </c:pt>
                <c:pt idx="26">
                  <c:v>552</c:v>
                </c:pt>
                <c:pt idx="27">
                  <c:v>666</c:v>
                </c:pt>
                <c:pt idx="28">
                  <c:v>732</c:v>
                </c:pt>
                <c:pt idx="29">
                  <c:v>686</c:v>
                </c:pt>
                <c:pt idx="30">
                  <c:v>783</c:v>
                </c:pt>
                <c:pt idx="31">
                  <c:v>691</c:v>
                </c:pt>
                <c:pt idx="32">
                  <c:v>650</c:v>
                </c:pt>
                <c:pt idx="33">
                  <c:v>604</c:v>
                </c:pt>
                <c:pt idx="34">
                  <c:v>605</c:v>
                </c:pt>
                <c:pt idx="35">
                  <c:v>461</c:v>
                </c:pt>
                <c:pt idx="36">
                  <c:v>447</c:v>
                </c:pt>
                <c:pt idx="37">
                  <c:v>491</c:v>
                </c:pt>
                <c:pt idx="38">
                  <c:v>594</c:v>
                </c:pt>
                <c:pt idx="39">
                  <c:v>706</c:v>
                </c:pt>
                <c:pt idx="40">
                  <c:v>779</c:v>
                </c:pt>
                <c:pt idx="41">
                  <c:v>810</c:v>
                </c:pt>
                <c:pt idx="42">
                  <c:v>856</c:v>
                </c:pt>
                <c:pt idx="43">
                  <c:v>739</c:v>
                </c:pt>
                <c:pt idx="44">
                  <c:v>689</c:v>
                </c:pt>
                <c:pt idx="45">
                  <c:v>687</c:v>
                </c:pt>
                <c:pt idx="46">
                  <c:v>643</c:v>
                </c:pt>
                <c:pt idx="47">
                  <c:v>555</c:v>
                </c:pt>
                <c:pt idx="48">
                  <c:v>488</c:v>
                </c:pt>
                <c:pt idx="49">
                  <c:v>464</c:v>
                </c:pt>
                <c:pt idx="50">
                  <c:v>622</c:v>
                </c:pt>
                <c:pt idx="51">
                  <c:v>724</c:v>
                </c:pt>
                <c:pt idx="52">
                  <c:v>742</c:v>
                </c:pt>
                <c:pt idx="53">
                  <c:v>814</c:v>
                </c:pt>
                <c:pt idx="54">
                  <c:v>917</c:v>
                </c:pt>
                <c:pt idx="55">
                  <c:v>780</c:v>
                </c:pt>
                <c:pt idx="56">
                  <c:v>649</c:v>
                </c:pt>
                <c:pt idx="57">
                  <c:v>680</c:v>
                </c:pt>
                <c:pt idx="58">
                  <c:v>701</c:v>
                </c:pt>
                <c:pt idx="59">
                  <c:v>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F-41CE-9F4F-36C5F93110C1}"/>
            </c:ext>
          </c:extLst>
        </c:ser>
        <c:ser>
          <c:idx val="1"/>
          <c:order val="1"/>
          <c:tx>
            <c:strRef>
              <c:f>'Item 4'!$C$1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'Item 4'!$A$2:$A$64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4'!$C$2:$C$64</c:f>
              <c:numCache>
                <c:formatCode>0.00</c:formatCode>
                <c:ptCount val="63"/>
                <c:pt idx="3">
                  <c:v>384.33333333333331</c:v>
                </c:pt>
                <c:pt idx="4">
                  <c:v>440.33333333333331</c:v>
                </c:pt>
                <c:pt idx="5">
                  <c:v>537.66666666666663</c:v>
                </c:pt>
                <c:pt idx="6">
                  <c:v>581.66666666666663</c:v>
                </c:pt>
                <c:pt idx="7">
                  <c:v>619</c:v>
                </c:pt>
                <c:pt idx="8">
                  <c:v>601.66666666666663</c:v>
                </c:pt>
                <c:pt idx="9">
                  <c:v>586.66666666666663</c:v>
                </c:pt>
                <c:pt idx="10">
                  <c:v>536.33333333333337</c:v>
                </c:pt>
                <c:pt idx="11">
                  <c:v>516</c:v>
                </c:pt>
                <c:pt idx="12">
                  <c:v>462.33333333333331</c:v>
                </c:pt>
                <c:pt idx="13">
                  <c:v>426</c:v>
                </c:pt>
                <c:pt idx="14">
                  <c:v>391.33333333333331</c:v>
                </c:pt>
                <c:pt idx="15">
                  <c:v>435</c:v>
                </c:pt>
                <c:pt idx="16">
                  <c:v>523.33333333333337</c:v>
                </c:pt>
                <c:pt idx="17">
                  <c:v>600</c:v>
                </c:pt>
                <c:pt idx="18">
                  <c:v>656.33333333333337</c:v>
                </c:pt>
                <c:pt idx="19">
                  <c:v>709.66666666666663</c:v>
                </c:pt>
                <c:pt idx="20">
                  <c:v>729.66666666666663</c:v>
                </c:pt>
                <c:pt idx="21">
                  <c:v>700.33333333333337</c:v>
                </c:pt>
                <c:pt idx="22">
                  <c:v>617</c:v>
                </c:pt>
                <c:pt idx="23">
                  <c:v>595.33333333333337</c:v>
                </c:pt>
                <c:pt idx="24">
                  <c:v>551.66666666666663</c:v>
                </c:pt>
                <c:pt idx="25">
                  <c:v>522.66666666666663</c:v>
                </c:pt>
                <c:pt idx="26">
                  <c:v>445</c:v>
                </c:pt>
                <c:pt idx="27">
                  <c:v>471</c:v>
                </c:pt>
                <c:pt idx="28">
                  <c:v>541.66666666666663</c:v>
                </c:pt>
                <c:pt idx="29">
                  <c:v>650</c:v>
                </c:pt>
                <c:pt idx="30">
                  <c:v>694.66666666666663</c:v>
                </c:pt>
                <c:pt idx="31">
                  <c:v>733.66666666666663</c:v>
                </c:pt>
                <c:pt idx="32">
                  <c:v>720</c:v>
                </c:pt>
                <c:pt idx="33">
                  <c:v>708</c:v>
                </c:pt>
                <c:pt idx="34">
                  <c:v>648.33333333333337</c:v>
                </c:pt>
                <c:pt idx="35">
                  <c:v>619.66666666666663</c:v>
                </c:pt>
                <c:pt idx="36">
                  <c:v>556.66666666666663</c:v>
                </c:pt>
                <c:pt idx="37">
                  <c:v>504.33333333333331</c:v>
                </c:pt>
                <c:pt idx="38">
                  <c:v>466.33333333333331</c:v>
                </c:pt>
                <c:pt idx="39">
                  <c:v>510.66666666666669</c:v>
                </c:pt>
                <c:pt idx="40">
                  <c:v>597</c:v>
                </c:pt>
                <c:pt idx="41">
                  <c:v>693</c:v>
                </c:pt>
                <c:pt idx="42">
                  <c:v>765</c:v>
                </c:pt>
                <c:pt idx="43">
                  <c:v>815</c:v>
                </c:pt>
                <c:pt idx="44">
                  <c:v>801.66666666666663</c:v>
                </c:pt>
                <c:pt idx="45">
                  <c:v>761.33333333333337</c:v>
                </c:pt>
                <c:pt idx="46">
                  <c:v>705</c:v>
                </c:pt>
                <c:pt idx="47">
                  <c:v>673</c:v>
                </c:pt>
                <c:pt idx="48">
                  <c:v>628.33333333333337</c:v>
                </c:pt>
                <c:pt idx="49">
                  <c:v>562</c:v>
                </c:pt>
                <c:pt idx="50">
                  <c:v>502.33333333333331</c:v>
                </c:pt>
                <c:pt idx="51">
                  <c:v>524.66666666666663</c:v>
                </c:pt>
                <c:pt idx="52">
                  <c:v>603.33333333333337</c:v>
                </c:pt>
                <c:pt idx="53">
                  <c:v>696</c:v>
                </c:pt>
                <c:pt idx="54">
                  <c:v>760</c:v>
                </c:pt>
                <c:pt idx="55">
                  <c:v>824.33333333333337</c:v>
                </c:pt>
                <c:pt idx="56">
                  <c:v>837</c:v>
                </c:pt>
                <c:pt idx="57">
                  <c:v>782</c:v>
                </c:pt>
                <c:pt idx="58">
                  <c:v>703</c:v>
                </c:pt>
                <c:pt idx="59">
                  <c:v>676.66666666666663</c:v>
                </c:pt>
                <c:pt idx="60">
                  <c:v>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F-41CE-9F4F-36C5F9311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417951"/>
        <c:axId val="1888561583"/>
      </c:lineChart>
      <c:dateAx>
        <c:axId val="11524179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561583"/>
        <c:crosses val="autoZero"/>
        <c:auto val="1"/>
        <c:lblOffset val="100"/>
        <c:baseTimeUnit val="months"/>
      </c:dateAx>
      <c:valAx>
        <c:axId val="18885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41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Item 5: Actual Sales vs. 3 Month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'Item 5'!$B$1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'Item 5'!$A$2:$A$64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5'!$B$2:$B$64</c:f>
              <c:numCache>
                <c:formatCode>General</c:formatCode>
                <c:ptCount val="63"/>
                <c:pt idx="0">
                  <c:v>276</c:v>
                </c:pt>
                <c:pt idx="1">
                  <c:v>276</c:v>
                </c:pt>
                <c:pt idx="2">
                  <c:v>378</c:v>
                </c:pt>
                <c:pt idx="3">
                  <c:v>417</c:v>
                </c:pt>
                <c:pt idx="4">
                  <c:v>497</c:v>
                </c:pt>
                <c:pt idx="5">
                  <c:v>497</c:v>
                </c:pt>
                <c:pt idx="6">
                  <c:v>519</c:v>
                </c:pt>
                <c:pt idx="7">
                  <c:v>508</c:v>
                </c:pt>
                <c:pt idx="8">
                  <c:v>430</c:v>
                </c:pt>
                <c:pt idx="9">
                  <c:v>426</c:v>
                </c:pt>
                <c:pt idx="10">
                  <c:v>422</c:v>
                </c:pt>
                <c:pt idx="11">
                  <c:v>356</c:v>
                </c:pt>
                <c:pt idx="12">
                  <c:v>330</c:v>
                </c:pt>
                <c:pt idx="13">
                  <c:v>314</c:v>
                </c:pt>
                <c:pt idx="14">
                  <c:v>472</c:v>
                </c:pt>
                <c:pt idx="15">
                  <c:v>516</c:v>
                </c:pt>
                <c:pt idx="16">
                  <c:v>598</c:v>
                </c:pt>
                <c:pt idx="17">
                  <c:v>565</c:v>
                </c:pt>
                <c:pt idx="18">
                  <c:v>634</c:v>
                </c:pt>
                <c:pt idx="19">
                  <c:v>589</c:v>
                </c:pt>
                <c:pt idx="20">
                  <c:v>473</c:v>
                </c:pt>
                <c:pt idx="21">
                  <c:v>465</c:v>
                </c:pt>
                <c:pt idx="22">
                  <c:v>501</c:v>
                </c:pt>
                <c:pt idx="23">
                  <c:v>343</c:v>
                </c:pt>
                <c:pt idx="24">
                  <c:v>367</c:v>
                </c:pt>
                <c:pt idx="25">
                  <c:v>335</c:v>
                </c:pt>
                <c:pt idx="26">
                  <c:v>470</c:v>
                </c:pt>
                <c:pt idx="27">
                  <c:v>495</c:v>
                </c:pt>
                <c:pt idx="28">
                  <c:v>559</c:v>
                </c:pt>
                <c:pt idx="29">
                  <c:v>614</c:v>
                </c:pt>
                <c:pt idx="30">
                  <c:v>632</c:v>
                </c:pt>
                <c:pt idx="31">
                  <c:v>616</c:v>
                </c:pt>
                <c:pt idx="32">
                  <c:v>511</c:v>
                </c:pt>
                <c:pt idx="33">
                  <c:v>486</c:v>
                </c:pt>
                <c:pt idx="34">
                  <c:v>509</c:v>
                </c:pt>
                <c:pt idx="35">
                  <c:v>380</c:v>
                </c:pt>
                <c:pt idx="36">
                  <c:v>413</c:v>
                </c:pt>
                <c:pt idx="37">
                  <c:v>417</c:v>
                </c:pt>
                <c:pt idx="38">
                  <c:v>515</c:v>
                </c:pt>
                <c:pt idx="39">
                  <c:v>581</c:v>
                </c:pt>
                <c:pt idx="40">
                  <c:v>619</c:v>
                </c:pt>
                <c:pt idx="41">
                  <c:v>643</c:v>
                </c:pt>
                <c:pt idx="42">
                  <c:v>744</c:v>
                </c:pt>
                <c:pt idx="43">
                  <c:v>655</c:v>
                </c:pt>
                <c:pt idx="44">
                  <c:v>584</c:v>
                </c:pt>
                <c:pt idx="45">
                  <c:v>565</c:v>
                </c:pt>
                <c:pt idx="46">
                  <c:v>559</c:v>
                </c:pt>
                <c:pt idx="47">
                  <c:v>440</c:v>
                </c:pt>
                <c:pt idx="48">
                  <c:v>407</c:v>
                </c:pt>
                <c:pt idx="49">
                  <c:v>432</c:v>
                </c:pt>
                <c:pt idx="50">
                  <c:v>512</c:v>
                </c:pt>
                <c:pt idx="51">
                  <c:v>633</c:v>
                </c:pt>
                <c:pt idx="52">
                  <c:v>653</c:v>
                </c:pt>
                <c:pt idx="53">
                  <c:v>686</c:v>
                </c:pt>
                <c:pt idx="54">
                  <c:v>699</c:v>
                </c:pt>
                <c:pt idx="55">
                  <c:v>637</c:v>
                </c:pt>
                <c:pt idx="56">
                  <c:v>589</c:v>
                </c:pt>
                <c:pt idx="57">
                  <c:v>565</c:v>
                </c:pt>
                <c:pt idx="58">
                  <c:v>575</c:v>
                </c:pt>
                <c:pt idx="59">
                  <c:v>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62-4BEF-81C4-357B7CC4E7F9}"/>
            </c:ext>
          </c:extLst>
        </c:ser>
        <c:ser>
          <c:idx val="1"/>
          <c:order val="1"/>
          <c:tx>
            <c:strRef>
              <c:f>'Item 5'!$C$1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'Item 5'!$A$2:$A$64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5'!$C$2:$C$64</c:f>
              <c:numCache>
                <c:formatCode>0.00</c:formatCode>
                <c:ptCount val="63"/>
                <c:pt idx="3">
                  <c:v>310</c:v>
                </c:pt>
                <c:pt idx="4">
                  <c:v>357</c:v>
                </c:pt>
                <c:pt idx="5">
                  <c:v>430.66666666666669</c:v>
                </c:pt>
                <c:pt idx="6">
                  <c:v>470.33333333333331</c:v>
                </c:pt>
                <c:pt idx="7">
                  <c:v>504.33333333333331</c:v>
                </c:pt>
                <c:pt idx="8">
                  <c:v>508</c:v>
                </c:pt>
                <c:pt idx="9">
                  <c:v>485.66666666666669</c:v>
                </c:pt>
                <c:pt idx="10">
                  <c:v>454.66666666666669</c:v>
                </c:pt>
                <c:pt idx="11">
                  <c:v>426</c:v>
                </c:pt>
                <c:pt idx="12">
                  <c:v>401.33333333333331</c:v>
                </c:pt>
                <c:pt idx="13">
                  <c:v>369.33333333333331</c:v>
                </c:pt>
                <c:pt idx="14">
                  <c:v>333.33333333333331</c:v>
                </c:pt>
                <c:pt idx="15">
                  <c:v>372</c:v>
                </c:pt>
                <c:pt idx="16">
                  <c:v>434</c:v>
                </c:pt>
                <c:pt idx="17">
                  <c:v>528.66666666666663</c:v>
                </c:pt>
                <c:pt idx="18">
                  <c:v>559.66666666666663</c:v>
                </c:pt>
                <c:pt idx="19">
                  <c:v>599</c:v>
                </c:pt>
                <c:pt idx="20">
                  <c:v>596</c:v>
                </c:pt>
                <c:pt idx="21">
                  <c:v>565.33333333333337</c:v>
                </c:pt>
                <c:pt idx="22">
                  <c:v>509</c:v>
                </c:pt>
                <c:pt idx="23">
                  <c:v>479.66666666666669</c:v>
                </c:pt>
                <c:pt idx="24">
                  <c:v>436.33333333333331</c:v>
                </c:pt>
                <c:pt idx="25">
                  <c:v>403.66666666666669</c:v>
                </c:pt>
                <c:pt idx="26">
                  <c:v>348.33333333333331</c:v>
                </c:pt>
                <c:pt idx="27">
                  <c:v>390.66666666666669</c:v>
                </c:pt>
                <c:pt idx="28">
                  <c:v>433.33333333333331</c:v>
                </c:pt>
                <c:pt idx="29">
                  <c:v>508</c:v>
                </c:pt>
                <c:pt idx="30">
                  <c:v>556</c:v>
                </c:pt>
                <c:pt idx="31">
                  <c:v>601.66666666666663</c:v>
                </c:pt>
                <c:pt idx="32">
                  <c:v>620.66666666666663</c:v>
                </c:pt>
                <c:pt idx="33">
                  <c:v>586.33333333333337</c:v>
                </c:pt>
                <c:pt idx="34">
                  <c:v>537.66666666666663</c:v>
                </c:pt>
                <c:pt idx="35">
                  <c:v>502</c:v>
                </c:pt>
                <c:pt idx="36">
                  <c:v>458.33333333333331</c:v>
                </c:pt>
                <c:pt idx="37">
                  <c:v>434</c:v>
                </c:pt>
                <c:pt idx="38">
                  <c:v>403.33333333333331</c:v>
                </c:pt>
                <c:pt idx="39">
                  <c:v>448.33333333333331</c:v>
                </c:pt>
                <c:pt idx="40">
                  <c:v>504.33333333333331</c:v>
                </c:pt>
                <c:pt idx="41">
                  <c:v>571.66666666666663</c:v>
                </c:pt>
                <c:pt idx="42">
                  <c:v>614.33333333333337</c:v>
                </c:pt>
                <c:pt idx="43">
                  <c:v>668.66666666666663</c:v>
                </c:pt>
                <c:pt idx="44">
                  <c:v>680.66666666666663</c:v>
                </c:pt>
                <c:pt idx="45">
                  <c:v>661</c:v>
                </c:pt>
                <c:pt idx="46">
                  <c:v>601.33333333333337</c:v>
                </c:pt>
                <c:pt idx="47">
                  <c:v>569.33333333333337</c:v>
                </c:pt>
                <c:pt idx="48">
                  <c:v>521.33333333333337</c:v>
                </c:pt>
                <c:pt idx="49">
                  <c:v>468.66666666666669</c:v>
                </c:pt>
                <c:pt idx="50">
                  <c:v>426.33333333333331</c:v>
                </c:pt>
                <c:pt idx="51">
                  <c:v>450.33333333333331</c:v>
                </c:pt>
                <c:pt idx="52">
                  <c:v>525.66666666666663</c:v>
                </c:pt>
                <c:pt idx="53">
                  <c:v>599.33333333333337</c:v>
                </c:pt>
                <c:pt idx="54">
                  <c:v>657.33333333333337</c:v>
                </c:pt>
                <c:pt idx="55">
                  <c:v>679.33333333333337</c:v>
                </c:pt>
                <c:pt idx="56">
                  <c:v>674</c:v>
                </c:pt>
                <c:pt idx="57">
                  <c:v>641.66666666666663</c:v>
                </c:pt>
                <c:pt idx="58">
                  <c:v>597</c:v>
                </c:pt>
                <c:pt idx="59">
                  <c:v>576.33333333333337</c:v>
                </c:pt>
                <c:pt idx="60">
                  <c:v>525.33333333333337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62-4BEF-81C4-357B7CC4E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2396143"/>
        <c:axId val="1888654223"/>
      </c:lineChart>
      <c:dateAx>
        <c:axId val="1152396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54223"/>
        <c:crosses val="autoZero"/>
        <c:auto val="1"/>
        <c:lblOffset val="100"/>
        <c:baseTimeUnit val="months"/>
      </c:dateAx>
      <c:valAx>
        <c:axId val="188865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9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</a:t>
            </a:r>
            <a:r>
              <a:rPr lang="en-US" baseline="0"/>
              <a:t> 1: Actual Sales vs. 3 Month Moving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'Item 1 3 Month Moving Avg'!$B$1</c:f>
              <c:strCache>
                <c:ptCount val="1"/>
                <c:pt idx="0">
                  <c:v>Actual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'Item 1 3 Month Moving Avg'!$A$2:$A$64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1 3 Month Moving Avg'!$B$2:$B$64</c:f>
              <c:numCache>
                <c:formatCode>General</c:formatCode>
                <c:ptCount val="63"/>
                <c:pt idx="0">
                  <c:v>328</c:v>
                </c:pt>
                <c:pt idx="1">
                  <c:v>322</c:v>
                </c:pt>
                <c:pt idx="2">
                  <c:v>477</c:v>
                </c:pt>
                <c:pt idx="3">
                  <c:v>522</c:v>
                </c:pt>
                <c:pt idx="4">
                  <c:v>531</c:v>
                </c:pt>
                <c:pt idx="5">
                  <c:v>627</c:v>
                </c:pt>
                <c:pt idx="6">
                  <c:v>661</c:v>
                </c:pt>
                <c:pt idx="7">
                  <c:v>594</c:v>
                </c:pt>
                <c:pt idx="8">
                  <c:v>519</c:v>
                </c:pt>
                <c:pt idx="9">
                  <c:v>484</c:v>
                </c:pt>
                <c:pt idx="10">
                  <c:v>572</c:v>
                </c:pt>
                <c:pt idx="11">
                  <c:v>388</c:v>
                </c:pt>
                <c:pt idx="12">
                  <c:v>435</c:v>
                </c:pt>
                <c:pt idx="13">
                  <c:v>405</c:v>
                </c:pt>
                <c:pt idx="14">
                  <c:v>549</c:v>
                </c:pt>
                <c:pt idx="15">
                  <c:v>573</c:v>
                </c:pt>
                <c:pt idx="16">
                  <c:v>651</c:v>
                </c:pt>
                <c:pt idx="17">
                  <c:v>710</c:v>
                </c:pt>
                <c:pt idx="18">
                  <c:v>746</c:v>
                </c:pt>
                <c:pt idx="19">
                  <c:v>671</c:v>
                </c:pt>
                <c:pt idx="20">
                  <c:v>566</c:v>
                </c:pt>
                <c:pt idx="21">
                  <c:v>555</c:v>
                </c:pt>
                <c:pt idx="22">
                  <c:v>619</c:v>
                </c:pt>
                <c:pt idx="23">
                  <c:v>409</c:v>
                </c:pt>
                <c:pt idx="24">
                  <c:v>428</c:v>
                </c:pt>
                <c:pt idx="25">
                  <c:v>399</c:v>
                </c:pt>
                <c:pt idx="26">
                  <c:v>552</c:v>
                </c:pt>
                <c:pt idx="27">
                  <c:v>652</c:v>
                </c:pt>
                <c:pt idx="28">
                  <c:v>711</c:v>
                </c:pt>
                <c:pt idx="29">
                  <c:v>748</c:v>
                </c:pt>
                <c:pt idx="30">
                  <c:v>842</c:v>
                </c:pt>
                <c:pt idx="31">
                  <c:v>706</c:v>
                </c:pt>
                <c:pt idx="32">
                  <c:v>678</c:v>
                </c:pt>
                <c:pt idx="33">
                  <c:v>647</c:v>
                </c:pt>
                <c:pt idx="34">
                  <c:v>684</c:v>
                </c:pt>
                <c:pt idx="35">
                  <c:v>460</c:v>
                </c:pt>
                <c:pt idx="36">
                  <c:v>449</c:v>
                </c:pt>
                <c:pt idx="37">
                  <c:v>450</c:v>
                </c:pt>
                <c:pt idx="38">
                  <c:v>589</c:v>
                </c:pt>
                <c:pt idx="39">
                  <c:v>694</c:v>
                </c:pt>
                <c:pt idx="40">
                  <c:v>782</c:v>
                </c:pt>
                <c:pt idx="41">
                  <c:v>790</c:v>
                </c:pt>
                <c:pt idx="42">
                  <c:v>903</c:v>
                </c:pt>
                <c:pt idx="43">
                  <c:v>727</c:v>
                </c:pt>
                <c:pt idx="44">
                  <c:v>709</c:v>
                </c:pt>
                <c:pt idx="45">
                  <c:v>699</c:v>
                </c:pt>
                <c:pt idx="46">
                  <c:v>662</c:v>
                </c:pt>
                <c:pt idx="47">
                  <c:v>496</c:v>
                </c:pt>
                <c:pt idx="48">
                  <c:v>485</c:v>
                </c:pt>
                <c:pt idx="49">
                  <c:v>487</c:v>
                </c:pt>
                <c:pt idx="50">
                  <c:v>561</c:v>
                </c:pt>
                <c:pt idx="51">
                  <c:v>677</c:v>
                </c:pt>
                <c:pt idx="52">
                  <c:v>773</c:v>
                </c:pt>
                <c:pt idx="53">
                  <c:v>850</c:v>
                </c:pt>
                <c:pt idx="54">
                  <c:v>873</c:v>
                </c:pt>
                <c:pt idx="55">
                  <c:v>794</c:v>
                </c:pt>
                <c:pt idx="56">
                  <c:v>736</c:v>
                </c:pt>
                <c:pt idx="57">
                  <c:v>660</c:v>
                </c:pt>
                <c:pt idx="58">
                  <c:v>668</c:v>
                </c:pt>
                <c:pt idx="59">
                  <c:v>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1-4399-BAE1-F533AA44DC4A}"/>
            </c:ext>
          </c:extLst>
        </c:ser>
        <c:ser>
          <c:idx val="1"/>
          <c:order val="1"/>
          <c:tx>
            <c:strRef>
              <c:f>'Item 1 3 Month Moving Avg'!$C$1</c:f>
              <c:strCache>
                <c:ptCount val="1"/>
                <c:pt idx="0">
                  <c:v>3 Month Moving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'Item 1 3 Month Moving Avg'!$A$2:$A$64</c:f>
              <c:numCache>
                <c:formatCode>mmm\-yy</c:formatCode>
                <c:ptCount val="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</c:numCache>
            </c:numRef>
          </c:cat>
          <c:val>
            <c:numRef>
              <c:f>'Item 1 3 Month Moving Avg'!$C$2:$C$64</c:f>
              <c:numCache>
                <c:formatCode>0.00</c:formatCode>
                <c:ptCount val="63"/>
                <c:pt idx="3">
                  <c:v>375.66666666666669</c:v>
                </c:pt>
                <c:pt idx="4">
                  <c:v>440.33333333333331</c:v>
                </c:pt>
                <c:pt idx="5">
                  <c:v>510</c:v>
                </c:pt>
                <c:pt idx="6">
                  <c:v>560</c:v>
                </c:pt>
                <c:pt idx="7">
                  <c:v>606.33333333333337</c:v>
                </c:pt>
                <c:pt idx="8">
                  <c:v>627.33333333333337</c:v>
                </c:pt>
                <c:pt idx="9">
                  <c:v>591.33333333333337</c:v>
                </c:pt>
                <c:pt idx="10">
                  <c:v>532.33333333333337</c:v>
                </c:pt>
                <c:pt idx="11">
                  <c:v>525</c:v>
                </c:pt>
                <c:pt idx="12">
                  <c:v>481.33333333333331</c:v>
                </c:pt>
                <c:pt idx="13">
                  <c:v>465</c:v>
                </c:pt>
                <c:pt idx="14">
                  <c:v>409.33333333333331</c:v>
                </c:pt>
                <c:pt idx="15">
                  <c:v>463</c:v>
                </c:pt>
                <c:pt idx="16">
                  <c:v>509</c:v>
                </c:pt>
                <c:pt idx="17">
                  <c:v>591</c:v>
                </c:pt>
                <c:pt idx="18">
                  <c:v>644.66666666666663</c:v>
                </c:pt>
                <c:pt idx="19">
                  <c:v>702.33333333333337</c:v>
                </c:pt>
                <c:pt idx="20">
                  <c:v>709</c:v>
                </c:pt>
                <c:pt idx="21">
                  <c:v>661</c:v>
                </c:pt>
                <c:pt idx="22">
                  <c:v>597.33333333333337</c:v>
                </c:pt>
                <c:pt idx="23">
                  <c:v>580</c:v>
                </c:pt>
                <c:pt idx="24">
                  <c:v>527.66666666666663</c:v>
                </c:pt>
                <c:pt idx="25">
                  <c:v>485.33333333333331</c:v>
                </c:pt>
                <c:pt idx="26">
                  <c:v>412</c:v>
                </c:pt>
                <c:pt idx="27">
                  <c:v>459.66666666666669</c:v>
                </c:pt>
                <c:pt idx="28">
                  <c:v>534.33333333333337</c:v>
                </c:pt>
                <c:pt idx="29">
                  <c:v>638.33333333333337</c:v>
                </c:pt>
                <c:pt idx="30">
                  <c:v>703.66666666666663</c:v>
                </c:pt>
                <c:pt idx="31">
                  <c:v>767</c:v>
                </c:pt>
                <c:pt idx="32">
                  <c:v>765.33333333333337</c:v>
                </c:pt>
                <c:pt idx="33">
                  <c:v>742</c:v>
                </c:pt>
                <c:pt idx="34">
                  <c:v>677</c:v>
                </c:pt>
                <c:pt idx="35">
                  <c:v>669.66666666666663</c:v>
                </c:pt>
                <c:pt idx="36">
                  <c:v>597</c:v>
                </c:pt>
                <c:pt idx="37">
                  <c:v>531</c:v>
                </c:pt>
                <c:pt idx="38">
                  <c:v>453</c:v>
                </c:pt>
                <c:pt idx="39">
                  <c:v>496</c:v>
                </c:pt>
                <c:pt idx="40">
                  <c:v>577.66666666666663</c:v>
                </c:pt>
                <c:pt idx="41">
                  <c:v>688.33333333333337</c:v>
                </c:pt>
                <c:pt idx="42">
                  <c:v>755.33333333333337</c:v>
                </c:pt>
                <c:pt idx="43">
                  <c:v>825</c:v>
                </c:pt>
                <c:pt idx="44">
                  <c:v>806.66666666666663</c:v>
                </c:pt>
                <c:pt idx="45">
                  <c:v>779.66666666666663</c:v>
                </c:pt>
                <c:pt idx="46">
                  <c:v>711.66666666666663</c:v>
                </c:pt>
                <c:pt idx="47">
                  <c:v>690</c:v>
                </c:pt>
                <c:pt idx="48">
                  <c:v>619</c:v>
                </c:pt>
                <c:pt idx="49">
                  <c:v>547.66666666666663</c:v>
                </c:pt>
                <c:pt idx="50">
                  <c:v>489.33333333333331</c:v>
                </c:pt>
                <c:pt idx="51">
                  <c:v>511</c:v>
                </c:pt>
                <c:pt idx="52">
                  <c:v>575</c:v>
                </c:pt>
                <c:pt idx="53">
                  <c:v>670.33333333333337</c:v>
                </c:pt>
                <c:pt idx="54">
                  <c:v>766.66666666666663</c:v>
                </c:pt>
                <c:pt idx="55">
                  <c:v>832</c:v>
                </c:pt>
                <c:pt idx="56">
                  <c:v>839</c:v>
                </c:pt>
                <c:pt idx="57">
                  <c:v>801</c:v>
                </c:pt>
                <c:pt idx="58">
                  <c:v>730</c:v>
                </c:pt>
                <c:pt idx="59">
                  <c:v>688</c:v>
                </c:pt>
                <c:pt idx="60">
                  <c:v>620.33333333333337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1-4399-BAE1-F533AA44D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6298703"/>
        <c:axId val="1501730383"/>
      </c:lineChart>
      <c:dateAx>
        <c:axId val="20862987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730383"/>
        <c:crosses val="autoZero"/>
        <c:auto val="1"/>
        <c:lblOffset val="100"/>
        <c:baseTimeUnit val="months"/>
      </c:dateAx>
      <c:valAx>
        <c:axId val="150173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9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[Demand Forecast Analysis Project FINAL.xlsx]Seasonality Chart!PivotTable1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Seasonality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'Seasonality Chart'!$B$1:$B$3</c:f>
              <c:strCache>
                <c:ptCount val="1"/>
                <c:pt idx="0">
                  <c:v>1 - 2013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Chart'!$B$4:$B$15</c:f>
              <c:numCache>
                <c:formatCode>General</c:formatCode>
                <c:ptCount val="12"/>
                <c:pt idx="0">
                  <c:v>328</c:v>
                </c:pt>
                <c:pt idx="1">
                  <c:v>322</c:v>
                </c:pt>
                <c:pt idx="2">
                  <c:v>477</c:v>
                </c:pt>
                <c:pt idx="3">
                  <c:v>522</c:v>
                </c:pt>
                <c:pt idx="4">
                  <c:v>531</c:v>
                </c:pt>
                <c:pt idx="5">
                  <c:v>627</c:v>
                </c:pt>
                <c:pt idx="6">
                  <c:v>661</c:v>
                </c:pt>
                <c:pt idx="7">
                  <c:v>594</c:v>
                </c:pt>
                <c:pt idx="8">
                  <c:v>519</c:v>
                </c:pt>
                <c:pt idx="9">
                  <c:v>484</c:v>
                </c:pt>
                <c:pt idx="10">
                  <c:v>572</c:v>
                </c:pt>
                <c:pt idx="11">
                  <c:v>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FF-4C23-BFD3-1BD95AF39A72}"/>
            </c:ext>
          </c:extLst>
        </c:ser>
        <c:ser>
          <c:idx val="1"/>
          <c:order val="1"/>
          <c:tx>
            <c:strRef>
              <c:f>'Seasonality Chart'!$C$1:$C$3</c:f>
              <c:strCache>
                <c:ptCount val="1"/>
                <c:pt idx="0">
                  <c:v>1 - 2014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Chart'!$C$4:$C$15</c:f>
              <c:numCache>
                <c:formatCode>General</c:formatCode>
                <c:ptCount val="12"/>
                <c:pt idx="0">
                  <c:v>435</c:v>
                </c:pt>
                <c:pt idx="1">
                  <c:v>405</c:v>
                </c:pt>
                <c:pt idx="2">
                  <c:v>549</c:v>
                </c:pt>
                <c:pt idx="3">
                  <c:v>573</c:v>
                </c:pt>
                <c:pt idx="4">
                  <c:v>651</c:v>
                </c:pt>
                <c:pt idx="5">
                  <c:v>710</c:v>
                </c:pt>
                <c:pt idx="6">
                  <c:v>746</c:v>
                </c:pt>
                <c:pt idx="7">
                  <c:v>671</c:v>
                </c:pt>
                <c:pt idx="8">
                  <c:v>566</c:v>
                </c:pt>
                <c:pt idx="9">
                  <c:v>555</c:v>
                </c:pt>
                <c:pt idx="10">
                  <c:v>619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FF-4C23-BFD3-1BD95AF39A72}"/>
            </c:ext>
          </c:extLst>
        </c:ser>
        <c:ser>
          <c:idx val="2"/>
          <c:order val="2"/>
          <c:tx>
            <c:strRef>
              <c:f>'Seasonality Chart'!$D$1:$D$3</c:f>
              <c:strCache>
                <c:ptCount val="1"/>
                <c:pt idx="0">
                  <c:v>1 - 2015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Chart'!$D$4:$D$15</c:f>
              <c:numCache>
                <c:formatCode>General</c:formatCode>
                <c:ptCount val="12"/>
                <c:pt idx="0">
                  <c:v>428</c:v>
                </c:pt>
                <c:pt idx="1">
                  <c:v>399</c:v>
                </c:pt>
                <c:pt idx="2">
                  <c:v>552</c:v>
                </c:pt>
                <c:pt idx="3">
                  <c:v>652</c:v>
                </c:pt>
                <c:pt idx="4">
                  <c:v>711</c:v>
                </c:pt>
                <c:pt idx="5">
                  <c:v>748</c:v>
                </c:pt>
                <c:pt idx="6">
                  <c:v>842</c:v>
                </c:pt>
                <c:pt idx="7">
                  <c:v>706</c:v>
                </c:pt>
                <c:pt idx="8">
                  <c:v>678</c:v>
                </c:pt>
                <c:pt idx="9">
                  <c:v>647</c:v>
                </c:pt>
                <c:pt idx="10">
                  <c:v>684</c:v>
                </c:pt>
                <c:pt idx="11">
                  <c:v>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FF-4C23-BFD3-1BD95AF39A72}"/>
            </c:ext>
          </c:extLst>
        </c:ser>
        <c:ser>
          <c:idx val="3"/>
          <c:order val="3"/>
          <c:tx>
            <c:strRef>
              <c:f>'Seasonality Chart'!$E$1:$E$3</c:f>
              <c:strCache>
                <c:ptCount val="1"/>
                <c:pt idx="0">
                  <c:v>1 - 2016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Chart'!$E$4:$E$15</c:f>
              <c:numCache>
                <c:formatCode>General</c:formatCode>
                <c:ptCount val="12"/>
                <c:pt idx="0">
                  <c:v>449</c:v>
                </c:pt>
                <c:pt idx="1">
                  <c:v>450</c:v>
                </c:pt>
                <c:pt idx="2">
                  <c:v>589</c:v>
                </c:pt>
                <c:pt idx="3">
                  <c:v>694</c:v>
                </c:pt>
                <c:pt idx="4">
                  <c:v>782</c:v>
                </c:pt>
                <c:pt idx="5">
                  <c:v>790</c:v>
                </c:pt>
                <c:pt idx="6">
                  <c:v>903</c:v>
                </c:pt>
                <c:pt idx="7">
                  <c:v>727</c:v>
                </c:pt>
                <c:pt idx="8">
                  <c:v>709</c:v>
                </c:pt>
                <c:pt idx="9">
                  <c:v>699</c:v>
                </c:pt>
                <c:pt idx="10">
                  <c:v>662</c:v>
                </c:pt>
                <c:pt idx="11">
                  <c:v>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FF-4C23-BFD3-1BD95AF39A72}"/>
            </c:ext>
          </c:extLst>
        </c:ser>
        <c:ser>
          <c:idx val="4"/>
          <c:order val="4"/>
          <c:tx>
            <c:strRef>
              <c:f>'Seasonality Chart'!$F$1:$F$3</c:f>
              <c:strCache>
                <c:ptCount val="1"/>
                <c:pt idx="0">
                  <c:v>1 - 2017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'Seasonality Chart'!$A$4:$A$15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'Seasonality Chart'!$F$4:$F$15</c:f>
              <c:numCache>
                <c:formatCode>General</c:formatCode>
                <c:ptCount val="12"/>
                <c:pt idx="0">
                  <c:v>485</c:v>
                </c:pt>
                <c:pt idx="1">
                  <c:v>487</c:v>
                </c:pt>
                <c:pt idx="2">
                  <c:v>561</c:v>
                </c:pt>
                <c:pt idx="3">
                  <c:v>677</c:v>
                </c:pt>
                <c:pt idx="4">
                  <c:v>773</c:v>
                </c:pt>
                <c:pt idx="5">
                  <c:v>850</c:v>
                </c:pt>
                <c:pt idx="6">
                  <c:v>873</c:v>
                </c:pt>
                <c:pt idx="7">
                  <c:v>794</c:v>
                </c:pt>
                <c:pt idx="8">
                  <c:v>736</c:v>
                </c:pt>
                <c:pt idx="9">
                  <c:v>660</c:v>
                </c:pt>
                <c:pt idx="10">
                  <c:v>668</c:v>
                </c:pt>
                <c:pt idx="11">
                  <c:v>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FF-4C23-BFD3-1BD95AF39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6440191"/>
        <c:axId val="1697891631"/>
      </c:lineChart>
      <c:catAx>
        <c:axId val="172644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891631"/>
        <c:crosses val="autoZero"/>
        <c:auto val="1"/>
        <c:lblAlgn val="ctr"/>
        <c:lblOffset val="100"/>
        <c:noMultiLvlLbl val="0"/>
      </c:catAx>
      <c:valAx>
        <c:axId val="169789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44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52387</xdr:rowOff>
    </xdr:from>
    <xdr:to>
      <xdr:col>13</xdr:col>
      <xdr:colOff>314325</xdr:colOff>
      <xdr:row>14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50F99-D514-4E65-57CA-3C9A059D5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33337</xdr:rowOff>
    </xdr:from>
    <xdr:to>
      <xdr:col>21</xdr:col>
      <xdr:colOff>66675</xdr:colOff>
      <xdr:row>16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43517-CCAF-F68C-6A95-CE0875307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0</xdr:row>
      <xdr:rowOff>0</xdr:rowOff>
    </xdr:from>
    <xdr:to>
      <xdr:col>11</xdr:col>
      <xdr:colOff>371475</xdr:colOff>
      <xdr:row>14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3A8C97-6FC3-B463-DCE3-3FDFF49D0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61912</xdr:rowOff>
    </xdr:from>
    <xdr:to>
      <xdr:col>12</xdr:col>
      <xdr:colOff>342900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960B2-178F-6860-A8C2-BA2EF0F6D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</xdr:colOff>
      <xdr:row>0</xdr:row>
      <xdr:rowOff>52387</xdr:rowOff>
    </xdr:from>
    <xdr:to>
      <xdr:col>12</xdr:col>
      <xdr:colOff>376237</xdr:colOff>
      <xdr:row>14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8284A-45CF-A1C0-C814-3A646B0443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</xdr:colOff>
      <xdr:row>0</xdr:row>
      <xdr:rowOff>52387</xdr:rowOff>
    </xdr:from>
    <xdr:to>
      <xdr:col>12</xdr:col>
      <xdr:colOff>347662</xdr:colOff>
      <xdr:row>14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9EDEE7-9215-1C13-1CF9-2A90DF6E8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</xdr:colOff>
      <xdr:row>0</xdr:row>
      <xdr:rowOff>23812</xdr:rowOff>
    </xdr:from>
    <xdr:to>
      <xdr:col>12</xdr:col>
      <xdr:colOff>395287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3B60C7-78E4-3529-5DEC-745B33C86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28575</xdr:rowOff>
    </xdr:from>
    <xdr:to>
      <xdr:col>5</xdr:col>
      <xdr:colOff>381000</xdr:colOff>
      <xdr:row>17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033B13A-E003-44CA-96AA-A084270B2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238125</xdr:colOff>
      <xdr:row>0</xdr:row>
      <xdr:rowOff>57150</xdr:rowOff>
    </xdr:from>
    <xdr:to>
      <xdr:col>14</xdr:col>
      <xdr:colOff>133351</xdr:colOff>
      <xdr:row>17</xdr:row>
      <xdr:rowOff>180975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0B038A0-BFD0-48C2-95D0-B1F274495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219074</xdr:colOff>
      <xdr:row>18</xdr:row>
      <xdr:rowOff>66674</xdr:rowOff>
    </xdr:from>
    <xdr:to>
      <xdr:col>20</xdr:col>
      <xdr:colOff>171449</xdr:colOff>
      <xdr:row>35</xdr:row>
      <xdr:rowOff>152399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4BDBA0E-E0B5-30A0-6ADC-F2BAD59C57AB}"/>
            </a:ext>
          </a:extLst>
        </xdr:cNvPr>
        <xdr:cNvSpPr txBox="1"/>
      </xdr:nvSpPr>
      <xdr:spPr>
        <a:xfrm>
          <a:off x="6896099" y="3505199"/>
          <a:ext cx="8486775" cy="3343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u="sng"/>
            <a:t>Key Insights &amp; Recommendations</a:t>
          </a:r>
        </a:p>
        <a:p>
          <a:r>
            <a:rPr lang="en-US" sz="1100" b="1"/>
            <a:t>1. Seasonality finding: </a:t>
          </a:r>
          <a:r>
            <a:rPr lang="en-US" sz="1100"/>
            <a:t>All 5 items exhibited a consistent seasonal demand spike in June and July across the full 5-year period, indicating a genuine recurring pattern rather than random fluctuation likely tied to a broader seasonal driver affecting the entire product category rather than any single item.</a:t>
          </a:r>
        </a:p>
        <a:p>
          <a:endParaRPr lang="en-US" sz="1100"/>
        </a:p>
        <a:p>
          <a:r>
            <a:rPr lang="en-US" sz="1100" b="1"/>
            <a:t>2. Forecast accuracy finding: </a:t>
          </a:r>
          <a:r>
            <a:rPr lang="en-US" sz="1100"/>
            <a:t>The 3-month moving average produced a MAPE of 17-18% across all 5 items. Reasonably consistent, but only moderately accurate. This is likely because a simple moving average smooths out seasonal spikes rather than anticipating them, meaning the model systematically under forecasts in June/July and over forecasts in the months right after.</a:t>
          </a:r>
        </a:p>
        <a:p>
          <a:endParaRPr lang="en-US" sz="1100"/>
        </a:p>
        <a:p>
          <a:r>
            <a:rPr lang="en-US" sz="1100" b="1"/>
            <a:t>3. Variability finding: </a:t>
          </a:r>
          <a:r>
            <a:rPr lang="en-US" sz="1100"/>
            <a:t>Demand variability (CV) ranged from 21-23% across all items, placing them in the moderate-to-high volatility range. The consistency of this range across all 5 items suggests the underlying seasonal demand pattern is the main driver of unpredictability.</a:t>
          </a:r>
        </a:p>
        <a:p>
          <a:endParaRPr lang="en-US" sz="1100"/>
        </a:p>
        <a:p>
          <a:r>
            <a:rPr lang="en-US" sz="1100" b="1"/>
            <a:t>4. Model comparison finding: </a:t>
          </a:r>
          <a:r>
            <a:rPr lang="en-US" sz="1100"/>
            <a:t>Tested FORECAST.ETS (exponential smoothing) against the moving average on a held-out 3-month period for Item 1 (Oct-Dec 2017). FORECAST.ETS reduced MAPE from 19.91% to 9.78%. A 51% improvement, confirming that the primary driver of forecast inaccuracy was unaccounted-for seasonality.</a:t>
          </a:r>
        </a:p>
        <a:p>
          <a:endParaRPr lang="en-US" sz="1100"/>
        </a:p>
        <a:p>
          <a:r>
            <a:rPr lang="en-US" sz="1100" b="1"/>
            <a:t>Final recommendation</a:t>
          </a:r>
          <a:r>
            <a:rPr lang="en-US" sz="1100"/>
            <a:t>: Recommend adopting FORECAST.ETS, or another seasonally-aware forecasting method, over the current moving average approach, particularly for items with strong seasonal demand patterns like June/July. In the meantime, safety stock levels should be reviewed and increased ahead of Q2/Q3 specifically, rather than applying a flat buffer year-round.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//" refreshedDate="46244.21178125" createdVersion="8" refreshedVersion="8" minRefreshableVersion="3" recordCount="9130" xr:uid="{2DF6BC8F-DAA2-4279-A7DB-BEA9D8430A0D}">
  <cacheSource type="worksheet">
    <worksheetSource ref="A1:D9131" sheet="Data"/>
  </cacheSource>
  <cacheFields count="6">
    <cacheField name="date" numFmtId="14">
      <sharedItems containsSemiMixedTypes="0" containsNonDate="0" containsDate="1" containsString="0" minDate="2013-01-01T00:00:00" maxDate="2018-01-01T00:00:00" count="1826">
        <d v="2013-01-01T00:00:00"/>
        <d v="2013-01-02T00:00:00"/>
        <d v="2013-01-03T00:00:00"/>
        <d v="2013-01-04T00:00:00"/>
        <d v="2013-01-05T00:00:00"/>
        <d v="2013-01-06T00:00:00"/>
        <d v="2013-01-07T00:00:00"/>
        <d v="2013-01-08T00:00:00"/>
        <d v="2013-01-09T00:00:00"/>
        <d v="2013-01-10T00:00:00"/>
        <d v="2013-01-11T00:00:00"/>
        <d v="2013-01-12T00:00:00"/>
        <d v="2013-01-13T00:00:00"/>
        <d v="2013-01-14T00:00:00"/>
        <d v="2013-01-15T00:00:00"/>
        <d v="2013-01-16T00:00:00"/>
        <d v="2013-01-17T00:00:00"/>
        <d v="2013-01-18T00:00:00"/>
        <d v="2013-01-19T00:00:00"/>
        <d v="2013-01-20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09T00:00:00"/>
        <d v="2013-02-10T00:00:00"/>
        <d v="2013-02-11T00:00:00"/>
        <d v="2013-02-12T00:00:00"/>
        <d v="2013-02-13T00:00:00"/>
        <d v="2013-02-14T00:00:00"/>
        <d v="2013-02-15T00:00:00"/>
        <d v="2013-02-16T00:00:00"/>
        <d v="2013-02-17T00:00:00"/>
        <d v="2013-02-18T00:00:00"/>
        <d v="2013-02-19T00:00:00"/>
        <d v="2013-02-20T00:00:00"/>
        <d v="2013-02-21T00:00:00"/>
        <d v="2013-02-22T00:00:00"/>
        <d v="2013-02-23T00:00:00"/>
        <d v="2013-02-24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09T00:00:00"/>
        <d v="2013-03-10T00:00:00"/>
        <d v="2013-03-11T00:00:00"/>
        <d v="2013-03-12T00:00:00"/>
        <d v="2013-03-13T00:00:00"/>
        <d v="2013-03-14T00:00:00"/>
        <d v="2013-03-15T00:00:00"/>
        <d v="2013-03-16T00:00:00"/>
        <d v="2013-03-17T00:00:00"/>
        <d v="2013-03-18T00:00:00"/>
        <d v="2013-03-19T00:00:00"/>
        <d v="2013-03-20T00:00:00"/>
        <d v="2013-03-21T00:00:00"/>
        <d v="2013-03-22T00:00:00"/>
        <d v="2013-03-23T00:00:00"/>
        <d v="2013-03-24T00:00:00"/>
        <d v="2013-03-25T00:00:00"/>
        <d v="2013-03-26T00:00:00"/>
        <d v="2013-03-27T00:00:00"/>
        <d v="2013-03-28T00:00:00"/>
        <d v="2013-03-29T00:00:00"/>
        <d v="2013-03-30T00:00:00"/>
        <d v="2013-03-31T00:00:00"/>
        <d v="2013-04-0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2T00:00:00"/>
        <d v="2013-04-13T00:00:00"/>
        <d v="2013-04-14T00:00:00"/>
        <d v="2013-04-15T00:00:00"/>
        <d v="2013-04-16T00:00:00"/>
        <d v="2013-04-17T00:00:00"/>
        <d v="2013-04-18T00:00:00"/>
        <d v="2013-04-19T00:00:00"/>
        <d v="2013-04-20T00:00:00"/>
        <d v="2013-04-21T00:00:00"/>
        <d v="2013-04-22T00:00:00"/>
        <d v="2013-04-23T00:00:00"/>
        <d v="2013-04-24T00:00:00"/>
        <d v="2013-04-25T00:00:00"/>
        <d v="2013-04-26T00:00:00"/>
        <d v="2013-04-27T00:00:00"/>
        <d v="2013-04-28T00:00:00"/>
        <d v="2013-04-29T00:00:00"/>
        <d v="2013-04-30T00:00:00"/>
        <d v="2013-05-01T00:00:00"/>
        <d v="2013-05-02T00:00:00"/>
        <d v="2013-05-03T00:00:00"/>
        <d v="2013-05-04T00:00:00"/>
        <d v="2013-05-05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19T00:00:00"/>
        <d v="2013-05-20T00:00:00"/>
        <d v="2013-05-21T00:00:00"/>
        <d v="2013-05-22T00:00:00"/>
        <d v="2013-05-23T00:00:00"/>
        <d v="2013-05-24T00:00:00"/>
        <d v="2013-05-25T00:00:00"/>
        <d v="2013-05-26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6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6-30T00:00:00"/>
        <d v="2013-07-01T00:00:00"/>
        <d v="2013-07-02T00:00:00"/>
        <d v="2013-07-03T00:00:00"/>
        <d v="2013-07-04T00:00:00"/>
        <d v="2013-07-05T00:00:00"/>
        <d v="2013-07-06T00:00:00"/>
        <d v="2013-07-07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19T00:00:00"/>
        <d v="2013-07-20T00:00:00"/>
        <d v="2013-07-21T00:00:00"/>
        <d v="2013-07-22T00:00:00"/>
        <d v="2013-07-23T00:00:00"/>
        <d v="2013-07-24T00:00:00"/>
        <d v="2013-07-25T00:00:00"/>
        <d v="2013-07-26T00:00:00"/>
        <d v="2013-07-27T00:00:00"/>
        <d v="2013-07-28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8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1T00:00:00"/>
        <d v="2013-09-02T00:00:00"/>
        <d v="2013-09-03T00:00:00"/>
        <d v="2013-09-04T00:00:00"/>
        <d v="2013-09-05T00:00:00"/>
        <d v="2013-09-06T00:00:00"/>
        <d v="2013-09-07T00:00:00"/>
        <d v="2013-09-08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2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2T00:00:00"/>
        <d v="2013-10-03T00:00:00"/>
        <d v="2013-10-04T00:00:00"/>
        <d v="2013-10-05T00:00:00"/>
        <d v="2013-10-06T00:00:00"/>
        <d v="2013-10-07T00:00:00"/>
        <d v="2013-10-08T00:00:00"/>
        <d v="2013-10-09T00:00:00"/>
        <d v="2013-10-10T00:00:00"/>
        <d v="2013-10-11T00:00:00"/>
        <d v="2013-10-12T00:00:00"/>
        <d v="2013-10-13T00:00:00"/>
        <d v="2013-10-14T00:00:00"/>
        <d v="2013-10-15T00:00:00"/>
        <d v="2013-10-16T00:00:00"/>
        <d v="2013-10-17T00:00:00"/>
        <d v="2013-10-18T00:00:00"/>
        <d v="2013-10-19T00:00:00"/>
        <d v="2013-10-20T00:00:00"/>
        <d v="2013-10-21T00:00:00"/>
        <d v="2013-10-22T00:00:00"/>
        <d v="2013-10-23T00:00:00"/>
        <d v="2013-10-24T00:00:00"/>
        <d v="2013-10-25T00:00:00"/>
        <d v="2013-10-26T00:00:00"/>
        <d v="2013-10-27T00:00:00"/>
        <d v="2013-10-28T00:00:00"/>
        <d v="2013-10-29T00:00:00"/>
        <d v="2013-10-30T00:00:00"/>
        <d v="2013-10-31T00:00:00"/>
        <d v="2013-11-01T00:00:00"/>
        <d v="2013-11-02T00:00:00"/>
        <d v="2013-11-03T00:00:00"/>
        <d v="2013-11-04T00:00:00"/>
        <d v="2013-11-05T00:00:00"/>
        <d v="2013-11-06T00:00:00"/>
        <d v="2013-11-07T00:00:00"/>
        <d v="2013-11-08T00:00:00"/>
        <d v="2013-11-09T00:00:00"/>
        <d v="2013-11-10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3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1T00:00:00"/>
        <d v="2013-12-02T00:00:00"/>
        <d v="2013-12-03T00:00:00"/>
        <d v="2013-12-04T00:00:00"/>
        <d v="2013-12-05T00:00:00"/>
        <d v="2013-12-06T00:00:00"/>
        <d v="2013-12-07T00:00:00"/>
        <d v="2013-12-08T00:00:00"/>
        <d v="2013-12-09T00:00:00"/>
        <d v="2013-12-10T00:00:00"/>
        <d v="2013-12-11T00:00:00"/>
        <d v="2013-12-12T00:00:00"/>
        <d v="2013-12-13T00:00:00"/>
        <d v="2013-12-14T00:00:00"/>
        <d v="2013-12-15T00:00:00"/>
        <d v="2013-12-16T00:00:00"/>
        <d v="2013-12-17T00:00:00"/>
        <d v="2013-12-18T00:00:00"/>
        <d v="2013-12-19T00:00:00"/>
        <d v="2013-12-20T00:00:00"/>
        <d v="2013-12-21T00:00:00"/>
        <d v="2013-12-22T00:00:00"/>
        <d v="2013-12-23T00:00:00"/>
        <d v="2013-12-24T00:00:00"/>
        <d v="2013-12-25T00:00:00"/>
        <d v="2013-12-26T00:00:00"/>
        <d v="2013-12-27T00:00:00"/>
        <d v="2013-12-28T00:00:00"/>
        <d v="2013-12-29T00:00:00"/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0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par="5"/>
    </cacheField>
    <cacheField name="store" numFmtId="0">
      <sharedItems containsSemiMixedTypes="0" containsString="0" containsNumber="1" containsInteger="1" minValue="1" maxValue="1"/>
    </cacheField>
    <cacheField name="item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sales" numFmtId="0">
      <sharedItems containsSemiMixedTypes="0" containsString="0" containsNumber="1" containsInteger="1" minValue="3" maxValue="115"/>
    </cacheField>
    <cacheField name="Months (date)" numFmtId="0" databaseField="0">
      <fieldGroup base="0">
        <rangePr groupBy="months" startDate="2013-01-01T00:00:00" endDate="2018-01-01T00:00:00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8"/>
        </groupItems>
      </fieldGroup>
    </cacheField>
    <cacheField name="Years (date)" numFmtId="0" databaseField="0">
      <fieldGroup base="0">
        <rangePr groupBy="years" startDate="2013-01-01T00:00:00" endDate="2018-01-01T00:00:00"/>
        <groupItems count="8">
          <s v="&lt;1/1/2013"/>
          <s v="2013"/>
          <s v="2014"/>
          <s v="2015"/>
          <s v="2016"/>
          <s v="2017"/>
          <s v="2018"/>
          <s v="&gt;1/1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30">
  <r>
    <x v="0"/>
    <n v="1"/>
    <x v="0"/>
    <n v="13"/>
  </r>
  <r>
    <x v="1"/>
    <n v="1"/>
    <x v="0"/>
    <n v="11"/>
  </r>
  <r>
    <x v="2"/>
    <n v="1"/>
    <x v="0"/>
    <n v="14"/>
  </r>
  <r>
    <x v="3"/>
    <n v="1"/>
    <x v="0"/>
    <n v="13"/>
  </r>
  <r>
    <x v="4"/>
    <n v="1"/>
    <x v="0"/>
    <n v="10"/>
  </r>
  <r>
    <x v="5"/>
    <n v="1"/>
    <x v="0"/>
    <n v="12"/>
  </r>
  <r>
    <x v="6"/>
    <n v="1"/>
    <x v="0"/>
    <n v="10"/>
  </r>
  <r>
    <x v="7"/>
    <n v="1"/>
    <x v="0"/>
    <n v="9"/>
  </r>
  <r>
    <x v="8"/>
    <n v="1"/>
    <x v="0"/>
    <n v="12"/>
  </r>
  <r>
    <x v="9"/>
    <n v="1"/>
    <x v="0"/>
    <n v="9"/>
  </r>
  <r>
    <x v="10"/>
    <n v="1"/>
    <x v="0"/>
    <n v="9"/>
  </r>
  <r>
    <x v="11"/>
    <n v="1"/>
    <x v="0"/>
    <n v="7"/>
  </r>
  <r>
    <x v="12"/>
    <n v="1"/>
    <x v="0"/>
    <n v="10"/>
  </r>
  <r>
    <x v="13"/>
    <n v="1"/>
    <x v="0"/>
    <n v="12"/>
  </r>
  <r>
    <x v="14"/>
    <n v="1"/>
    <x v="0"/>
    <n v="5"/>
  </r>
  <r>
    <x v="15"/>
    <n v="1"/>
    <x v="0"/>
    <n v="7"/>
  </r>
  <r>
    <x v="16"/>
    <n v="1"/>
    <x v="0"/>
    <n v="16"/>
  </r>
  <r>
    <x v="17"/>
    <n v="1"/>
    <x v="0"/>
    <n v="7"/>
  </r>
  <r>
    <x v="18"/>
    <n v="1"/>
    <x v="0"/>
    <n v="18"/>
  </r>
  <r>
    <x v="19"/>
    <n v="1"/>
    <x v="0"/>
    <n v="15"/>
  </r>
  <r>
    <x v="20"/>
    <n v="1"/>
    <x v="0"/>
    <n v="8"/>
  </r>
  <r>
    <x v="21"/>
    <n v="1"/>
    <x v="0"/>
    <n v="7"/>
  </r>
  <r>
    <x v="22"/>
    <n v="1"/>
    <x v="0"/>
    <n v="9"/>
  </r>
  <r>
    <x v="23"/>
    <n v="1"/>
    <x v="0"/>
    <n v="8"/>
  </r>
  <r>
    <x v="24"/>
    <n v="1"/>
    <x v="0"/>
    <n v="14"/>
  </r>
  <r>
    <x v="25"/>
    <n v="1"/>
    <x v="0"/>
    <n v="12"/>
  </r>
  <r>
    <x v="26"/>
    <n v="1"/>
    <x v="0"/>
    <n v="12"/>
  </r>
  <r>
    <x v="27"/>
    <n v="1"/>
    <x v="0"/>
    <n v="11"/>
  </r>
  <r>
    <x v="28"/>
    <n v="1"/>
    <x v="0"/>
    <n v="6"/>
  </r>
  <r>
    <x v="29"/>
    <n v="1"/>
    <x v="0"/>
    <n v="9"/>
  </r>
  <r>
    <x v="30"/>
    <n v="1"/>
    <x v="0"/>
    <n v="13"/>
  </r>
  <r>
    <x v="31"/>
    <n v="1"/>
    <x v="0"/>
    <n v="11"/>
  </r>
  <r>
    <x v="32"/>
    <n v="1"/>
    <x v="0"/>
    <n v="21"/>
  </r>
  <r>
    <x v="33"/>
    <n v="1"/>
    <x v="0"/>
    <n v="15"/>
  </r>
  <r>
    <x v="34"/>
    <n v="1"/>
    <x v="0"/>
    <n v="14"/>
  </r>
  <r>
    <x v="35"/>
    <n v="1"/>
    <x v="0"/>
    <n v="9"/>
  </r>
  <r>
    <x v="36"/>
    <n v="1"/>
    <x v="0"/>
    <n v="10"/>
  </r>
  <r>
    <x v="37"/>
    <n v="1"/>
    <x v="0"/>
    <n v="13"/>
  </r>
  <r>
    <x v="38"/>
    <n v="1"/>
    <x v="0"/>
    <n v="11"/>
  </r>
  <r>
    <x v="39"/>
    <n v="1"/>
    <x v="0"/>
    <n v="14"/>
  </r>
  <r>
    <x v="40"/>
    <n v="1"/>
    <x v="0"/>
    <n v="11"/>
  </r>
  <r>
    <x v="41"/>
    <n v="1"/>
    <x v="0"/>
    <n v="16"/>
  </r>
  <r>
    <x v="42"/>
    <n v="1"/>
    <x v="0"/>
    <n v="11"/>
  </r>
  <r>
    <x v="43"/>
    <n v="1"/>
    <x v="0"/>
    <n v="14"/>
  </r>
  <r>
    <x v="44"/>
    <n v="1"/>
    <x v="0"/>
    <n v="10"/>
  </r>
  <r>
    <x v="45"/>
    <n v="1"/>
    <x v="0"/>
    <n v="11"/>
  </r>
  <r>
    <x v="46"/>
    <n v="1"/>
    <x v="0"/>
    <n v="7"/>
  </r>
  <r>
    <x v="47"/>
    <n v="1"/>
    <x v="0"/>
    <n v="11"/>
  </r>
  <r>
    <x v="48"/>
    <n v="1"/>
    <x v="0"/>
    <n v="10"/>
  </r>
  <r>
    <x v="49"/>
    <n v="1"/>
    <x v="0"/>
    <n v="10"/>
  </r>
  <r>
    <x v="50"/>
    <n v="1"/>
    <x v="0"/>
    <n v="7"/>
  </r>
  <r>
    <x v="51"/>
    <n v="1"/>
    <x v="0"/>
    <n v="13"/>
  </r>
  <r>
    <x v="52"/>
    <n v="1"/>
    <x v="0"/>
    <n v="12"/>
  </r>
  <r>
    <x v="53"/>
    <n v="1"/>
    <x v="0"/>
    <n v="15"/>
  </r>
  <r>
    <x v="54"/>
    <n v="1"/>
    <x v="0"/>
    <n v="11"/>
  </r>
  <r>
    <x v="55"/>
    <n v="1"/>
    <x v="0"/>
    <n v="7"/>
  </r>
  <r>
    <x v="56"/>
    <n v="1"/>
    <x v="0"/>
    <n v="9"/>
  </r>
  <r>
    <x v="57"/>
    <n v="1"/>
    <x v="0"/>
    <n v="9"/>
  </r>
  <r>
    <x v="58"/>
    <n v="1"/>
    <x v="0"/>
    <n v="10"/>
  </r>
  <r>
    <x v="59"/>
    <n v="1"/>
    <x v="0"/>
    <n v="15"/>
  </r>
  <r>
    <x v="60"/>
    <n v="1"/>
    <x v="0"/>
    <n v="13"/>
  </r>
  <r>
    <x v="61"/>
    <n v="1"/>
    <x v="0"/>
    <n v="20"/>
  </r>
  <r>
    <x v="62"/>
    <n v="1"/>
    <x v="0"/>
    <n v="14"/>
  </r>
  <r>
    <x v="63"/>
    <n v="1"/>
    <x v="0"/>
    <n v="13"/>
  </r>
  <r>
    <x v="64"/>
    <n v="1"/>
    <x v="0"/>
    <n v="17"/>
  </r>
  <r>
    <x v="65"/>
    <n v="1"/>
    <x v="0"/>
    <n v="11"/>
  </r>
  <r>
    <x v="66"/>
    <n v="1"/>
    <x v="0"/>
    <n v="15"/>
  </r>
  <r>
    <x v="67"/>
    <n v="1"/>
    <x v="0"/>
    <n v="16"/>
  </r>
  <r>
    <x v="68"/>
    <n v="1"/>
    <x v="0"/>
    <n v="11"/>
  </r>
  <r>
    <x v="69"/>
    <n v="1"/>
    <x v="0"/>
    <n v="18"/>
  </r>
  <r>
    <x v="70"/>
    <n v="1"/>
    <x v="0"/>
    <n v="14"/>
  </r>
  <r>
    <x v="71"/>
    <n v="1"/>
    <x v="0"/>
    <n v="13"/>
  </r>
  <r>
    <x v="72"/>
    <n v="1"/>
    <x v="0"/>
    <n v="10"/>
  </r>
  <r>
    <x v="73"/>
    <n v="1"/>
    <x v="0"/>
    <n v="14"/>
  </r>
  <r>
    <x v="74"/>
    <n v="1"/>
    <x v="0"/>
    <n v="10"/>
  </r>
  <r>
    <x v="75"/>
    <n v="1"/>
    <x v="0"/>
    <n v="22"/>
  </r>
  <r>
    <x v="76"/>
    <n v="1"/>
    <x v="0"/>
    <n v="11"/>
  </r>
  <r>
    <x v="77"/>
    <n v="1"/>
    <x v="0"/>
    <n v="19"/>
  </r>
  <r>
    <x v="78"/>
    <n v="1"/>
    <x v="0"/>
    <n v="14"/>
  </r>
  <r>
    <x v="79"/>
    <n v="1"/>
    <x v="0"/>
    <n v="17"/>
  </r>
  <r>
    <x v="80"/>
    <n v="1"/>
    <x v="0"/>
    <n v="21"/>
  </r>
  <r>
    <x v="81"/>
    <n v="1"/>
    <x v="0"/>
    <n v="21"/>
  </r>
  <r>
    <x v="82"/>
    <n v="1"/>
    <x v="0"/>
    <n v="19"/>
  </r>
  <r>
    <x v="83"/>
    <n v="1"/>
    <x v="0"/>
    <n v="13"/>
  </r>
  <r>
    <x v="84"/>
    <n v="1"/>
    <x v="0"/>
    <n v="16"/>
  </r>
  <r>
    <x v="85"/>
    <n v="1"/>
    <x v="0"/>
    <n v="11"/>
  </r>
  <r>
    <x v="86"/>
    <n v="1"/>
    <x v="0"/>
    <n v="13"/>
  </r>
  <r>
    <x v="87"/>
    <n v="1"/>
    <x v="0"/>
    <n v="17"/>
  </r>
  <r>
    <x v="88"/>
    <n v="1"/>
    <x v="0"/>
    <n v="19"/>
  </r>
  <r>
    <x v="89"/>
    <n v="1"/>
    <x v="0"/>
    <n v="20"/>
  </r>
  <r>
    <x v="90"/>
    <n v="1"/>
    <x v="0"/>
    <n v="11"/>
  </r>
  <r>
    <x v="91"/>
    <n v="1"/>
    <x v="0"/>
    <n v="19"/>
  </r>
  <r>
    <x v="92"/>
    <n v="1"/>
    <x v="0"/>
    <n v="24"/>
  </r>
  <r>
    <x v="93"/>
    <n v="1"/>
    <x v="0"/>
    <n v="18"/>
  </r>
  <r>
    <x v="94"/>
    <n v="1"/>
    <x v="0"/>
    <n v="19"/>
  </r>
  <r>
    <x v="95"/>
    <n v="1"/>
    <x v="0"/>
    <n v="23"/>
  </r>
  <r>
    <x v="96"/>
    <n v="1"/>
    <x v="0"/>
    <n v="17"/>
  </r>
  <r>
    <x v="97"/>
    <n v="1"/>
    <x v="0"/>
    <n v="19"/>
  </r>
  <r>
    <x v="98"/>
    <n v="1"/>
    <x v="0"/>
    <n v="13"/>
  </r>
  <r>
    <x v="99"/>
    <n v="1"/>
    <x v="0"/>
    <n v="19"/>
  </r>
  <r>
    <x v="100"/>
    <n v="1"/>
    <x v="0"/>
    <n v="16"/>
  </r>
  <r>
    <x v="101"/>
    <n v="1"/>
    <x v="0"/>
    <n v="18"/>
  </r>
  <r>
    <x v="102"/>
    <n v="1"/>
    <x v="0"/>
    <n v="17"/>
  </r>
  <r>
    <x v="103"/>
    <n v="1"/>
    <x v="0"/>
    <n v="26"/>
  </r>
  <r>
    <x v="104"/>
    <n v="1"/>
    <x v="0"/>
    <n v="14"/>
  </r>
  <r>
    <x v="105"/>
    <n v="1"/>
    <x v="0"/>
    <n v="9"/>
  </r>
  <r>
    <x v="106"/>
    <n v="1"/>
    <x v="0"/>
    <n v="17"/>
  </r>
  <r>
    <x v="107"/>
    <n v="1"/>
    <x v="0"/>
    <n v="21"/>
  </r>
  <r>
    <x v="108"/>
    <n v="1"/>
    <x v="0"/>
    <n v="22"/>
  </r>
  <r>
    <x v="109"/>
    <n v="1"/>
    <x v="0"/>
    <n v="22"/>
  </r>
  <r>
    <x v="110"/>
    <n v="1"/>
    <x v="0"/>
    <n v="20"/>
  </r>
  <r>
    <x v="111"/>
    <n v="1"/>
    <x v="0"/>
    <n v="13"/>
  </r>
  <r>
    <x v="112"/>
    <n v="1"/>
    <x v="0"/>
    <n v="11"/>
  </r>
  <r>
    <x v="113"/>
    <n v="1"/>
    <x v="0"/>
    <n v="13"/>
  </r>
  <r>
    <x v="114"/>
    <n v="1"/>
    <x v="0"/>
    <n v="14"/>
  </r>
  <r>
    <x v="115"/>
    <n v="1"/>
    <x v="0"/>
    <n v="20"/>
  </r>
  <r>
    <x v="116"/>
    <n v="1"/>
    <x v="0"/>
    <n v="22"/>
  </r>
  <r>
    <x v="117"/>
    <n v="1"/>
    <x v="0"/>
    <n v="19"/>
  </r>
  <r>
    <x v="118"/>
    <n v="1"/>
    <x v="0"/>
    <n v="11"/>
  </r>
  <r>
    <x v="119"/>
    <n v="1"/>
    <x v="0"/>
    <n v="15"/>
  </r>
  <r>
    <x v="120"/>
    <n v="1"/>
    <x v="0"/>
    <n v="16"/>
  </r>
  <r>
    <x v="121"/>
    <n v="1"/>
    <x v="0"/>
    <n v="23"/>
  </r>
  <r>
    <x v="122"/>
    <n v="1"/>
    <x v="0"/>
    <n v="22"/>
  </r>
  <r>
    <x v="123"/>
    <n v="1"/>
    <x v="0"/>
    <n v="20"/>
  </r>
  <r>
    <x v="124"/>
    <n v="1"/>
    <x v="0"/>
    <n v="14"/>
  </r>
  <r>
    <x v="125"/>
    <n v="1"/>
    <x v="0"/>
    <n v="14"/>
  </r>
  <r>
    <x v="126"/>
    <n v="1"/>
    <x v="0"/>
    <n v="15"/>
  </r>
  <r>
    <x v="127"/>
    <n v="1"/>
    <x v="0"/>
    <n v="14"/>
  </r>
  <r>
    <x v="128"/>
    <n v="1"/>
    <x v="0"/>
    <n v="11"/>
  </r>
  <r>
    <x v="129"/>
    <n v="1"/>
    <x v="0"/>
    <n v="16"/>
  </r>
  <r>
    <x v="130"/>
    <n v="1"/>
    <x v="0"/>
    <n v="19"/>
  </r>
  <r>
    <x v="131"/>
    <n v="1"/>
    <x v="0"/>
    <n v="13"/>
  </r>
  <r>
    <x v="132"/>
    <n v="1"/>
    <x v="0"/>
    <n v="9"/>
  </r>
  <r>
    <x v="133"/>
    <n v="1"/>
    <x v="0"/>
    <n v="13"/>
  </r>
  <r>
    <x v="134"/>
    <n v="1"/>
    <x v="0"/>
    <n v="16"/>
  </r>
  <r>
    <x v="135"/>
    <n v="1"/>
    <x v="0"/>
    <n v="15"/>
  </r>
  <r>
    <x v="136"/>
    <n v="1"/>
    <x v="0"/>
    <n v="16"/>
  </r>
  <r>
    <x v="137"/>
    <n v="1"/>
    <x v="0"/>
    <n v="20"/>
  </r>
  <r>
    <x v="138"/>
    <n v="1"/>
    <x v="0"/>
    <n v="19"/>
  </r>
  <r>
    <x v="139"/>
    <n v="1"/>
    <x v="0"/>
    <n v="14"/>
  </r>
  <r>
    <x v="140"/>
    <n v="1"/>
    <x v="0"/>
    <n v="24"/>
  </r>
  <r>
    <x v="141"/>
    <n v="1"/>
    <x v="0"/>
    <n v="23"/>
  </r>
  <r>
    <x v="142"/>
    <n v="1"/>
    <x v="0"/>
    <n v="14"/>
  </r>
  <r>
    <x v="143"/>
    <n v="1"/>
    <x v="0"/>
    <n v="24"/>
  </r>
  <r>
    <x v="144"/>
    <n v="1"/>
    <x v="0"/>
    <n v="25"/>
  </r>
  <r>
    <x v="145"/>
    <n v="1"/>
    <x v="0"/>
    <n v="27"/>
  </r>
  <r>
    <x v="146"/>
    <n v="1"/>
    <x v="0"/>
    <n v="7"/>
  </r>
  <r>
    <x v="147"/>
    <n v="1"/>
    <x v="0"/>
    <n v="12"/>
  </r>
  <r>
    <x v="148"/>
    <n v="1"/>
    <x v="0"/>
    <n v="10"/>
  </r>
  <r>
    <x v="149"/>
    <n v="1"/>
    <x v="0"/>
    <n v="19"/>
  </r>
  <r>
    <x v="150"/>
    <n v="1"/>
    <x v="0"/>
    <n v="27"/>
  </r>
  <r>
    <x v="151"/>
    <n v="1"/>
    <x v="0"/>
    <n v="26"/>
  </r>
  <r>
    <x v="152"/>
    <n v="1"/>
    <x v="0"/>
    <n v="22"/>
  </r>
  <r>
    <x v="153"/>
    <n v="1"/>
    <x v="0"/>
    <n v="12"/>
  </r>
  <r>
    <x v="154"/>
    <n v="1"/>
    <x v="0"/>
    <n v="15"/>
  </r>
  <r>
    <x v="155"/>
    <n v="1"/>
    <x v="0"/>
    <n v="24"/>
  </r>
  <r>
    <x v="156"/>
    <n v="1"/>
    <x v="0"/>
    <n v="9"/>
  </r>
  <r>
    <x v="157"/>
    <n v="1"/>
    <x v="0"/>
    <n v="21"/>
  </r>
  <r>
    <x v="158"/>
    <n v="1"/>
    <x v="0"/>
    <n v="20"/>
  </r>
  <r>
    <x v="159"/>
    <n v="1"/>
    <x v="0"/>
    <n v="38"/>
  </r>
  <r>
    <x v="160"/>
    <n v="1"/>
    <x v="0"/>
    <n v="20"/>
  </r>
  <r>
    <x v="161"/>
    <n v="1"/>
    <x v="0"/>
    <n v="18"/>
  </r>
  <r>
    <x v="162"/>
    <n v="1"/>
    <x v="0"/>
    <n v="22"/>
  </r>
  <r>
    <x v="163"/>
    <n v="1"/>
    <x v="0"/>
    <n v="21"/>
  </r>
  <r>
    <x v="164"/>
    <n v="1"/>
    <x v="0"/>
    <n v="22"/>
  </r>
  <r>
    <x v="165"/>
    <n v="1"/>
    <x v="0"/>
    <n v="26"/>
  </r>
  <r>
    <x v="166"/>
    <n v="1"/>
    <x v="0"/>
    <n v="23"/>
  </r>
  <r>
    <x v="167"/>
    <n v="1"/>
    <x v="0"/>
    <n v="13"/>
  </r>
  <r>
    <x v="168"/>
    <n v="1"/>
    <x v="0"/>
    <n v="21"/>
  </r>
  <r>
    <x v="169"/>
    <n v="1"/>
    <x v="0"/>
    <n v="18"/>
  </r>
  <r>
    <x v="170"/>
    <n v="1"/>
    <x v="0"/>
    <n v="24"/>
  </r>
  <r>
    <x v="171"/>
    <n v="1"/>
    <x v="0"/>
    <n v="19"/>
  </r>
  <r>
    <x v="172"/>
    <n v="1"/>
    <x v="0"/>
    <n v="23"/>
  </r>
  <r>
    <x v="173"/>
    <n v="1"/>
    <x v="0"/>
    <n v="24"/>
  </r>
  <r>
    <x v="174"/>
    <n v="1"/>
    <x v="0"/>
    <n v="17"/>
  </r>
  <r>
    <x v="175"/>
    <n v="1"/>
    <x v="0"/>
    <n v="21"/>
  </r>
  <r>
    <x v="176"/>
    <n v="1"/>
    <x v="0"/>
    <n v="21"/>
  </r>
  <r>
    <x v="177"/>
    <n v="1"/>
    <x v="0"/>
    <n v="26"/>
  </r>
  <r>
    <x v="178"/>
    <n v="1"/>
    <x v="0"/>
    <n v="17"/>
  </r>
  <r>
    <x v="179"/>
    <n v="1"/>
    <x v="0"/>
    <n v="20"/>
  </r>
  <r>
    <x v="180"/>
    <n v="1"/>
    <x v="0"/>
    <n v="24"/>
  </r>
  <r>
    <x v="181"/>
    <n v="1"/>
    <x v="0"/>
    <n v="23"/>
  </r>
  <r>
    <x v="182"/>
    <n v="1"/>
    <x v="0"/>
    <n v="17"/>
  </r>
  <r>
    <x v="183"/>
    <n v="1"/>
    <x v="0"/>
    <n v="12"/>
  </r>
  <r>
    <x v="184"/>
    <n v="1"/>
    <x v="0"/>
    <n v="24"/>
  </r>
  <r>
    <x v="185"/>
    <n v="1"/>
    <x v="0"/>
    <n v="17"/>
  </r>
  <r>
    <x v="186"/>
    <n v="1"/>
    <x v="0"/>
    <n v="16"/>
  </r>
  <r>
    <x v="187"/>
    <n v="1"/>
    <x v="0"/>
    <n v="34"/>
  </r>
  <r>
    <x v="188"/>
    <n v="1"/>
    <x v="0"/>
    <n v="20"/>
  </r>
  <r>
    <x v="189"/>
    <n v="1"/>
    <x v="0"/>
    <n v="23"/>
  </r>
  <r>
    <x v="190"/>
    <n v="1"/>
    <x v="0"/>
    <n v="14"/>
  </r>
  <r>
    <x v="191"/>
    <n v="1"/>
    <x v="0"/>
    <n v="25"/>
  </r>
  <r>
    <x v="192"/>
    <n v="1"/>
    <x v="0"/>
    <n v="29"/>
  </r>
  <r>
    <x v="193"/>
    <n v="1"/>
    <x v="0"/>
    <n v="22"/>
  </r>
  <r>
    <x v="194"/>
    <n v="1"/>
    <x v="0"/>
    <n v="29"/>
  </r>
  <r>
    <x v="195"/>
    <n v="1"/>
    <x v="0"/>
    <n v="18"/>
  </r>
  <r>
    <x v="196"/>
    <n v="1"/>
    <x v="0"/>
    <n v="12"/>
  </r>
  <r>
    <x v="197"/>
    <n v="1"/>
    <x v="0"/>
    <n v="16"/>
  </r>
  <r>
    <x v="198"/>
    <n v="1"/>
    <x v="0"/>
    <n v="21"/>
  </r>
  <r>
    <x v="199"/>
    <n v="1"/>
    <x v="0"/>
    <n v="25"/>
  </r>
  <r>
    <x v="200"/>
    <n v="1"/>
    <x v="0"/>
    <n v="25"/>
  </r>
  <r>
    <x v="201"/>
    <n v="1"/>
    <x v="0"/>
    <n v="26"/>
  </r>
  <r>
    <x v="202"/>
    <n v="1"/>
    <x v="0"/>
    <n v="18"/>
  </r>
  <r>
    <x v="203"/>
    <n v="1"/>
    <x v="0"/>
    <n v="17"/>
  </r>
  <r>
    <x v="204"/>
    <n v="1"/>
    <x v="0"/>
    <n v="21"/>
  </r>
  <r>
    <x v="205"/>
    <n v="1"/>
    <x v="0"/>
    <n v="21"/>
  </r>
  <r>
    <x v="206"/>
    <n v="1"/>
    <x v="0"/>
    <n v="31"/>
  </r>
  <r>
    <x v="207"/>
    <n v="1"/>
    <x v="0"/>
    <n v="19"/>
  </r>
  <r>
    <x v="208"/>
    <n v="1"/>
    <x v="0"/>
    <n v="25"/>
  </r>
  <r>
    <x v="209"/>
    <n v="1"/>
    <x v="0"/>
    <n v="8"/>
  </r>
  <r>
    <x v="210"/>
    <n v="1"/>
    <x v="0"/>
    <n v="26"/>
  </r>
  <r>
    <x v="211"/>
    <n v="1"/>
    <x v="0"/>
    <n v="27"/>
  </r>
  <r>
    <x v="212"/>
    <n v="1"/>
    <x v="0"/>
    <n v="21"/>
  </r>
  <r>
    <x v="213"/>
    <n v="1"/>
    <x v="0"/>
    <n v="19"/>
  </r>
  <r>
    <x v="214"/>
    <n v="1"/>
    <x v="0"/>
    <n v="24"/>
  </r>
  <r>
    <x v="215"/>
    <n v="1"/>
    <x v="0"/>
    <n v="26"/>
  </r>
  <r>
    <x v="216"/>
    <n v="1"/>
    <x v="0"/>
    <n v="17"/>
  </r>
  <r>
    <x v="217"/>
    <n v="1"/>
    <x v="0"/>
    <n v="10"/>
  </r>
  <r>
    <x v="218"/>
    <n v="1"/>
    <x v="0"/>
    <n v="25"/>
  </r>
  <r>
    <x v="219"/>
    <n v="1"/>
    <x v="0"/>
    <n v="20"/>
  </r>
  <r>
    <x v="220"/>
    <n v="1"/>
    <x v="0"/>
    <n v="19"/>
  </r>
  <r>
    <x v="221"/>
    <n v="1"/>
    <x v="0"/>
    <n v="22"/>
  </r>
  <r>
    <x v="222"/>
    <n v="1"/>
    <x v="0"/>
    <n v="25"/>
  </r>
  <r>
    <x v="223"/>
    <n v="1"/>
    <x v="0"/>
    <n v="10"/>
  </r>
  <r>
    <x v="224"/>
    <n v="1"/>
    <x v="0"/>
    <n v="11"/>
  </r>
  <r>
    <x v="225"/>
    <n v="1"/>
    <x v="0"/>
    <n v="19"/>
  </r>
  <r>
    <x v="226"/>
    <n v="1"/>
    <x v="0"/>
    <n v="22"/>
  </r>
  <r>
    <x v="227"/>
    <n v="1"/>
    <x v="0"/>
    <n v="15"/>
  </r>
  <r>
    <x v="228"/>
    <n v="1"/>
    <x v="0"/>
    <n v="29"/>
  </r>
  <r>
    <x v="229"/>
    <n v="1"/>
    <x v="0"/>
    <n v="27"/>
  </r>
  <r>
    <x v="230"/>
    <n v="1"/>
    <x v="0"/>
    <n v="11"/>
  </r>
  <r>
    <x v="231"/>
    <n v="1"/>
    <x v="0"/>
    <n v="15"/>
  </r>
  <r>
    <x v="232"/>
    <n v="1"/>
    <x v="0"/>
    <n v="20"/>
  </r>
  <r>
    <x v="233"/>
    <n v="1"/>
    <x v="0"/>
    <n v="20"/>
  </r>
  <r>
    <x v="234"/>
    <n v="1"/>
    <x v="0"/>
    <n v="19"/>
  </r>
  <r>
    <x v="235"/>
    <n v="1"/>
    <x v="0"/>
    <n v="19"/>
  </r>
  <r>
    <x v="236"/>
    <n v="1"/>
    <x v="0"/>
    <n v="23"/>
  </r>
  <r>
    <x v="237"/>
    <n v="1"/>
    <x v="0"/>
    <n v="11"/>
  </r>
  <r>
    <x v="238"/>
    <n v="1"/>
    <x v="0"/>
    <n v="16"/>
  </r>
  <r>
    <x v="239"/>
    <n v="1"/>
    <x v="0"/>
    <n v="20"/>
  </r>
  <r>
    <x v="240"/>
    <n v="1"/>
    <x v="0"/>
    <n v="14"/>
  </r>
  <r>
    <x v="241"/>
    <n v="1"/>
    <x v="0"/>
    <n v="20"/>
  </r>
  <r>
    <x v="242"/>
    <n v="1"/>
    <x v="0"/>
    <n v="25"/>
  </r>
  <r>
    <x v="243"/>
    <n v="1"/>
    <x v="0"/>
    <n v="25"/>
  </r>
  <r>
    <x v="244"/>
    <n v="1"/>
    <x v="0"/>
    <n v="10"/>
  </r>
  <r>
    <x v="245"/>
    <n v="1"/>
    <x v="0"/>
    <n v="16"/>
  </r>
  <r>
    <x v="246"/>
    <n v="1"/>
    <x v="0"/>
    <n v="10"/>
  </r>
  <r>
    <x v="247"/>
    <n v="1"/>
    <x v="0"/>
    <n v="16"/>
  </r>
  <r>
    <x v="248"/>
    <n v="1"/>
    <x v="0"/>
    <n v="20"/>
  </r>
  <r>
    <x v="249"/>
    <n v="1"/>
    <x v="0"/>
    <n v="20"/>
  </r>
  <r>
    <x v="250"/>
    <n v="1"/>
    <x v="0"/>
    <n v="19"/>
  </r>
  <r>
    <x v="251"/>
    <n v="1"/>
    <x v="0"/>
    <n v="15"/>
  </r>
  <r>
    <x v="252"/>
    <n v="1"/>
    <x v="0"/>
    <n v="17"/>
  </r>
  <r>
    <x v="253"/>
    <n v="1"/>
    <x v="0"/>
    <n v="26"/>
  </r>
  <r>
    <x v="254"/>
    <n v="1"/>
    <x v="0"/>
    <n v="14"/>
  </r>
  <r>
    <x v="255"/>
    <n v="1"/>
    <x v="0"/>
    <n v="16"/>
  </r>
  <r>
    <x v="256"/>
    <n v="1"/>
    <x v="0"/>
    <n v="27"/>
  </r>
  <r>
    <x v="257"/>
    <n v="1"/>
    <x v="0"/>
    <n v="14"/>
  </r>
  <r>
    <x v="258"/>
    <n v="1"/>
    <x v="0"/>
    <n v="16"/>
  </r>
  <r>
    <x v="259"/>
    <n v="1"/>
    <x v="0"/>
    <n v="20"/>
  </r>
  <r>
    <x v="260"/>
    <n v="1"/>
    <x v="0"/>
    <n v="18"/>
  </r>
  <r>
    <x v="261"/>
    <n v="1"/>
    <x v="0"/>
    <n v="16"/>
  </r>
  <r>
    <x v="262"/>
    <n v="1"/>
    <x v="0"/>
    <n v="11"/>
  </r>
  <r>
    <x v="263"/>
    <n v="1"/>
    <x v="0"/>
    <n v="13"/>
  </r>
  <r>
    <x v="264"/>
    <n v="1"/>
    <x v="0"/>
    <n v="16"/>
  </r>
  <r>
    <x v="265"/>
    <n v="1"/>
    <x v="0"/>
    <n v="18"/>
  </r>
  <r>
    <x v="266"/>
    <n v="1"/>
    <x v="0"/>
    <n v="14"/>
  </r>
  <r>
    <x v="267"/>
    <n v="1"/>
    <x v="0"/>
    <n v="17"/>
  </r>
  <r>
    <x v="268"/>
    <n v="1"/>
    <x v="0"/>
    <n v="20"/>
  </r>
  <r>
    <x v="269"/>
    <n v="1"/>
    <x v="0"/>
    <n v="22"/>
  </r>
  <r>
    <x v="270"/>
    <n v="1"/>
    <x v="0"/>
    <n v="13"/>
  </r>
  <r>
    <x v="271"/>
    <n v="1"/>
    <x v="0"/>
    <n v="20"/>
  </r>
  <r>
    <x v="272"/>
    <n v="1"/>
    <x v="0"/>
    <n v="20"/>
  </r>
  <r>
    <x v="273"/>
    <n v="1"/>
    <x v="0"/>
    <n v="12"/>
  </r>
  <r>
    <x v="274"/>
    <n v="1"/>
    <x v="0"/>
    <n v="11"/>
  </r>
  <r>
    <x v="275"/>
    <n v="1"/>
    <x v="0"/>
    <n v="14"/>
  </r>
  <r>
    <x v="276"/>
    <n v="1"/>
    <x v="0"/>
    <n v="14"/>
  </r>
  <r>
    <x v="277"/>
    <n v="1"/>
    <x v="0"/>
    <n v="14"/>
  </r>
  <r>
    <x v="278"/>
    <n v="1"/>
    <x v="0"/>
    <n v="20"/>
  </r>
  <r>
    <x v="279"/>
    <n v="1"/>
    <x v="0"/>
    <n v="13"/>
  </r>
  <r>
    <x v="280"/>
    <n v="1"/>
    <x v="0"/>
    <n v="13"/>
  </r>
  <r>
    <x v="281"/>
    <n v="1"/>
    <x v="0"/>
    <n v="14"/>
  </r>
  <r>
    <x v="282"/>
    <n v="1"/>
    <x v="0"/>
    <n v="20"/>
  </r>
  <r>
    <x v="283"/>
    <n v="1"/>
    <x v="0"/>
    <n v="17"/>
  </r>
  <r>
    <x v="284"/>
    <n v="1"/>
    <x v="0"/>
    <n v="17"/>
  </r>
  <r>
    <x v="285"/>
    <n v="1"/>
    <x v="0"/>
    <n v="20"/>
  </r>
  <r>
    <x v="286"/>
    <n v="1"/>
    <x v="0"/>
    <n v="15"/>
  </r>
  <r>
    <x v="287"/>
    <n v="1"/>
    <x v="0"/>
    <n v="15"/>
  </r>
  <r>
    <x v="288"/>
    <n v="1"/>
    <x v="0"/>
    <n v="15"/>
  </r>
  <r>
    <x v="289"/>
    <n v="1"/>
    <x v="0"/>
    <n v="10"/>
  </r>
  <r>
    <x v="290"/>
    <n v="1"/>
    <x v="0"/>
    <n v="10"/>
  </r>
  <r>
    <x v="291"/>
    <n v="1"/>
    <x v="0"/>
    <n v="18"/>
  </r>
  <r>
    <x v="292"/>
    <n v="1"/>
    <x v="0"/>
    <n v="25"/>
  </r>
  <r>
    <x v="293"/>
    <n v="1"/>
    <x v="0"/>
    <n v="13"/>
  </r>
  <r>
    <x v="294"/>
    <n v="1"/>
    <x v="0"/>
    <n v="11"/>
  </r>
  <r>
    <x v="295"/>
    <n v="1"/>
    <x v="0"/>
    <n v="16"/>
  </r>
  <r>
    <x v="296"/>
    <n v="1"/>
    <x v="0"/>
    <n v="17"/>
  </r>
  <r>
    <x v="297"/>
    <n v="1"/>
    <x v="0"/>
    <n v="18"/>
  </r>
  <r>
    <x v="298"/>
    <n v="1"/>
    <x v="0"/>
    <n v="19"/>
  </r>
  <r>
    <x v="299"/>
    <n v="1"/>
    <x v="0"/>
    <n v="14"/>
  </r>
  <r>
    <x v="300"/>
    <n v="1"/>
    <x v="0"/>
    <n v="11"/>
  </r>
  <r>
    <x v="301"/>
    <n v="1"/>
    <x v="0"/>
    <n v="17"/>
  </r>
  <r>
    <x v="302"/>
    <n v="1"/>
    <x v="0"/>
    <n v="20"/>
  </r>
  <r>
    <x v="303"/>
    <n v="1"/>
    <x v="0"/>
    <n v="21"/>
  </r>
  <r>
    <x v="304"/>
    <n v="1"/>
    <x v="0"/>
    <n v="20"/>
  </r>
  <r>
    <x v="305"/>
    <n v="1"/>
    <x v="0"/>
    <n v="24"/>
  </r>
  <r>
    <x v="306"/>
    <n v="1"/>
    <x v="0"/>
    <n v="19"/>
  </r>
  <r>
    <x v="307"/>
    <n v="1"/>
    <x v="0"/>
    <n v="12"/>
  </r>
  <r>
    <x v="308"/>
    <n v="1"/>
    <x v="0"/>
    <n v="20"/>
  </r>
  <r>
    <x v="309"/>
    <n v="1"/>
    <x v="0"/>
    <n v="16"/>
  </r>
  <r>
    <x v="310"/>
    <n v="1"/>
    <x v="0"/>
    <n v="17"/>
  </r>
  <r>
    <x v="311"/>
    <n v="1"/>
    <x v="0"/>
    <n v="22"/>
  </r>
  <r>
    <x v="312"/>
    <n v="1"/>
    <x v="0"/>
    <n v="18"/>
  </r>
  <r>
    <x v="313"/>
    <n v="1"/>
    <x v="0"/>
    <n v="23"/>
  </r>
  <r>
    <x v="314"/>
    <n v="1"/>
    <x v="0"/>
    <n v="16"/>
  </r>
  <r>
    <x v="315"/>
    <n v="1"/>
    <x v="0"/>
    <n v="20"/>
  </r>
  <r>
    <x v="316"/>
    <n v="1"/>
    <x v="0"/>
    <n v="20"/>
  </r>
  <r>
    <x v="317"/>
    <n v="1"/>
    <x v="0"/>
    <n v="9"/>
  </r>
  <r>
    <x v="318"/>
    <n v="1"/>
    <x v="0"/>
    <n v="18"/>
  </r>
  <r>
    <x v="319"/>
    <n v="1"/>
    <x v="0"/>
    <n v="13"/>
  </r>
  <r>
    <x v="320"/>
    <n v="1"/>
    <x v="0"/>
    <n v="17"/>
  </r>
  <r>
    <x v="321"/>
    <n v="1"/>
    <x v="0"/>
    <n v="17"/>
  </r>
  <r>
    <x v="322"/>
    <n v="1"/>
    <x v="0"/>
    <n v="18"/>
  </r>
  <r>
    <x v="323"/>
    <n v="1"/>
    <x v="0"/>
    <n v="17"/>
  </r>
  <r>
    <x v="324"/>
    <n v="1"/>
    <x v="0"/>
    <n v="16"/>
  </r>
  <r>
    <x v="325"/>
    <n v="1"/>
    <x v="0"/>
    <n v="17"/>
  </r>
  <r>
    <x v="326"/>
    <n v="1"/>
    <x v="0"/>
    <n v="31"/>
  </r>
  <r>
    <x v="327"/>
    <n v="1"/>
    <x v="0"/>
    <n v="20"/>
  </r>
  <r>
    <x v="328"/>
    <n v="1"/>
    <x v="0"/>
    <n v="16"/>
  </r>
  <r>
    <x v="329"/>
    <n v="1"/>
    <x v="0"/>
    <n v="25"/>
  </r>
  <r>
    <x v="330"/>
    <n v="1"/>
    <x v="0"/>
    <n v="25"/>
  </r>
  <r>
    <x v="331"/>
    <n v="1"/>
    <x v="0"/>
    <n v="17"/>
  </r>
  <r>
    <x v="332"/>
    <n v="1"/>
    <x v="0"/>
    <n v="19"/>
  </r>
  <r>
    <x v="333"/>
    <n v="1"/>
    <x v="0"/>
    <n v="30"/>
  </r>
  <r>
    <x v="334"/>
    <n v="1"/>
    <x v="0"/>
    <n v="16"/>
  </r>
  <r>
    <x v="335"/>
    <n v="1"/>
    <x v="0"/>
    <n v="8"/>
  </r>
  <r>
    <x v="336"/>
    <n v="1"/>
    <x v="0"/>
    <n v="21"/>
  </r>
  <r>
    <x v="337"/>
    <n v="1"/>
    <x v="0"/>
    <n v="6"/>
  </r>
  <r>
    <x v="338"/>
    <n v="1"/>
    <x v="0"/>
    <n v="13"/>
  </r>
  <r>
    <x v="339"/>
    <n v="1"/>
    <x v="0"/>
    <n v="15"/>
  </r>
  <r>
    <x v="340"/>
    <n v="1"/>
    <x v="0"/>
    <n v="17"/>
  </r>
  <r>
    <x v="341"/>
    <n v="1"/>
    <x v="0"/>
    <n v="17"/>
  </r>
  <r>
    <x v="342"/>
    <n v="1"/>
    <x v="0"/>
    <n v="8"/>
  </r>
  <r>
    <x v="343"/>
    <n v="1"/>
    <x v="0"/>
    <n v="14"/>
  </r>
  <r>
    <x v="344"/>
    <n v="1"/>
    <x v="0"/>
    <n v="7"/>
  </r>
  <r>
    <x v="345"/>
    <n v="1"/>
    <x v="0"/>
    <n v="5"/>
  </r>
  <r>
    <x v="346"/>
    <n v="1"/>
    <x v="0"/>
    <n v="13"/>
  </r>
  <r>
    <x v="347"/>
    <n v="1"/>
    <x v="0"/>
    <n v="16"/>
  </r>
  <r>
    <x v="348"/>
    <n v="1"/>
    <x v="0"/>
    <n v="15"/>
  </r>
  <r>
    <x v="349"/>
    <n v="1"/>
    <x v="0"/>
    <n v="15"/>
  </r>
  <r>
    <x v="350"/>
    <n v="1"/>
    <x v="0"/>
    <n v="8"/>
  </r>
  <r>
    <x v="351"/>
    <n v="1"/>
    <x v="0"/>
    <n v="18"/>
  </r>
  <r>
    <x v="352"/>
    <n v="1"/>
    <x v="0"/>
    <n v="7"/>
  </r>
  <r>
    <x v="353"/>
    <n v="1"/>
    <x v="0"/>
    <n v="13"/>
  </r>
  <r>
    <x v="354"/>
    <n v="1"/>
    <x v="0"/>
    <n v="11"/>
  </r>
  <r>
    <x v="355"/>
    <n v="1"/>
    <x v="0"/>
    <n v="9"/>
  </r>
  <r>
    <x v="356"/>
    <n v="1"/>
    <x v="0"/>
    <n v="8"/>
  </r>
  <r>
    <x v="357"/>
    <n v="1"/>
    <x v="0"/>
    <n v="17"/>
  </r>
  <r>
    <x v="358"/>
    <n v="1"/>
    <x v="0"/>
    <n v="6"/>
  </r>
  <r>
    <x v="359"/>
    <n v="1"/>
    <x v="0"/>
    <n v="16"/>
  </r>
  <r>
    <x v="360"/>
    <n v="1"/>
    <x v="0"/>
    <n v="18"/>
  </r>
  <r>
    <x v="361"/>
    <n v="1"/>
    <x v="0"/>
    <n v="17"/>
  </r>
  <r>
    <x v="362"/>
    <n v="1"/>
    <x v="0"/>
    <n v="14"/>
  </r>
  <r>
    <x v="363"/>
    <n v="1"/>
    <x v="0"/>
    <n v="5"/>
  </r>
  <r>
    <x v="364"/>
    <n v="1"/>
    <x v="0"/>
    <n v="15"/>
  </r>
  <r>
    <x v="365"/>
    <n v="1"/>
    <x v="0"/>
    <n v="9"/>
  </r>
  <r>
    <x v="366"/>
    <n v="1"/>
    <x v="0"/>
    <n v="14"/>
  </r>
  <r>
    <x v="367"/>
    <n v="1"/>
    <x v="0"/>
    <n v="11"/>
  </r>
  <r>
    <x v="368"/>
    <n v="1"/>
    <x v="0"/>
    <n v="20"/>
  </r>
  <r>
    <x v="369"/>
    <n v="1"/>
    <x v="0"/>
    <n v="17"/>
  </r>
  <r>
    <x v="370"/>
    <n v="1"/>
    <x v="0"/>
    <n v="14"/>
  </r>
  <r>
    <x v="371"/>
    <n v="1"/>
    <x v="0"/>
    <n v="11"/>
  </r>
  <r>
    <x v="372"/>
    <n v="1"/>
    <x v="0"/>
    <n v="12"/>
  </r>
  <r>
    <x v="373"/>
    <n v="1"/>
    <x v="0"/>
    <n v="17"/>
  </r>
  <r>
    <x v="374"/>
    <n v="1"/>
    <x v="0"/>
    <n v="12"/>
  </r>
  <r>
    <x v="375"/>
    <n v="1"/>
    <x v="0"/>
    <n v="17"/>
  </r>
  <r>
    <x v="376"/>
    <n v="1"/>
    <x v="0"/>
    <n v="12"/>
  </r>
  <r>
    <x v="377"/>
    <n v="1"/>
    <x v="0"/>
    <n v="12"/>
  </r>
  <r>
    <x v="378"/>
    <n v="1"/>
    <x v="0"/>
    <n v="17"/>
  </r>
  <r>
    <x v="379"/>
    <n v="1"/>
    <x v="0"/>
    <n v="17"/>
  </r>
  <r>
    <x v="380"/>
    <n v="1"/>
    <x v="0"/>
    <n v="15"/>
  </r>
  <r>
    <x v="381"/>
    <n v="1"/>
    <x v="0"/>
    <n v="18"/>
  </r>
  <r>
    <x v="382"/>
    <n v="1"/>
    <x v="0"/>
    <n v="15"/>
  </r>
  <r>
    <x v="383"/>
    <n v="1"/>
    <x v="0"/>
    <n v="12"/>
  </r>
  <r>
    <x v="384"/>
    <n v="1"/>
    <x v="0"/>
    <n v="6"/>
  </r>
  <r>
    <x v="385"/>
    <n v="1"/>
    <x v="0"/>
    <n v="7"/>
  </r>
  <r>
    <x v="386"/>
    <n v="1"/>
    <x v="0"/>
    <n v="21"/>
  </r>
  <r>
    <x v="387"/>
    <n v="1"/>
    <x v="0"/>
    <n v="18"/>
  </r>
  <r>
    <x v="388"/>
    <n v="1"/>
    <x v="0"/>
    <n v="18"/>
  </r>
  <r>
    <x v="389"/>
    <n v="1"/>
    <x v="0"/>
    <n v="21"/>
  </r>
  <r>
    <x v="390"/>
    <n v="1"/>
    <x v="0"/>
    <n v="16"/>
  </r>
  <r>
    <x v="391"/>
    <n v="1"/>
    <x v="0"/>
    <n v="8"/>
  </r>
  <r>
    <x v="392"/>
    <n v="1"/>
    <x v="0"/>
    <n v="6"/>
  </r>
  <r>
    <x v="393"/>
    <n v="1"/>
    <x v="0"/>
    <n v="13"/>
  </r>
  <r>
    <x v="394"/>
    <n v="1"/>
    <x v="0"/>
    <n v="11"/>
  </r>
  <r>
    <x v="395"/>
    <n v="1"/>
    <x v="0"/>
    <n v="18"/>
  </r>
  <r>
    <x v="396"/>
    <n v="1"/>
    <x v="0"/>
    <n v="13"/>
  </r>
  <r>
    <x v="397"/>
    <n v="1"/>
    <x v="0"/>
    <n v="16"/>
  </r>
  <r>
    <x v="398"/>
    <n v="1"/>
    <x v="0"/>
    <n v="10"/>
  </r>
  <r>
    <x v="399"/>
    <n v="1"/>
    <x v="0"/>
    <n v="9"/>
  </r>
  <r>
    <x v="400"/>
    <n v="1"/>
    <x v="0"/>
    <n v="21"/>
  </r>
  <r>
    <x v="401"/>
    <n v="1"/>
    <x v="0"/>
    <n v="17"/>
  </r>
  <r>
    <x v="402"/>
    <n v="1"/>
    <x v="0"/>
    <n v="15"/>
  </r>
  <r>
    <x v="403"/>
    <n v="1"/>
    <x v="0"/>
    <n v="15"/>
  </r>
  <r>
    <x v="404"/>
    <n v="1"/>
    <x v="0"/>
    <n v="18"/>
  </r>
  <r>
    <x v="405"/>
    <n v="1"/>
    <x v="0"/>
    <n v="10"/>
  </r>
  <r>
    <x v="406"/>
    <n v="1"/>
    <x v="0"/>
    <n v="10"/>
  </r>
  <r>
    <x v="407"/>
    <n v="1"/>
    <x v="0"/>
    <n v="9"/>
  </r>
  <r>
    <x v="408"/>
    <n v="1"/>
    <x v="0"/>
    <n v="22"/>
  </r>
  <r>
    <x v="409"/>
    <n v="1"/>
    <x v="0"/>
    <n v="20"/>
  </r>
  <r>
    <x v="410"/>
    <n v="1"/>
    <x v="0"/>
    <n v="20"/>
  </r>
  <r>
    <x v="411"/>
    <n v="1"/>
    <x v="0"/>
    <n v="13"/>
  </r>
  <r>
    <x v="412"/>
    <n v="1"/>
    <x v="0"/>
    <n v="11"/>
  </r>
  <r>
    <x v="413"/>
    <n v="1"/>
    <x v="0"/>
    <n v="11"/>
  </r>
  <r>
    <x v="414"/>
    <n v="1"/>
    <x v="0"/>
    <n v="16"/>
  </r>
  <r>
    <x v="415"/>
    <n v="1"/>
    <x v="0"/>
    <n v="19"/>
  </r>
  <r>
    <x v="416"/>
    <n v="1"/>
    <x v="0"/>
    <n v="16"/>
  </r>
  <r>
    <x v="417"/>
    <n v="1"/>
    <x v="0"/>
    <n v="17"/>
  </r>
  <r>
    <x v="418"/>
    <n v="1"/>
    <x v="0"/>
    <n v="13"/>
  </r>
  <r>
    <x v="419"/>
    <n v="1"/>
    <x v="0"/>
    <n v="7"/>
  </r>
  <r>
    <x v="420"/>
    <n v="1"/>
    <x v="0"/>
    <n v="14"/>
  </r>
  <r>
    <x v="421"/>
    <n v="1"/>
    <x v="0"/>
    <n v="17"/>
  </r>
  <r>
    <x v="422"/>
    <n v="1"/>
    <x v="0"/>
    <n v="10"/>
  </r>
  <r>
    <x v="423"/>
    <n v="1"/>
    <x v="0"/>
    <n v="16"/>
  </r>
  <r>
    <x v="424"/>
    <n v="1"/>
    <x v="0"/>
    <n v="20"/>
  </r>
  <r>
    <x v="425"/>
    <n v="1"/>
    <x v="0"/>
    <n v="15"/>
  </r>
  <r>
    <x v="426"/>
    <n v="1"/>
    <x v="0"/>
    <n v="12"/>
  </r>
  <r>
    <x v="427"/>
    <n v="1"/>
    <x v="0"/>
    <n v="11"/>
  </r>
  <r>
    <x v="428"/>
    <n v="1"/>
    <x v="0"/>
    <n v="18"/>
  </r>
  <r>
    <x v="429"/>
    <n v="1"/>
    <x v="0"/>
    <n v="19"/>
  </r>
  <r>
    <x v="430"/>
    <n v="1"/>
    <x v="0"/>
    <n v="21"/>
  </r>
  <r>
    <x v="431"/>
    <n v="1"/>
    <x v="0"/>
    <n v="14"/>
  </r>
  <r>
    <x v="432"/>
    <n v="1"/>
    <x v="0"/>
    <n v="21"/>
  </r>
  <r>
    <x v="433"/>
    <n v="1"/>
    <x v="0"/>
    <n v="13"/>
  </r>
  <r>
    <x v="434"/>
    <n v="1"/>
    <x v="0"/>
    <n v="14"/>
  </r>
  <r>
    <x v="435"/>
    <n v="1"/>
    <x v="0"/>
    <n v="24"/>
  </r>
  <r>
    <x v="436"/>
    <n v="1"/>
    <x v="0"/>
    <n v="17"/>
  </r>
  <r>
    <x v="437"/>
    <n v="1"/>
    <x v="0"/>
    <n v="16"/>
  </r>
  <r>
    <x v="438"/>
    <n v="1"/>
    <x v="0"/>
    <n v="22"/>
  </r>
  <r>
    <x v="439"/>
    <n v="1"/>
    <x v="0"/>
    <n v="31"/>
  </r>
  <r>
    <x v="440"/>
    <n v="1"/>
    <x v="0"/>
    <n v="19"/>
  </r>
  <r>
    <x v="441"/>
    <n v="1"/>
    <x v="0"/>
    <n v="17"/>
  </r>
  <r>
    <x v="442"/>
    <n v="1"/>
    <x v="0"/>
    <n v="24"/>
  </r>
  <r>
    <x v="443"/>
    <n v="1"/>
    <x v="0"/>
    <n v="21"/>
  </r>
  <r>
    <x v="444"/>
    <n v="1"/>
    <x v="0"/>
    <n v="18"/>
  </r>
  <r>
    <x v="445"/>
    <n v="1"/>
    <x v="0"/>
    <n v="20"/>
  </r>
  <r>
    <x v="446"/>
    <n v="1"/>
    <x v="0"/>
    <n v="25"/>
  </r>
  <r>
    <x v="447"/>
    <n v="1"/>
    <x v="0"/>
    <n v="4"/>
  </r>
  <r>
    <x v="448"/>
    <n v="1"/>
    <x v="0"/>
    <n v="15"/>
  </r>
  <r>
    <x v="449"/>
    <n v="1"/>
    <x v="0"/>
    <n v="17"/>
  </r>
  <r>
    <x v="450"/>
    <n v="1"/>
    <x v="0"/>
    <n v="17"/>
  </r>
  <r>
    <x v="451"/>
    <n v="1"/>
    <x v="0"/>
    <n v="16"/>
  </r>
  <r>
    <x v="452"/>
    <n v="1"/>
    <x v="0"/>
    <n v="18"/>
  </r>
  <r>
    <x v="453"/>
    <n v="1"/>
    <x v="0"/>
    <n v="15"/>
  </r>
  <r>
    <x v="454"/>
    <n v="1"/>
    <x v="0"/>
    <n v="15"/>
  </r>
  <r>
    <x v="455"/>
    <n v="1"/>
    <x v="0"/>
    <n v="19"/>
  </r>
  <r>
    <x v="456"/>
    <n v="1"/>
    <x v="0"/>
    <n v="11"/>
  </r>
  <r>
    <x v="457"/>
    <n v="1"/>
    <x v="0"/>
    <n v="16"/>
  </r>
  <r>
    <x v="458"/>
    <n v="1"/>
    <x v="0"/>
    <n v="17"/>
  </r>
  <r>
    <x v="459"/>
    <n v="1"/>
    <x v="0"/>
    <n v="21"/>
  </r>
  <r>
    <x v="460"/>
    <n v="1"/>
    <x v="0"/>
    <n v="26"/>
  </r>
  <r>
    <x v="461"/>
    <n v="1"/>
    <x v="0"/>
    <n v="19"/>
  </r>
  <r>
    <x v="462"/>
    <n v="1"/>
    <x v="0"/>
    <n v="19"/>
  </r>
  <r>
    <x v="463"/>
    <n v="1"/>
    <x v="0"/>
    <n v="20"/>
  </r>
  <r>
    <x v="464"/>
    <n v="1"/>
    <x v="0"/>
    <n v="18"/>
  </r>
  <r>
    <x v="465"/>
    <n v="1"/>
    <x v="0"/>
    <n v="23"/>
  </r>
  <r>
    <x v="466"/>
    <n v="1"/>
    <x v="0"/>
    <n v="19"/>
  </r>
  <r>
    <x v="467"/>
    <n v="1"/>
    <x v="0"/>
    <n v="22"/>
  </r>
  <r>
    <x v="468"/>
    <n v="1"/>
    <x v="0"/>
    <n v="20"/>
  </r>
  <r>
    <x v="469"/>
    <n v="1"/>
    <x v="0"/>
    <n v="22"/>
  </r>
  <r>
    <x v="470"/>
    <n v="1"/>
    <x v="0"/>
    <n v="20"/>
  </r>
  <r>
    <x v="471"/>
    <n v="1"/>
    <x v="0"/>
    <n v="18"/>
  </r>
  <r>
    <x v="472"/>
    <n v="1"/>
    <x v="0"/>
    <n v="20"/>
  </r>
  <r>
    <x v="473"/>
    <n v="1"/>
    <x v="0"/>
    <n v="22"/>
  </r>
  <r>
    <x v="474"/>
    <n v="1"/>
    <x v="0"/>
    <n v="22"/>
  </r>
  <r>
    <x v="475"/>
    <n v="1"/>
    <x v="0"/>
    <n v="17"/>
  </r>
  <r>
    <x v="476"/>
    <n v="1"/>
    <x v="0"/>
    <n v="12"/>
  </r>
  <r>
    <x v="477"/>
    <n v="1"/>
    <x v="0"/>
    <n v="16"/>
  </r>
  <r>
    <x v="478"/>
    <n v="1"/>
    <x v="0"/>
    <n v="25"/>
  </r>
  <r>
    <x v="479"/>
    <n v="1"/>
    <x v="0"/>
    <n v="22"/>
  </r>
  <r>
    <x v="480"/>
    <n v="1"/>
    <x v="0"/>
    <n v="21"/>
  </r>
  <r>
    <x v="481"/>
    <n v="1"/>
    <x v="0"/>
    <n v="20"/>
  </r>
  <r>
    <x v="482"/>
    <n v="1"/>
    <x v="0"/>
    <n v="15"/>
  </r>
  <r>
    <x v="483"/>
    <n v="1"/>
    <x v="0"/>
    <n v="18"/>
  </r>
  <r>
    <x v="484"/>
    <n v="1"/>
    <x v="0"/>
    <n v="13"/>
  </r>
  <r>
    <x v="485"/>
    <n v="1"/>
    <x v="0"/>
    <n v="22"/>
  </r>
  <r>
    <x v="486"/>
    <n v="1"/>
    <x v="0"/>
    <n v="19"/>
  </r>
  <r>
    <x v="487"/>
    <n v="1"/>
    <x v="0"/>
    <n v="22"/>
  </r>
  <r>
    <x v="488"/>
    <n v="1"/>
    <x v="0"/>
    <n v="23"/>
  </r>
  <r>
    <x v="489"/>
    <n v="1"/>
    <x v="0"/>
    <n v="21"/>
  </r>
  <r>
    <x v="490"/>
    <n v="1"/>
    <x v="0"/>
    <n v="19"/>
  </r>
  <r>
    <x v="491"/>
    <n v="1"/>
    <x v="0"/>
    <n v="21"/>
  </r>
  <r>
    <x v="492"/>
    <n v="1"/>
    <x v="0"/>
    <n v="15"/>
  </r>
  <r>
    <x v="493"/>
    <n v="1"/>
    <x v="0"/>
    <n v="18"/>
  </r>
  <r>
    <x v="494"/>
    <n v="1"/>
    <x v="0"/>
    <n v="16"/>
  </r>
  <r>
    <x v="495"/>
    <n v="1"/>
    <x v="0"/>
    <n v="27"/>
  </r>
  <r>
    <x v="496"/>
    <n v="1"/>
    <x v="0"/>
    <n v="16"/>
  </r>
  <r>
    <x v="497"/>
    <n v="1"/>
    <x v="0"/>
    <n v="22"/>
  </r>
  <r>
    <x v="498"/>
    <n v="1"/>
    <x v="0"/>
    <n v="21"/>
  </r>
  <r>
    <x v="499"/>
    <n v="1"/>
    <x v="0"/>
    <n v="22"/>
  </r>
  <r>
    <x v="500"/>
    <n v="1"/>
    <x v="0"/>
    <n v="23"/>
  </r>
  <r>
    <x v="501"/>
    <n v="1"/>
    <x v="0"/>
    <n v="18"/>
  </r>
  <r>
    <x v="502"/>
    <n v="1"/>
    <x v="0"/>
    <n v="36"/>
  </r>
  <r>
    <x v="503"/>
    <n v="1"/>
    <x v="0"/>
    <n v="12"/>
  </r>
  <r>
    <x v="504"/>
    <n v="1"/>
    <x v="0"/>
    <n v="23"/>
  </r>
  <r>
    <x v="505"/>
    <n v="1"/>
    <x v="0"/>
    <n v="16"/>
  </r>
  <r>
    <x v="506"/>
    <n v="1"/>
    <x v="0"/>
    <n v="25"/>
  </r>
  <r>
    <x v="507"/>
    <n v="1"/>
    <x v="0"/>
    <n v="28"/>
  </r>
  <r>
    <x v="508"/>
    <n v="1"/>
    <x v="0"/>
    <n v="25"/>
  </r>
  <r>
    <x v="509"/>
    <n v="1"/>
    <x v="0"/>
    <n v="20"/>
  </r>
  <r>
    <x v="510"/>
    <n v="1"/>
    <x v="0"/>
    <n v="15"/>
  </r>
  <r>
    <x v="511"/>
    <n v="1"/>
    <x v="0"/>
    <n v="13"/>
  </r>
  <r>
    <x v="512"/>
    <n v="1"/>
    <x v="0"/>
    <n v="13"/>
  </r>
  <r>
    <x v="513"/>
    <n v="1"/>
    <x v="0"/>
    <n v="20"/>
  </r>
  <r>
    <x v="514"/>
    <n v="1"/>
    <x v="0"/>
    <n v="29"/>
  </r>
  <r>
    <x v="515"/>
    <n v="1"/>
    <x v="0"/>
    <n v="31"/>
  </r>
  <r>
    <x v="516"/>
    <n v="1"/>
    <x v="0"/>
    <n v="24"/>
  </r>
  <r>
    <x v="517"/>
    <n v="1"/>
    <x v="0"/>
    <n v="16"/>
  </r>
  <r>
    <x v="518"/>
    <n v="1"/>
    <x v="0"/>
    <n v="23"/>
  </r>
  <r>
    <x v="519"/>
    <n v="1"/>
    <x v="0"/>
    <n v="20"/>
  </r>
  <r>
    <x v="520"/>
    <n v="1"/>
    <x v="0"/>
    <n v="24"/>
  </r>
  <r>
    <x v="521"/>
    <n v="1"/>
    <x v="0"/>
    <n v="23"/>
  </r>
  <r>
    <x v="522"/>
    <n v="1"/>
    <x v="0"/>
    <n v="27"/>
  </r>
  <r>
    <x v="523"/>
    <n v="1"/>
    <x v="0"/>
    <n v="29"/>
  </r>
  <r>
    <x v="524"/>
    <n v="1"/>
    <x v="0"/>
    <n v="18"/>
  </r>
  <r>
    <x v="525"/>
    <n v="1"/>
    <x v="0"/>
    <n v="14"/>
  </r>
  <r>
    <x v="526"/>
    <n v="1"/>
    <x v="0"/>
    <n v="22"/>
  </r>
  <r>
    <x v="527"/>
    <n v="1"/>
    <x v="0"/>
    <n v="22"/>
  </r>
  <r>
    <x v="528"/>
    <n v="1"/>
    <x v="0"/>
    <n v="25"/>
  </r>
  <r>
    <x v="529"/>
    <n v="1"/>
    <x v="0"/>
    <n v="29"/>
  </r>
  <r>
    <x v="530"/>
    <n v="1"/>
    <x v="0"/>
    <n v="33"/>
  </r>
  <r>
    <x v="531"/>
    <n v="1"/>
    <x v="0"/>
    <n v="25"/>
  </r>
  <r>
    <x v="532"/>
    <n v="1"/>
    <x v="0"/>
    <n v="32"/>
  </r>
  <r>
    <x v="533"/>
    <n v="1"/>
    <x v="0"/>
    <n v="20"/>
  </r>
  <r>
    <x v="534"/>
    <n v="1"/>
    <x v="0"/>
    <n v="22"/>
  </r>
  <r>
    <x v="535"/>
    <n v="1"/>
    <x v="0"/>
    <n v="19"/>
  </r>
  <r>
    <x v="536"/>
    <n v="1"/>
    <x v="0"/>
    <n v="26"/>
  </r>
  <r>
    <x v="537"/>
    <n v="1"/>
    <x v="0"/>
    <n v="37"/>
  </r>
  <r>
    <x v="538"/>
    <n v="1"/>
    <x v="0"/>
    <n v="19"/>
  </r>
  <r>
    <x v="539"/>
    <n v="1"/>
    <x v="0"/>
    <n v="24"/>
  </r>
  <r>
    <x v="540"/>
    <n v="1"/>
    <x v="0"/>
    <n v="21"/>
  </r>
  <r>
    <x v="541"/>
    <n v="1"/>
    <x v="0"/>
    <n v="18"/>
  </r>
  <r>
    <x v="542"/>
    <n v="1"/>
    <x v="0"/>
    <n v="29"/>
  </r>
  <r>
    <x v="543"/>
    <n v="1"/>
    <x v="0"/>
    <n v="34"/>
  </r>
  <r>
    <x v="544"/>
    <n v="1"/>
    <x v="0"/>
    <n v="19"/>
  </r>
  <r>
    <x v="545"/>
    <n v="1"/>
    <x v="0"/>
    <n v="16"/>
  </r>
  <r>
    <x v="546"/>
    <n v="1"/>
    <x v="0"/>
    <n v="16"/>
  </r>
  <r>
    <x v="547"/>
    <n v="1"/>
    <x v="0"/>
    <n v="24"/>
  </r>
  <r>
    <x v="548"/>
    <n v="1"/>
    <x v="0"/>
    <n v="25"/>
  </r>
  <r>
    <x v="549"/>
    <n v="1"/>
    <x v="0"/>
    <n v="28"/>
  </r>
  <r>
    <x v="550"/>
    <n v="1"/>
    <x v="0"/>
    <n v="25"/>
  </r>
  <r>
    <x v="551"/>
    <n v="1"/>
    <x v="0"/>
    <n v="34"/>
  </r>
  <r>
    <x v="552"/>
    <n v="1"/>
    <x v="0"/>
    <n v="16"/>
  </r>
  <r>
    <x v="553"/>
    <n v="1"/>
    <x v="0"/>
    <n v="25"/>
  </r>
  <r>
    <x v="554"/>
    <n v="1"/>
    <x v="0"/>
    <n v="27"/>
  </r>
  <r>
    <x v="555"/>
    <n v="1"/>
    <x v="0"/>
    <n v="23"/>
  </r>
  <r>
    <x v="556"/>
    <n v="1"/>
    <x v="0"/>
    <n v="25"/>
  </r>
  <r>
    <x v="557"/>
    <n v="1"/>
    <x v="0"/>
    <n v="22"/>
  </r>
  <r>
    <x v="558"/>
    <n v="1"/>
    <x v="0"/>
    <n v="24"/>
  </r>
  <r>
    <x v="559"/>
    <n v="1"/>
    <x v="0"/>
    <n v="21"/>
  </r>
  <r>
    <x v="560"/>
    <n v="1"/>
    <x v="0"/>
    <n v="24"/>
  </r>
  <r>
    <x v="561"/>
    <n v="1"/>
    <x v="0"/>
    <n v="17"/>
  </r>
  <r>
    <x v="562"/>
    <n v="1"/>
    <x v="0"/>
    <n v="26"/>
  </r>
  <r>
    <x v="563"/>
    <n v="1"/>
    <x v="0"/>
    <n v="25"/>
  </r>
  <r>
    <x v="564"/>
    <n v="1"/>
    <x v="0"/>
    <n v="31"/>
  </r>
  <r>
    <x v="565"/>
    <n v="1"/>
    <x v="0"/>
    <n v="26"/>
  </r>
  <r>
    <x v="566"/>
    <n v="1"/>
    <x v="0"/>
    <n v="21"/>
  </r>
  <r>
    <x v="567"/>
    <n v="1"/>
    <x v="0"/>
    <n v="30"/>
  </r>
  <r>
    <x v="568"/>
    <n v="1"/>
    <x v="0"/>
    <n v="19"/>
  </r>
  <r>
    <x v="569"/>
    <n v="1"/>
    <x v="0"/>
    <n v="26"/>
  </r>
  <r>
    <x v="570"/>
    <n v="1"/>
    <x v="0"/>
    <n v="24"/>
  </r>
  <r>
    <x v="571"/>
    <n v="1"/>
    <x v="0"/>
    <n v="29"/>
  </r>
  <r>
    <x v="572"/>
    <n v="1"/>
    <x v="0"/>
    <n v="35"/>
  </r>
  <r>
    <x v="573"/>
    <n v="1"/>
    <x v="0"/>
    <n v="11"/>
  </r>
  <r>
    <x v="574"/>
    <n v="1"/>
    <x v="0"/>
    <n v="19"/>
  </r>
  <r>
    <x v="575"/>
    <n v="1"/>
    <x v="0"/>
    <n v="25"/>
  </r>
  <r>
    <x v="576"/>
    <n v="1"/>
    <x v="0"/>
    <n v="23"/>
  </r>
  <r>
    <x v="577"/>
    <n v="1"/>
    <x v="0"/>
    <n v="12"/>
  </r>
  <r>
    <x v="578"/>
    <n v="1"/>
    <x v="0"/>
    <n v="23"/>
  </r>
  <r>
    <x v="579"/>
    <n v="1"/>
    <x v="0"/>
    <n v="27"/>
  </r>
  <r>
    <x v="580"/>
    <n v="1"/>
    <x v="0"/>
    <n v="20"/>
  </r>
  <r>
    <x v="581"/>
    <n v="1"/>
    <x v="0"/>
    <n v="19"/>
  </r>
  <r>
    <x v="582"/>
    <n v="1"/>
    <x v="0"/>
    <n v="25"/>
  </r>
  <r>
    <x v="583"/>
    <n v="1"/>
    <x v="0"/>
    <n v="21"/>
  </r>
  <r>
    <x v="584"/>
    <n v="1"/>
    <x v="0"/>
    <n v="27"/>
  </r>
  <r>
    <x v="585"/>
    <n v="1"/>
    <x v="0"/>
    <n v="27"/>
  </r>
  <r>
    <x v="586"/>
    <n v="1"/>
    <x v="0"/>
    <n v="22"/>
  </r>
  <r>
    <x v="587"/>
    <n v="1"/>
    <x v="0"/>
    <n v="22"/>
  </r>
  <r>
    <x v="588"/>
    <n v="1"/>
    <x v="0"/>
    <n v="20"/>
  </r>
  <r>
    <x v="589"/>
    <n v="1"/>
    <x v="0"/>
    <n v="11"/>
  </r>
  <r>
    <x v="590"/>
    <n v="1"/>
    <x v="0"/>
    <n v="17"/>
  </r>
  <r>
    <x v="591"/>
    <n v="1"/>
    <x v="0"/>
    <n v="21"/>
  </r>
  <r>
    <x v="592"/>
    <n v="1"/>
    <x v="0"/>
    <n v="20"/>
  </r>
  <r>
    <x v="593"/>
    <n v="1"/>
    <x v="0"/>
    <n v="31"/>
  </r>
  <r>
    <x v="594"/>
    <n v="1"/>
    <x v="0"/>
    <n v="25"/>
  </r>
  <r>
    <x v="595"/>
    <n v="1"/>
    <x v="0"/>
    <n v="15"/>
  </r>
  <r>
    <x v="596"/>
    <n v="1"/>
    <x v="0"/>
    <n v="21"/>
  </r>
  <r>
    <x v="597"/>
    <n v="1"/>
    <x v="0"/>
    <n v="20"/>
  </r>
  <r>
    <x v="598"/>
    <n v="1"/>
    <x v="0"/>
    <n v="21"/>
  </r>
  <r>
    <x v="599"/>
    <n v="1"/>
    <x v="0"/>
    <n v="26"/>
  </r>
  <r>
    <x v="600"/>
    <n v="1"/>
    <x v="0"/>
    <n v="26"/>
  </r>
  <r>
    <x v="601"/>
    <n v="1"/>
    <x v="0"/>
    <n v="12"/>
  </r>
  <r>
    <x v="602"/>
    <n v="1"/>
    <x v="0"/>
    <n v="25"/>
  </r>
  <r>
    <x v="603"/>
    <n v="1"/>
    <x v="0"/>
    <n v="21"/>
  </r>
  <r>
    <x v="604"/>
    <n v="1"/>
    <x v="0"/>
    <n v="19"/>
  </r>
  <r>
    <x v="605"/>
    <n v="1"/>
    <x v="0"/>
    <n v="17"/>
  </r>
  <r>
    <x v="606"/>
    <n v="1"/>
    <x v="0"/>
    <n v="30"/>
  </r>
  <r>
    <x v="607"/>
    <n v="1"/>
    <x v="0"/>
    <n v="28"/>
  </r>
  <r>
    <x v="608"/>
    <n v="1"/>
    <x v="0"/>
    <n v="16"/>
  </r>
  <r>
    <x v="609"/>
    <n v="1"/>
    <x v="0"/>
    <n v="15"/>
  </r>
  <r>
    <x v="610"/>
    <n v="1"/>
    <x v="0"/>
    <n v="22"/>
  </r>
  <r>
    <x v="611"/>
    <n v="1"/>
    <x v="0"/>
    <n v="26"/>
  </r>
  <r>
    <x v="612"/>
    <n v="1"/>
    <x v="0"/>
    <n v="27"/>
  </r>
  <r>
    <x v="613"/>
    <n v="1"/>
    <x v="0"/>
    <n v="21"/>
  </r>
  <r>
    <x v="614"/>
    <n v="1"/>
    <x v="0"/>
    <n v="25"/>
  </r>
  <r>
    <x v="615"/>
    <n v="1"/>
    <x v="0"/>
    <n v="12"/>
  </r>
  <r>
    <x v="616"/>
    <n v="1"/>
    <x v="0"/>
    <n v="22"/>
  </r>
  <r>
    <x v="617"/>
    <n v="1"/>
    <x v="0"/>
    <n v="16"/>
  </r>
  <r>
    <x v="618"/>
    <n v="1"/>
    <x v="0"/>
    <n v="15"/>
  </r>
  <r>
    <x v="619"/>
    <n v="1"/>
    <x v="0"/>
    <n v="25"/>
  </r>
  <r>
    <x v="620"/>
    <n v="1"/>
    <x v="0"/>
    <n v="17"/>
  </r>
  <r>
    <x v="621"/>
    <n v="1"/>
    <x v="0"/>
    <n v="26"/>
  </r>
  <r>
    <x v="622"/>
    <n v="1"/>
    <x v="0"/>
    <n v="12"/>
  </r>
  <r>
    <x v="623"/>
    <n v="1"/>
    <x v="0"/>
    <n v="15"/>
  </r>
  <r>
    <x v="624"/>
    <n v="1"/>
    <x v="0"/>
    <n v="17"/>
  </r>
  <r>
    <x v="625"/>
    <n v="1"/>
    <x v="0"/>
    <n v="18"/>
  </r>
  <r>
    <x v="626"/>
    <n v="1"/>
    <x v="0"/>
    <n v="21"/>
  </r>
  <r>
    <x v="627"/>
    <n v="1"/>
    <x v="0"/>
    <n v="21"/>
  </r>
  <r>
    <x v="628"/>
    <n v="1"/>
    <x v="0"/>
    <n v="20"/>
  </r>
  <r>
    <x v="629"/>
    <n v="1"/>
    <x v="0"/>
    <n v="15"/>
  </r>
  <r>
    <x v="630"/>
    <n v="1"/>
    <x v="0"/>
    <n v="20"/>
  </r>
  <r>
    <x v="631"/>
    <n v="1"/>
    <x v="0"/>
    <n v="14"/>
  </r>
  <r>
    <x v="632"/>
    <n v="1"/>
    <x v="0"/>
    <n v="17"/>
  </r>
  <r>
    <x v="633"/>
    <n v="1"/>
    <x v="0"/>
    <n v="23"/>
  </r>
  <r>
    <x v="634"/>
    <n v="1"/>
    <x v="0"/>
    <n v="13"/>
  </r>
  <r>
    <x v="635"/>
    <n v="1"/>
    <x v="0"/>
    <n v="22"/>
  </r>
  <r>
    <x v="636"/>
    <n v="1"/>
    <x v="0"/>
    <n v="18"/>
  </r>
  <r>
    <x v="637"/>
    <n v="1"/>
    <x v="0"/>
    <n v="15"/>
  </r>
  <r>
    <x v="638"/>
    <n v="1"/>
    <x v="0"/>
    <n v="12"/>
  </r>
  <r>
    <x v="639"/>
    <n v="1"/>
    <x v="0"/>
    <n v="15"/>
  </r>
  <r>
    <x v="640"/>
    <n v="1"/>
    <x v="0"/>
    <n v="24"/>
  </r>
  <r>
    <x v="641"/>
    <n v="1"/>
    <x v="0"/>
    <n v="27"/>
  </r>
  <r>
    <x v="642"/>
    <n v="1"/>
    <x v="0"/>
    <n v="33"/>
  </r>
  <r>
    <x v="643"/>
    <n v="1"/>
    <x v="0"/>
    <n v="9"/>
  </r>
  <r>
    <x v="644"/>
    <n v="1"/>
    <x v="0"/>
    <n v="10"/>
  </r>
  <r>
    <x v="645"/>
    <n v="1"/>
    <x v="0"/>
    <n v="25"/>
  </r>
  <r>
    <x v="646"/>
    <n v="1"/>
    <x v="0"/>
    <n v="18"/>
  </r>
  <r>
    <x v="647"/>
    <n v="1"/>
    <x v="0"/>
    <n v="19"/>
  </r>
  <r>
    <x v="648"/>
    <n v="1"/>
    <x v="0"/>
    <n v="28"/>
  </r>
  <r>
    <x v="649"/>
    <n v="1"/>
    <x v="0"/>
    <n v="29"/>
  </r>
  <r>
    <x v="650"/>
    <n v="1"/>
    <x v="0"/>
    <n v="6"/>
  </r>
  <r>
    <x v="651"/>
    <n v="1"/>
    <x v="0"/>
    <n v="20"/>
  </r>
  <r>
    <x v="652"/>
    <n v="1"/>
    <x v="0"/>
    <n v="21"/>
  </r>
  <r>
    <x v="653"/>
    <n v="1"/>
    <x v="0"/>
    <n v="17"/>
  </r>
  <r>
    <x v="654"/>
    <n v="1"/>
    <x v="0"/>
    <n v="18"/>
  </r>
  <r>
    <x v="655"/>
    <n v="1"/>
    <x v="0"/>
    <n v="22"/>
  </r>
  <r>
    <x v="656"/>
    <n v="1"/>
    <x v="0"/>
    <n v="13"/>
  </r>
  <r>
    <x v="657"/>
    <n v="1"/>
    <x v="0"/>
    <n v="8"/>
  </r>
  <r>
    <x v="658"/>
    <n v="1"/>
    <x v="0"/>
    <n v="19"/>
  </r>
  <r>
    <x v="659"/>
    <n v="1"/>
    <x v="0"/>
    <n v="14"/>
  </r>
  <r>
    <x v="660"/>
    <n v="1"/>
    <x v="0"/>
    <n v="18"/>
  </r>
  <r>
    <x v="661"/>
    <n v="1"/>
    <x v="0"/>
    <n v="17"/>
  </r>
  <r>
    <x v="662"/>
    <n v="1"/>
    <x v="0"/>
    <n v="21"/>
  </r>
  <r>
    <x v="663"/>
    <n v="1"/>
    <x v="0"/>
    <n v="22"/>
  </r>
  <r>
    <x v="664"/>
    <n v="1"/>
    <x v="0"/>
    <n v="15"/>
  </r>
  <r>
    <x v="665"/>
    <n v="1"/>
    <x v="0"/>
    <n v="12"/>
  </r>
  <r>
    <x v="666"/>
    <n v="1"/>
    <x v="0"/>
    <n v="11"/>
  </r>
  <r>
    <x v="667"/>
    <n v="1"/>
    <x v="0"/>
    <n v="12"/>
  </r>
  <r>
    <x v="668"/>
    <n v="1"/>
    <x v="0"/>
    <n v="20"/>
  </r>
  <r>
    <x v="669"/>
    <n v="1"/>
    <x v="0"/>
    <n v="17"/>
  </r>
  <r>
    <x v="670"/>
    <n v="1"/>
    <x v="0"/>
    <n v="33"/>
  </r>
  <r>
    <x v="671"/>
    <n v="1"/>
    <x v="0"/>
    <n v="16"/>
  </r>
  <r>
    <x v="672"/>
    <n v="1"/>
    <x v="0"/>
    <n v="16"/>
  </r>
  <r>
    <x v="673"/>
    <n v="1"/>
    <x v="0"/>
    <n v="15"/>
  </r>
  <r>
    <x v="674"/>
    <n v="1"/>
    <x v="0"/>
    <n v="22"/>
  </r>
  <r>
    <x v="675"/>
    <n v="1"/>
    <x v="0"/>
    <n v="22"/>
  </r>
  <r>
    <x v="676"/>
    <n v="1"/>
    <x v="0"/>
    <n v="12"/>
  </r>
  <r>
    <x v="677"/>
    <n v="1"/>
    <x v="0"/>
    <n v="28"/>
  </r>
  <r>
    <x v="678"/>
    <n v="1"/>
    <x v="0"/>
    <n v="16"/>
  </r>
  <r>
    <x v="679"/>
    <n v="1"/>
    <x v="0"/>
    <n v="12"/>
  </r>
  <r>
    <x v="680"/>
    <n v="1"/>
    <x v="0"/>
    <n v="18"/>
  </r>
  <r>
    <x v="681"/>
    <n v="1"/>
    <x v="0"/>
    <n v="18"/>
  </r>
  <r>
    <x v="682"/>
    <n v="1"/>
    <x v="0"/>
    <n v="25"/>
  </r>
  <r>
    <x v="683"/>
    <n v="1"/>
    <x v="0"/>
    <n v="24"/>
  </r>
  <r>
    <x v="684"/>
    <n v="1"/>
    <x v="0"/>
    <n v="18"/>
  </r>
  <r>
    <x v="685"/>
    <n v="1"/>
    <x v="0"/>
    <n v="17"/>
  </r>
  <r>
    <x v="686"/>
    <n v="1"/>
    <x v="0"/>
    <n v="18"/>
  </r>
  <r>
    <x v="687"/>
    <n v="1"/>
    <x v="0"/>
    <n v="19"/>
  </r>
  <r>
    <x v="688"/>
    <n v="1"/>
    <x v="0"/>
    <n v="17"/>
  </r>
  <r>
    <x v="689"/>
    <n v="1"/>
    <x v="0"/>
    <n v="28"/>
  </r>
  <r>
    <x v="690"/>
    <n v="1"/>
    <x v="0"/>
    <n v="20"/>
  </r>
  <r>
    <x v="691"/>
    <n v="1"/>
    <x v="0"/>
    <n v="29"/>
  </r>
  <r>
    <x v="692"/>
    <n v="1"/>
    <x v="0"/>
    <n v="18"/>
  </r>
  <r>
    <x v="693"/>
    <n v="1"/>
    <x v="0"/>
    <n v="19"/>
  </r>
  <r>
    <x v="694"/>
    <n v="1"/>
    <x v="0"/>
    <n v="23"/>
  </r>
  <r>
    <x v="695"/>
    <n v="1"/>
    <x v="0"/>
    <n v="23"/>
  </r>
  <r>
    <x v="696"/>
    <n v="1"/>
    <x v="0"/>
    <n v="24"/>
  </r>
  <r>
    <x v="697"/>
    <n v="1"/>
    <x v="0"/>
    <n v="28"/>
  </r>
  <r>
    <x v="698"/>
    <n v="1"/>
    <x v="0"/>
    <n v="24"/>
  </r>
  <r>
    <x v="699"/>
    <n v="1"/>
    <x v="0"/>
    <n v="10"/>
  </r>
  <r>
    <x v="700"/>
    <n v="1"/>
    <x v="0"/>
    <n v="17"/>
  </r>
  <r>
    <x v="701"/>
    <n v="1"/>
    <x v="0"/>
    <n v="9"/>
  </r>
  <r>
    <x v="702"/>
    <n v="1"/>
    <x v="0"/>
    <n v="10"/>
  </r>
  <r>
    <x v="703"/>
    <n v="1"/>
    <x v="0"/>
    <n v="14"/>
  </r>
  <r>
    <x v="704"/>
    <n v="1"/>
    <x v="0"/>
    <n v="16"/>
  </r>
  <r>
    <x v="705"/>
    <n v="1"/>
    <x v="0"/>
    <n v="11"/>
  </r>
  <r>
    <x v="706"/>
    <n v="1"/>
    <x v="0"/>
    <n v="13"/>
  </r>
  <r>
    <x v="707"/>
    <n v="1"/>
    <x v="0"/>
    <n v="13"/>
  </r>
  <r>
    <x v="708"/>
    <n v="1"/>
    <x v="0"/>
    <n v="14"/>
  </r>
  <r>
    <x v="709"/>
    <n v="1"/>
    <x v="0"/>
    <n v="12"/>
  </r>
  <r>
    <x v="710"/>
    <n v="1"/>
    <x v="0"/>
    <n v="10"/>
  </r>
  <r>
    <x v="711"/>
    <n v="1"/>
    <x v="0"/>
    <n v="16"/>
  </r>
  <r>
    <x v="712"/>
    <n v="1"/>
    <x v="0"/>
    <n v="13"/>
  </r>
  <r>
    <x v="713"/>
    <n v="1"/>
    <x v="0"/>
    <n v="14"/>
  </r>
  <r>
    <x v="714"/>
    <n v="1"/>
    <x v="0"/>
    <n v="11"/>
  </r>
  <r>
    <x v="715"/>
    <n v="1"/>
    <x v="0"/>
    <n v="15"/>
  </r>
  <r>
    <x v="716"/>
    <n v="1"/>
    <x v="0"/>
    <n v="10"/>
  </r>
  <r>
    <x v="717"/>
    <n v="1"/>
    <x v="0"/>
    <n v="11"/>
  </r>
  <r>
    <x v="718"/>
    <n v="1"/>
    <x v="0"/>
    <n v="19"/>
  </r>
  <r>
    <x v="719"/>
    <n v="1"/>
    <x v="0"/>
    <n v="18"/>
  </r>
  <r>
    <x v="720"/>
    <n v="1"/>
    <x v="0"/>
    <n v="8"/>
  </r>
  <r>
    <x v="721"/>
    <n v="1"/>
    <x v="0"/>
    <n v="13"/>
  </r>
  <r>
    <x v="722"/>
    <n v="1"/>
    <x v="0"/>
    <n v="16"/>
  </r>
  <r>
    <x v="723"/>
    <n v="1"/>
    <x v="0"/>
    <n v="20"/>
  </r>
  <r>
    <x v="724"/>
    <n v="1"/>
    <x v="0"/>
    <n v="12"/>
  </r>
  <r>
    <x v="725"/>
    <n v="1"/>
    <x v="0"/>
    <n v="15"/>
  </r>
  <r>
    <x v="726"/>
    <n v="1"/>
    <x v="0"/>
    <n v="17"/>
  </r>
  <r>
    <x v="727"/>
    <n v="1"/>
    <x v="0"/>
    <n v="9"/>
  </r>
  <r>
    <x v="728"/>
    <n v="1"/>
    <x v="0"/>
    <n v="11"/>
  </r>
  <r>
    <x v="729"/>
    <n v="1"/>
    <x v="0"/>
    <n v="12"/>
  </r>
  <r>
    <x v="730"/>
    <n v="1"/>
    <x v="0"/>
    <n v="11"/>
  </r>
  <r>
    <x v="731"/>
    <n v="1"/>
    <x v="0"/>
    <n v="19"/>
  </r>
  <r>
    <x v="732"/>
    <n v="1"/>
    <x v="0"/>
    <n v="16"/>
  </r>
  <r>
    <x v="733"/>
    <n v="1"/>
    <x v="0"/>
    <n v="14"/>
  </r>
  <r>
    <x v="734"/>
    <n v="1"/>
    <x v="0"/>
    <n v="14"/>
  </r>
  <r>
    <x v="735"/>
    <n v="1"/>
    <x v="0"/>
    <n v="9"/>
  </r>
  <r>
    <x v="736"/>
    <n v="1"/>
    <x v="0"/>
    <n v="13"/>
  </r>
  <r>
    <x v="737"/>
    <n v="1"/>
    <x v="0"/>
    <n v="18"/>
  </r>
  <r>
    <x v="738"/>
    <n v="1"/>
    <x v="0"/>
    <n v="18"/>
  </r>
  <r>
    <x v="739"/>
    <n v="1"/>
    <x v="0"/>
    <n v="17"/>
  </r>
  <r>
    <x v="740"/>
    <n v="1"/>
    <x v="0"/>
    <n v="19"/>
  </r>
  <r>
    <x v="741"/>
    <n v="1"/>
    <x v="0"/>
    <n v="9"/>
  </r>
  <r>
    <x v="742"/>
    <n v="1"/>
    <x v="0"/>
    <n v="9"/>
  </r>
  <r>
    <x v="743"/>
    <n v="1"/>
    <x v="0"/>
    <n v="15"/>
  </r>
  <r>
    <x v="744"/>
    <n v="1"/>
    <x v="0"/>
    <n v="10"/>
  </r>
  <r>
    <x v="745"/>
    <n v="1"/>
    <x v="0"/>
    <n v="15"/>
  </r>
  <r>
    <x v="746"/>
    <n v="1"/>
    <x v="0"/>
    <n v="16"/>
  </r>
  <r>
    <x v="747"/>
    <n v="1"/>
    <x v="0"/>
    <n v="15"/>
  </r>
  <r>
    <x v="748"/>
    <n v="1"/>
    <x v="0"/>
    <n v="12"/>
  </r>
  <r>
    <x v="749"/>
    <n v="1"/>
    <x v="0"/>
    <n v="12"/>
  </r>
  <r>
    <x v="750"/>
    <n v="1"/>
    <x v="0"/>
    <n v="10"/>
  </r>
  <r>
    <x v="751"/>
    <n v="1"/>
    <x v="0"/>
    <n v="8"/>
  </r>
  <r>
    <x v="752"/>
    <n v="1"/>
    <x v="0"/>
    <n v="14"/>
  </r>
  <r>
    <x v="753"/>
    <n v="1"/>
    <x v="0"/>
    <n v="20"/>
  </r>
  <r>
    <x v="754"/>
    <n v="1"/>
    <x v="0"/>
    <n v="19"/>
  </r>
  <r>
    <x v="755"/>
    <n v="1"/>
    <x v="0"/>
    <n v="12"/>
  </r>
  <r>
    <x v="756"/>
    <n v="1"/>
    <x v="0"/>
    <n v="13"/>
  </r>
  <r>
    <x v="757"/>
    <n v="1"/>
    <x v="0"/>
    <n v="13"/>
  </r>
  <r>
    <x v="758"/>
    <n v="1"/>
    <x v="0"/>
    <n v="7"/>
  </r>
  <r>
    <x v="759"/>
    <n v="1"/>
    <x v="0"/>
    <n v="12"/>
  </r>
  <r>
    <x v="760"/>
    <n v="1"/>
    <x v="0"/>
    <n v="19"/>
  </r>
  <r>
    <x v="761"/>
    <n v="1"/>
    <x v="0"/>
    <n v="17"/>
  </r>
  <r>
    <x v="762"/>
    <n v="1"/>
    <x v="0"/>
    <n v="6"/>
  </r>
  <r>
    <x v="763"/>
    <n v="1"/>
    <x v="0"/>
    <n v="10"/>
  </r>
  <r>
    <x v="764"/>
    <n v="1"/>
    <x v="0"/>
    <n v="8"/>
  </r>
  <r>
    <x v="765"/>
    <n v="1"/>
    <x v="0"/>
    <n v="18"/>
  </r>
  <r>
    <x v="766"/>
    <n v="1"/>
    <x v="0"/>
    <n v="13"/>
  </r>
  <r>
    <x v="767"/>
    <n v="1"/>
    <x v="0"/>
    <n v="13"/>
  </r>
  <r>
    <x v="768"/>
    <n v="1"/>
    <x v="0"/>
    <n v="18"/>
  </r>
  <r>
    <x v="769"/>
    <n v="1"/>
    <x v="0"/>
    <n v="12"/>
  </r>
  <r>
    <x v="770"/>
    <n v="1"/>
    <x v="0"/>
    <n v="15"/>
  </r>
  <r>
    <x v="771"/>
    <n v="1"/>
    <x v="0"/>
    <n v="19"/>
  </r>
  <r>
    <x v="772"/>
    <n v="1"/>
    <x v="0"/>
    <n v="15"/>
  </r>
  <r>
    <x v="773"/>
    <n v="1"/>
    <x v="0"/>
    <n v="13"/>
  </r>
  <r>
    <x v="774"/>
    <n v="1"/>
    <x v="0"/>
    <n v="11"/>
  </r>
  <r>
    <x v="775"/>
    <n v="1"/>
    <x v="0"/>
    <n v="18"/>
  </r>
  <r>
    <x v="776"/>
    <n v="1"/>
    <x v="0"/>
    <n v="14"/>
  </r>
  <r>
    <x v="777"/>
    <n v="1"/>
    <x v="0"/>
    <n v="16"/>
  </r>
  <r>
    <x v="778"/>
    <n v="1"/>
    <x v="0"/>
    <n v="16"/>
  </r>
  <r>
    <x v="779"/>
    <n v="1"/>
    <x v="0"/>
    <n v="11"/>
  </r>
  <r>
    <x v="780"/>
    <n v="1"/>
    <x v="0"/>
    <n v="10"/>
  </r>
  <r>
    <x v="781"/>
    <n v="1"/>
    <x v="0"/>
    <n v="19"/>
  </r>
  <r>
    <x v="782"/>
    <n v="1"/>
    <x v="0"/>
    <n v="24"/>
  </r>
  <r>
    <x v="783"/>
    <n v="1"/>
    <x v="0"/>
    <n v="9"/>
  </r>
  <r>
    <x v="784"/>
    <n v="1"/>
    <x v="0"/>
    <n v="8"/>
  </r>
  <r>
    <x v="785"/>
    <n v="1"/>
    <x v="0"/>
    <n v="13"/>
  </r>
  <r>
    <x v="786"/>
    <n v="1"/>
    <x v="0"/>
    <n v="18"/>
  </r>
  <r>
    <x v="787"/>
    <n v="1"/>
    <x v="0"/>
    <n v="17"/>
  </r>
  <r>
    <x v="788"/>
    <n v="1"/>
    <x v="0"/>
    <n v="18"/>
  </r>
  <r>
    <x v="789"/>
    <n v="1"/>
    <x v="0"/>
    <n v="18"/>
  </r>
  <r>
    <x v="790"/>
    <n v="1"/>
    <x v="0"/>
    <n v="17"/>
  </r>
  <r>
    <x v="791"/>
    <n v="1"/>
    <x v="0"/>
    <n v="14"/>
  </r>
  <r>
    <x v="792"/>
    <n v="1"/>
    <x v="0"/>
    <n v="19"/>
  </r>
  <r>
    <x v="793"/>
    <n v="1"/>
    <x v="0"/>
    <n v="10"/>
  </r>
  <r>
    <x v="794"/>
    <n v="1"/>
    <x v="0"/>
    <n v="17"/>
  </r>
  <r>
    <x v="795"/>
    <n v="1"/>
    <x v="0"/>
    <n v="16"/>
  </r>
  <r>
    <x v="796"/>
    <n v="1"/>
    <x v="0"/>
    <n v="13"/>
  </r>
  <r>
    <x v="797"/>
    <n v="1"/>
    <x v="0"/>
    <n v="13"/>
  </r>
  <r>
    <x v="798"/>
    <n v="1"/>
    <x v="0"/>
    <n v="23"/>
  </r>
  <r>
    <x v="799"/>
    <n v="1"/>
    <x v="0"/>
    <n v="21"/>
  </r>
  <r>
    <x v="800"/>
    <n v="1"/>
    <x v="0"/>
    <n v="24"/>
  </r>
  <r>
    <x v="801"/>
    <n v="1"/>
    <x v="0"/>
    <n v="25"/>
  </r>
  <r>
    <x v="802"/>
    <n v="1"/>
    <x v="0"/>
    <n v="15"/>
  </r>
  <r>
    <x v="803"/>
    <n v="1"/>
    <x v="0"/>
    <n v="20"/>
  </r>
  <r>
    <x v="804"/>
    <n v="1"/>
    <x v="0"/>
    <n v="13"/>
  </r>
  <r>
    <x v="805"/>
    <n v="1"/>
    <x v="0"/>
    <n v="15"/>
  </r>
  <r>
    <x v="806"/>
    <n v="1"/>
    <x v="0"/>
    <n v="16"/>
  </r>
  <r>
    <x v="807"/>
    <n v="1"/>
    <x v="0"/>
    <n v="17"/>
  </r>
  <r>
    <x v="808"/>
    <n v="1"/>
    <x v="0"/>
    <n v="31"/>
  </r>
  <r>
    <x v="809"/>
    <n v="1"/>
    <x v="0"/>
    <n v="25"/>
  </r>
  <r>
    <x v="810"/>
    <n v="1"/>
    <x v="0"/>
    <n v="23"/>
  </r>
  <r>
    <x v="811"/>
    <n v="1"/>
    <x v="0"/>
    <n v="16"/>
  </r>
  <r>
    <x v="812"/>
    <n v="1"/>
    <x v="0"/>
    <n v="18"/>
  </r>
  <r>
    <x v="813"/>
    <n v="1"/>
    <x v="0"/>
    <n v="13"/>
  </r>
  <r>
    <x v="814"/>
    <n v="1"/>
    <x v="0"/>
    <n v="10"/>
  </r>
  <r>
    <x v="815"/>
    <n v="1"/>
    <x v="0"/>
    <n v="16"/>
  </r>
  <r>
    <x v="816"/>
    <n v="1"/>
    <x v="0"/>
    <n v="12"/>
  </r>
  <r>
    <x v="817"/>
    <n v="1"/>
    <x v="0"/>
    <n v="25"/>
  </r>
  <r>
    <x v="818"/>
    <n v="1"/>
    <x v="0"/>
    <n v="19"/>
  </r>
  <r>
    <x v="819"/>
    <n v="1"/>
    <x v="0"/>
    <n v="18"/>
  </r>
  <r>
    <x v="820"/>
    <n v="1"/>
    <x v="0"/>
    <n v="24"/>
  </r>
  <r>
    <x v="821"/>
    <n v="1"/>
    <x v="0"/>
    <n v="20"/>
  </r>
  <r>
    <x v="822"/>
    <n v="1"/>
    <x v="0"/>
    <n v="27"/>
  </r>
  <r>
    <x v="823"/>
    <n v="1"/>
    <x v="0"/>
    <n v="26"/>
  </r>
  <r>
    <x v="824"/>
    <n v="1"/>
    <x v="0"/>
    <n v="20"/>
  </r>
  <r>
    <x v="825"/>
    <n v="1"/>
    <x v="0"/>
    <n v="20"/>
  </r>
  <r>
    <x v="826"/>
    <n v="1"/>
    <x v="0"/>
    <n v="19"/>
  </r>
  <r>
    <x v="827"/>
    <n v="1"/>
    <x v="0"/>
    <n v="17"/>
  </r>
  <r>
    <x v="828"/>
    <n v="1"/>
    <x v="0"/>
    <n v="20"/>
  </r>
  <r>
    <x v="829"/>
    <n v="1"/>
    <x v="0"/>
    <n v="24"/>
  </r>
  <r>
    <x v="830"/>
    <n v="1"/>
    <x v="0"/>
    <n v="17"/>
  </r>
  <r>
    <x v="831"/>
    <n v="1"/>
    <x v="0"/>
    <n v="21"/>
  </r>
  <r>
    <x v="832"/>
    <n v="1"/>
    <x v="0"/>
    <n v="14"/>
  </r>
  <r>
    <x v="833"/>
    <n v="1"/>
    <x v="0"/>
    <n v="26"/>
  </r>
  <r>
    <x v="834"/>
    <n v="1"/>
    <x v="0"/>
    <n v="26"/>
  </r>
  <r>
    <x v="835"/>
    <n v="1"/>
    <x v="0"/>
    <n v="20"/>
  </r>
  <r>
    <x v="836"/>
    <n v="1"/>
    <x v="0"/>
    <n v="22"/>
  </r>
  <r>
    <x v="837"/>
    <n v="1"/>
    <x v="0"/>
    <n v="23"/>
  </r>
  <r>
    <x v="838"/>
    <n v="1"/>
    <x v="0"/>
    <n v="24"/>
  </r>
  <r>
    <x v="839"/>
    <n v="1"/>
    <x v="0"/>
    <n v="17"/>
  </r>
  <r>
    <x v="840"/>
    <n v="1"/>
    <x v="0"/>
    <n v="25"/>
  </r>
  <r>
    <x v="841"/>
    <n v="1"/>
    <x v="0"/>
    <n v="19"/>
  </r>
  <r>
    <x v="842"/>
    <n v="1"/>
    <x v="0"/>
    <n v="17"/>
  </r>
  <r>
    <x v="843"/>
    <n v="1"/>
    <x v="0"/>
    <n v="11"/>
  </r>
  <r>
    <x v="844"/>
    <n v="1"/>
    <x v="0"/>
    <n v="29"/>
  </r>
  <r>
    <x v="845"/>
    <n v="1"/>
    <x v="0"/>
    <n v="30"/>
  </r>
  <r>
    <x v="846"/>
    <n v="1"/>
    <x v="0"/>
    <n v="22"/>
  </r>
  <r>
    <x v="847"/>
    <n v="1"/>
    <x v="0"/>
    <n v="27"/>
  </r>
  <r>
    <x v="848"/>
    <n v="1"/>
    <x v="0"/>
    <n v="18"/>
  </r>
  <r>
    <x v="849"/>
    <n v="1"/>
    <x v="0"/>
    <n v="27"/>
  </r>
  <r>
    <x v="850"/>
    <n v="1"/>
    <x v="0"/>
    <n v="20"/>
  </r>
  <r>
    <x v="851"/>
    <n v="1"/>
    <x v="0"/>
    <n v="22"/>
  </r>
  <r>
    <x v="852"/>
    <n v="1"/>
    <x v="0"/>
    <n v="33"/>
  </r>
  <r>
    <x v="853"/>
    <n v="1"/>
    <x v="0"/>
    <n v="14"/>
  </r>
  <r>
    <x v="854"/>
    <n v="1"/>
    <x v="0"/>
    <n v="25"/>
  </r>
  <r>
    <x v="855"/>
    <n v="1"/>
    <x v="0"/>
    <n v="13"/>
  </r>
  <r>
    <x v="856"/>
    <n v="1"/>
    <x v="0"/>
    <n v="23"/>
  </r>
  <r>
    <x v="857"/>
    <n v="1"/>
    <x v="0"/>
    <n v="22"/>
  </r>
  <r>
    <x v="858"/>
    <n v="1"/>
    <x v="0"/>
    <n v="29"/>
  </r>
  <r>
    <x v="859"/>
    <n v="1"/>
    <x v="0"/>
    <n v="29"/>
  </r>
  <r>
    <x v="860"/>
    <n v="1"/>
    <x v="0"/>
    <n v="24"/>
  </r>
  <r>
    <x v="861"/>
    <n v="1"/>
    <x v="0"/>
    <n v="21"/>
  </r>
  <r>
    <x v="862"/>
    <n v="1"/>
    <x v="0"/>
    <n v="14"/>
  </r>
  <r>
    <x v="863"/>
    <n v="1"/>
    <x v="0"/>
    <n v="17"/>
  </r>
  <r>
    <x v="864"/>
    <n v="1"/>
    <x v="0"/>
    <n v="27"/>
  </r>
  <r>
    <x v="865"/>
    <n v="1"/>
    <x v="0"/>
    <n v="31"/>
  </r>
  <r>
    <x v="866"/>
    <n v="1"/>
    <x v="0"/>
    <n v="27"/>
  </r>
  <r>
    <x v="867"/>
    <n v="1"/>
    <x v="0"/>
    <n v="11"/>
  </r>
  <r>
    <x v="868"/>
    <n v="1"/>
    <x v="0"/>
    <n v="28"/>
  </r>
  <r>
    <x v="869"/>
    <n v="1"/>
    <x v="0"/>
    <n v="17"/>
  </r>
  <r>
    <x v="870"/>
    <n v="1"/>
    <x v="0"/>
    <n v="27"/>
  </r>
  <r>
    <x v="871"/>
    <n v="1"/>
    <x v="0"/>
    <n v="22"/>
  </r>
  <r>
    <x v="872"/>
    <n v="1"/>
    <x v="0"/>
    <n v="24"/>
  </r>
  <r>
    <x v="873"/>
    <n v="1"/>
    <x v="0"/>
    <n v="27"/>
  </r>
  <r>
    <x v="874"/>
    <n v="1"/>
    <x v="0"/>
    <n v="19"/>
  </r>
  <r>
    <x v="875"/>
    <n v="1"/>
    <x v="0"/>
    <n v="19"/>
  </r>
  <r>
    <x v="876"/>
    <n v="1"/>
    <x v="0"/>
    <n v="22"/>
  </r>
  <r>
    <x v="877"/>
    <n v="1"/>
    <x v="0"/>
    <n v="23"/>
  </r>
  <r>
    <x v="878"/>
    <n v="1"/>
    <x v="0"/>
    <n v="18"/>
  </r>
  <r>
    <x v="879"/>
    <n v="1"/>
    <x v="0"/>
    <n v="36"/>
  </r>
  <r>
    <x v="880"/>
    <n v="1"/>
    <x v="0"/>
    <n v="27"/>
  </r>
  <r>
    <x v="881"/>
    <n v="1"/>
    <x v="0"/>
    <n v="23"/>
  </r>
  <r>
    <x v="882"/>
    <n v="1"/>
    <x v="0"/>
    <n v="15"/>
  </r>
  <r>
    <x v="883"/>
    <n v="1"/>
    <x v="0"/>
    <n v="23"/>
  </r>
  <r>
    <x v="884"/>
    <n v="1"/>
    <x v="0"/>
    <n v="25"/>
  </r>
  <r>
    <x v="885"/>
    <n v="1"/>
    <x v="0"/>
    <n v="18"/>
  </r>
  <r>
    <x v="886"/>
    <n v="1"/>
    <x v="0"/>
    <n v="43"/>
  </r>
  <r>
    <x v="887"/>
    <n v="1"/>
    <x v="0"/>
    <n v="22"/>
  </r>
  <r>
    <x v="888"/>
    <n v="1"/>
    <x v="0"/>
    <n v="18"/>
  </r>
  <r>
    <x v="889"/>
    <n v="1"/>
    <x v="0"/>
    <n v="19"/>
  </r>
  <r>
    <x v="890"/>
    <n v="1"/>
    <x v="0"/>
    <n v="22"/>
  </r>
  <r>
    <x v="891"/>
    <n v="1"/>
    <x v="0"/>
    <n v="29"/>
  </r>
  <r>
    <x v="892"/>
    <n v="1"/>
    <x v="0"/>
    <n v="23"/>
  </r>
  <r>
    <x v="893"/>
    <n v="1"/>
    <x v="0"/>
    <n v="28"/>
  </r>
  <r>
    <x v="894"/>
    <n v="1"/>
    <x v="0"/>
    <n v="30"/>
  </r>
  <r>
    <x v="895"/>
    <n v="1"/>
    <x v="0"/>
    <n v="19"/>
  </r>
  <r>
    <x v="896"/>
    <n v="1"/>
    <x v="0"/>
    <n v="17"/>
  </r>
  <r>
    <x v="897"/>
    <n v="1"/>
    <x v="0"/>
    <n v="28"/>
  </r>
  <r>
    <x v="898"/>
    <n v="1"/>
    <x v="0"/>
    <n v="29"/>
  </r>
  <r>
    <x v="899"/>
    <n v="1"/>
    <x v="0"/>
    <n v="20"/>
  </r>
  <r>
    <x v="900"/>
    <n v="1"/>
    <x v="0"/>
    <n v="30"/>
  </r>
  <r>
    <x v="901"/>
    <n v="1"/>
    <x v="0"/>
    <n v="34"/>
  </r>
  <r>
    <x v="902"/>
    <n v="1"/>
    <x v="0"/>
    <n v="14"/>
  </r>
  <r>
    <x v="903"/>
    <n v="1"/>
    <x v="0"/>
    <n v="27"/>
  </r>
  <r>
    <x v="904"/>
    <n v="1"/>
    <x v="0"/>
    <n v="26"/>
  </r>
  <r>
    <x v="905"/>
    <n v="1"/>
    <x v="0"/>
    <n v="21"/>
  </r>
  <r>
    <x v="906"/>
    <n v="1"/>
    <x v="0"/>
    <n v="30"/>
  </r>
  <r>
    <x v="907"/>
    <n v="1"/>
    <x v="0"/>
    <n v="31"/>
  </r>
  <r>
    <x v="908"/>
    <n v="1"/>
    <x v="0"/>
    <n v="35"/>
  </r>
  <r>
    <x v="909"/>
    <n v="1"/>
    <x v="0"/>
    <n v="26"/>
  </r>
  <r>
    <x v="910"/>
    <n v="1"/>
    <x v="0"/>
    <n v="23"/>
  </r>
  <r>
    <x v="911"/>
    <n v="1"/>
    <x v="0"/>
    <n v="21"/>
  </r>
  <r>
    <x v="912"/>
    <n v="1"/>
    <x v="0"/>
    <n v="26"/>
  </r>
  <r>
    <x v="913"/>
    <n v="1"/>
    <x v="0"/>
    <n v="30"/>
  </r>
  <r>
    <x v="914"/>
    <n v="1"/>
    <x v="0"/>
    <n v="40"/>
  </r>
  <r>
    <x v="915"/>
    <n v="1"/>
    <x v="0"/>
    <n v="30"/>
  </r>
  <r>
    <x v="916"/>
    <n v="1"/>
    <x v="0"/>
    <n v="20"/>
  </r>
  <r>
    <x v="917"/>
    <n v="1"/>
    <x v="0"/>
    <n v="24"/>
  </r>
  <r>
    <x v="918"/>
    <n v="1"/>
    <x v="0"/>
    <n v="21"/>
  </r>
  <r>
    <x v="919"/>
    <n v="1"/>
    <x v="0"/>
    <n v="33"/>
  </r>
  <r>
    <x v="920"/>
    <n v="1"/>
    <x v="0"/>
    <n v="26"/>
  </r>
  <r>
    <x v="921"/>
    <n v="1"/>
    <x v="0"/>
    <n v="30"/>
  </r>
  <r>
    <x v="922"/>
    <n v="1"/>
    <x v="0"/>
    <n v="19"/>
  </r>
  <r>
    <x v="923"/>
    <n v="1"/>
    <x v="0"/>
    <n v="22"/>
  </r>
  <r>
    <x v="924"/>
    <n v="1"/>
    <x v="0"/>
    <n v="19"/>
  </r>
  <r>
    <x v="925"/>
    <n v="1"/>
    <x v="0"/>
    <n v="20"/>
  </r>
  <r>
    <x v="926"/>
    <n v="1"/>
    <x v="0"/>
    <n v="41"/>
  </r>
  <r>
    <x v="927"/>
    <n v="1"/>
    <x v="0"/>
    <n v="31"/>
  </r>
  <r>
    <x v="928"/>
    <n v="1"/>
    <x v="0"/>
    <n v="38"/>
  </r>
  <r>
    <x v="929"/>
    <n v="1"/>
    <x v="0"/>
    <n v="38"/>
  </r>
  <r>
    <x v="930"/>
    <n v="1"/>
    <x v="0"/>
    <n v="22"/>
  </r>
  <r>
    <x v="931"/>
    <n v="1"/>
    <x v="0"/>
    <n v="29"/>
  </r>
  <r>
    <x v="932"/>
    <n v="1"/>
    <x v="0"/>
    <n v="27"/>
  </r>
  <r>
    <x v="933"/>
    <n v="1"/>
    <x v="0"/>
    <n v="17"/>
  </r>
  <r>
    <x v="934"/>
    <n v="1"/>
    <x v="0"/>
    <n v="29"/>
  </r>
  <r>
    <x v="935"/>
    <n v="1"/>
    <x v="0"/>
    <n v="34"/>
  </r>
  <r>
    <x v="936"/>
    <n v="1"/>
    <x v="0"/>
    <n v="38"/>
  </r>
  <r>
    <x v="937"/>
    <n v="1"/>
    <x v="0"/>
    <n v="13"/>
  </r>
  <r>
    <x v="938"/>
    <n v="1"/>
    <x v="0"/>
    <n v="27"/>
  </r>
  <r>
    <x v="939"/>
    <n v="1"/>
    <x v="0"/>
    <n v="26"/>
  </r>
  <r>
    <x v="940"/>
    <n v="1"/>
    <x v="0"/>
    <n v="22"/>
  </r>
  <r>
    <x v="941"/>
    <n v="1"/>
    <x v="0"/>
    <n v="29"/>
  </r>
  <r>
    <x v="942"/>
    <n v="1"/>
    <x v="0"/>
    <n v="28"/>
  </r>
  <r>
    <x v="943"/>
    <n v="1"/>
    <x v="0"/>
    <n v="19"/>
  </r>
  <r>
    <x v="944"/>
    <n v="1"/>
    <x v="0"/>
    <n v="20"/>
  </r>
  <r>
    <x v="945"/>
    <n v="1"/>
    <x v="0"/>
    <n v="26"/>
  </r>
  <r>
    <x v="946"/>
    <n v="1"/>
    <x v="0"/>
    <n v="20"/>
  </r>
  <r>
    <x v="947"/>
    <n v="1"/>
    <x v="0"/>
    <n v="25"/>
  </r>
  <r>
    <x v="948"/>
    <n v="1"/>
    <x v="0"/>
    <n v="22"/>
  </r>
  <r>
    <x v="949"/>
    <n v="1"/>
    <x v="0"/>
    <n v="19"/>
  </r>
  <r>
    <x v="950"/>
    <n v="1"/>
    <x v="0"/>
    <n v="33"/>
  </r>
  <r>
    <x v="951"/>
    <n v="1"/>
    <x v="0"/>
    <n v="14"/>
  </r>
  <r>
    <x v="952"/>
    <n v="1"/>
    <x v="0"/>
    <n v="16"/>
  </r>
  <r>
    <x v="953"/>
    <n v="1"/>
    <x v="0"/>
    <n v="24"/>
  </r>
  <r>
    <x v="954"/>
    <n v="1"/>
    <x v="0"/>
    <n v="25"/>
  </r>
  <r>
    <x v="955"/>
    <n v="1"/>
    <x v="0"/>
    <n v="23"/>
  </r>
  <r>
    <x v="956"/>
    <n v="1"/>
    <x v="0"/>
    <n v="26"/>
  </r>
  <r>
    <x v="957"/>
    <n v="1"/>
    <x v="0"/>
    <n v="27"/>
  </r>
  <r>
    <x v="958"/>
    <n v="1"/>
    <x v="0"/>
    <n v="14"/>
  </r>
  <r>
    <x v="959"/>
    <n v="1"/>
    <x v="0"/>
    <n v="18"/>
  </r>
  <r>
    <x v="960"/>
    <n v="1"/>
    <x v="0"/>
    <n v="24"/>
  </r>
  <r>
    <x v="961"/>
    <n v="1"/>
    <x v="0"/>
    <n v="17"/>
  </r>
  <r>
    <x v="962"/>
    <n v="1"/>
    <x v="0"/>
    <n v="29"/>
  </r>
  <r>
    <x v="963"/>
    <n v="1"/>
    <x v="0"/>
    <n v="22"/>
  </r>
  <r>
    <x v="964"/>
    <n v="1"/>
    <x v="0"/>
    <n v="19"/>
  </r>
  <r>
    <x v="965"/>
    <n v="1"/>
    <x v="0"/>
    <n v="19"/>
  </r>
  <r>
    <x v="966"/>
    <n v="1"/>
    <x v="0"/>
    <n v="22"/>
  </r>
  <r>
    <x v="967"/>
    <n v="1"/>
    <x v="0"/>
    <n v="26"/>
  </r>
  <r>
    <x v="968"/>
    <n v="1"/>
    <x v="0"/>
    <n v="23"/>
  </r>
  <r>
    <x v="969"/>
    <n v="1"/>
    <x v="0"/>
    <n v="25"/>
  </r>
  <r>
    <x v="970"/>
    <n v="1"/>
    <x v="0"/>
    <n v="36"/>
  </r>
  <r>
    <x v="971"/>
    <n v="1"/>
    <x v="0"/>
    <n v="25"/>
  </r>
  <r>
    <x v="972"/>
    <n v="1"/>
    <x v="0"/>
    <n v="20"/>
  </r>
  <r>
    <x v="973"/>
    <n v="1"/>
    <x v="0"/>
    <n v="27"/>
  </r>
  <r>
    <x v="974"/>
    <n v="1"/>
    <x v="0"/>
    <n v="22"/>
  </r>
  <r>
    <x v="975"/>
    <n v="1"/>
    <x v="0"/>
    <n v="16"/>
  </r>
  <r>
    <x v="976"/>
    <n v="1"/>
    <x v="0"/>
    <n v="16"/>
  </r>
  <r>
    <x v="977"/>
    <n v="1"/>
    <x v="0"/>
    <n v="34"/>
  </r>
  <r>
    <x v="978"/>
    <n v="1"/>
    <x v="0"/>
    <n v="25"/>
  </r>
  <r>
    <x v="979"/>
    <n v="1"/>
    <x v="0"/>
    <n v="17"/>
  </r>
  <r>
    <x v="980"/>
    <n v="1"/>
    <x v="0"/>
    <n v="25"/>
  </r>
  <r>
    <x v="981"/>
    <n v="1"/>
    <x v="0"/>
    <n v="13"/>
  </r>
  <r>
    <x v="982"/>
    <n v="1"/>
    <x v="0"/>
    <n v="25"/>
  </r>
  <r>
    <x v="983"/>
    <n v="1"/>
    <x v="0"/>
    <n v="28"/>
  </r>
  <r>
    <x v="984"/>
    <n v="1"/>
    <x v="0"/>
    <n v="24"/>
  </r>
  <r>
    <x v="985"/>
    <n v="1"/>
    <x v="0"/>
    <n v="28"/>
  </r>
  <r>
    <x v="986"/>
    <n v="1"/>
    <x v="0"/>
    <n v="22"/>
  </r>
  <r>
    <x v="987"/>
    <n v="1"/>
    <x v="0"/>
    <n v="21"/>
  </r>
  <r>
    <x v="988"/>
    <n v="1"/>
    <x v="0"/>
    <n v="23"/>
  </r>
  <r>
    <x v="989"/>
    <n v="1"/>
    <x v="0"/>
    <n v="19"/>
  </r>
  <r>
    <x v="990"/>
    <n v="1"/>
    <x v="0"/>
    <n v="16"/>
  </r>
  <r>
    <x v="991"/>
    <n v="1"/>
    <x v="0"/>
    <n v="40"/>
  </r>
  <r>
    <x v="992"/>
    <n v="1"/>
    <x v="0"/>
    <n v="28"/>
  </r>
  <r>
    <x v="993"/>
    <n v="1"/>
    <x v="0"/>
    <n v="18"/>
  </r>
  <r>
    <x v="994"/>
    <n v="1"/>
    <x v="0"/>
    <n v="20"/>
  </r>
  <r>
    <x v="995"/>
    <n v="1"/>
    <x v="0"/>
    <n v="22"/>
  </r>
  <r>
    <x v="996"/>
    <n v="1"/>
    <x v="0"/>
    <n v="28"/>
  </r>
  <r>
    <x v="997"/>
    <n v="1"/>
    <x v="0"/>
    <n v="20"/>
  </r>
  <r>
    <x v="998"/>
    <n v="1"/>
    <x v="0"/>
    <n v="20"/>
  </r>
  <r>
    <x v="999"/>
    <n v="1"/>
    <x v="0"/>
    <n v="32"/>
  </r>
  <r>
    <x v="1000"/>
    <n v="1"/>
    <x v="0"/>
    <n v="15"/>
  </r>
  <r>
    <x v="1001"/>
    <n v="1"/>
    <x v="0"/>
    <n v="19"/>
  </r>
  <r>
    <x v="1002"/>
    <n v="1"/>
    <x v="0"/>
    <n v="15"/>
  </r>
  <r>
    <x v="1003"/>
    <n v="1"/>
    <x v="0"/>
    <n v="25"/>
  </r>
  <r>
    <x v="1004"/>
    <n v="1"/>
    <x v="0"/>
    <n v="12"/>
  </r>
  <r>
    <x v="1005"/>
    <n v="1"/>
    <x v="0"/>
    <n v="20"/>
  </r>
  <r>
    <x v="1006"/>
    <n v="1"/>
    <x v="0"/>
    <n v="22"/>
  </r>
  <r>
    <x v="1007"/>
    <n v="1"/>
    <x v="0"/>
    <n v="13"/>
  </r>
  <r>
    <x v="1008"/>
    <n v="1"/>
    <x v="0"/>
    <n v="14"/>
  </r>
  <r>
    <x v="1009"/>
    <n v="1"/>
    <x v="0"/>
    <n v="19"/>
  </r>
  <r>
    <x v="1010"/>
    <n v="1"/>
    <x v="0"/>
    <n v="21"/>
  </r>
  <r>
    <x v="1011"/>
    <n v="1"/>
    <x v="0"/>
    <n v="27"/>
  </r>
  <r>
    <x v="1012"/>
    <n v="1"/>
    <x v="0"/>
    <n v="22"/>
  </r>
  <r>
    <x v="1013"/>
    <n v="1"/>
    <x v="0"/>
    <n v="25"/>
  </r>
  <r>
    <x v="1014"/>
    <n v="1"/>
    <x v="0"/>
    <n v="12"/>
  </r>
  <r>
    <x v="1015"/>
    <n v="1"/>
    <x v="0"/>
    <n v="24"/>
  </r>
  <r>
    <x v="1016"/>
    <n v="1"/>
    <x v="0"/>
    <n v="26"/>
  </r>
  <r>
    <x v="1017"/>
    <n v="1"/>
    <x v="0"/>
    <n v="19"/>
  </r>
  <r>
    <x v="1018"/>
    <n v="1"/>
    <x v="0"/>
    <n v="23"/>
  </r>
  <r>
    <x v="1019"/>
    <n v="1"/>
    <x v="0"/>
    <n v="22"/>
  </r>
  <r>
    <x v="1020"/>
    <n v="1"/>
    <x v="0"/>
    <n v="25"/>
  </r>
  <r>
    <x v="1021"/>
    <n v="1"/>
    <x v="0"/>
    <n v="19"/>
  </r>
  <r>
    <x v="1022"/>
    <n v="1"/>
    <x v="0"/>
    <n v="21"/>
  </r>
  <r>
    <x v="1023"/>
    <n v="1"/>
    <x v="0"/>
    <n v="24"/>
  </r>
  <r>
    <x v="1024"/>
    <n v="1"/>
    <x v="0"/>
    <n v="17"/>
  </r>
  <r>
    <x v="1025"/>
    <n v="1"/>
    <x v="0"/>
    <n v="28"/>
  </r>
  <r>
    <x v="1026"/>
    <n v="1"/>
    <x v="0"/>
    <n v="24"/>
  </r>
  <r>
    <x v="1027"/>
    <n v="1"/>
    <x v="0"/>
    <n v="33"/>
  </r>
  <r>
    <x v="1028"/>
    <n v="1"/>
    <x v="0"/>
    <n v="18"/>
  </r>
  <r>
    <x v="1029"/>
    <n v="1"/>
    <x v="0"/>
    <n v="18"/>
  </r>
  <r>
    <x v="1030"/>
    <n v="1"/>
    <x v="0"/>
    <n v="8"/>
  </r>
  <r>
    <x v="1031"/>
    <n v="1"/>
    <x v="0"/>
    <n v="17"/>
  </r>
  <r>
    <x v="1032"/>
    <n v="1"/>
    <x v="0"/>
    <n v="19"/>
  </r>
  <r>
    <x v="1033"/>
    <n v="1"/>
    <x v="0"/>
    <n v="30"/>
  </r>
  <r>
    <x v="1034"/>
    <n v="1"/>
    <x v="0"/>
    <n v="26"/>
  </r>
  <r>
    <x v="1035"/>
    <n v="1"/>
    <x v="0"/>
    <n v="16"/>
  </r>
  <r>
    <x v="1036"/>
    <n v="1"/>
    <x v="0"/>
    <n v="25"/>
  </r>
  <r>
    <x v="1037"/>
    <n v="1"/>
    <x v="0"/>
    <n v="26"/>
  </r>
  <r>
    <x v="1038"/>
    <n v="1"/>
    <x v="0"/>
    <n v="21"/>
  </r>
  <r>
    <x v="1039"/>
    <n v="1"/>
    <x v="0"/>
    <n v="24"/>
  </r>
  <r>
    <x v="1040"/>
    <n v="1"/>
    <x v="0"/>
    <n v="25"/>
  </r>
  <r>
    <x v="1041"/>
    <n v="1"/>
    <x v="0"/>
    <n v="25"/>
  </r>
  <r>
    <x v="1042"/>
    <n v="1"/>
    <x v="0"/>
    <n v="16"/>
  </r>
  <r>
    <x v="1043"/>
    <n v="1"/>
    <x v="0"/>
    <n v="15"/>
  </r>
  <r>
    <x v="1044"/>
    <n v="1"/>
    <x v="0"/>
    <n v="24"/>
  </r>
  <r>
    <x v="1045"/>
    <n v="1"/>
    <x v="0"/>
    <n v="19"/>
  </r>
  <r>
    <x v="1046"/>
    <n v="1"/>
    <x v="0"/>
    <n v="21"/>
  </r>
  <r>
    <x v="1047"/>
    <n v="1"/>
    <x v="0"/>
    <n v="37"/>
  </r>
  <r>
    <x v="1048"/>
    <n v="1"/>
    <x v="0"/>
    <n v="31"/>
  </r>
  <r>
    <x v="1049"/>
    <n v="1"/>
    <x v="0"/>
    <n v="14"/>
  </r>
  <r>
    <x v="1050"/>
    <n v="1"/>
    <x v="0"/>
    <n v="19"/>
  </r>
  <r>
    <x v="1051"/>
    <n v="1"/>
    <x v="0"/>
    <n v="30"/>
  </r>
  <r>
    <x v="1052"/>
    <n v="1"/>
    <x v="0"/>
    <n v="26"/>
  </r>
  <r>
    <x v="1053"/>
    <n v="1"/>
    <x v="0"/>
    <n v="27"/>
  </r>
  <r>
    <x v="1054"/>
    <n v="1"/>
    <x v="0"/>
    <n v="22"/>
  </r>
  <r>
    <x v="1055"/>
    <n v="1"/>
    <x v="0"/>
    <n v="30"/>
  </r>
  <r>
    <x v="1056"/>
    <n v="1"/>
    <x v="0"/>
    <n v="21"/>
  </r>
  <r>
    <x v="1057"/>
    <n v="1"/>
    <x v="0"/>
    <n v="20"/>
  </r>
  <r>
    <x v="1058"/>
    <n v="1"/>
    <x v="0"/>
    <n v="16"/>
  </r>
  <r>
    <x v="1059"/>
    <n v="1"/>
    <x v="0"/>
    <n v="19"/>
  </r>
  <r>
    <x v="1060"/>
    <n v="1"/>
    <x v="0"/>
    <n v="33"/>
  </r>
  <r>
    <x v="1061"/>
    <n v="1"/>
    <x v="0"/>
    <n v="24"/>
  </r>
  <r>
    <x v="1062"/>
    <n v="1"/>
    <x v="0"/>
    <n v="27"/>
  </r>
  <r>
    <x v="1063"/>
    <n v="1"/>
    <x v="0"/>
    <n v="5"/>
  </r>
  <r>
    <x v="1064"/>
    <n v="1"/>
    <x v="0"/>
    <n v="13"/>
  </r>
  <r>
    <x v="1065"/>
    <n v="1"/>
    <x v="0"/>
    <n v="12"/>
  </r>
  <r>
    <x v="1066"/>
    <n v="1"/>
    <x v="0"/>
    <n v="14"/>
  </r>
  <r>
    <x v="1067"/>
    <n v="1"/>
    <x v="0"/>
    <n v="29"/>
  </r>
  <r>
    <x v="1068"/>
    <n v="1"/>
    <x v="0"/>
    <n v="12"/>
  </r>
  <r>
    <x v="1069"/>
    <n v="1"/>
    <x v="0"/>
    <n v="14"/>
  </r>
  <r>
    <x v="1070"/>
    <n v="1"/>
    <x v="0"/>
    <n v="14"/>
  </r>
  <r>
    <x v="1071"/>
    <n v="1"/>
    <x v="0"/>
    <n v="13"/>
  </r>
  <r>
    <x v="1072"/>
    <n v="1"/>
    <x v="0"/>
    <n v="18"/>
  </r>
  <r>
    <x v="1073"/>
    <n v="1"/>
    <x v="0"/>
    <n v="14"/>
  </r>
  <r>
    <x v="1074"/>
    <n v="1"/>
    <x v="0"/>
    <n v="21"/>
  </r>
  <r>
    <x v="1075"/>
    <n v="1"/>
    <x v="0"/>
    <n v="23"/>
  </r>
  <r>
    <x v="1076"/>
    <n v="1"/>
    <x v="0"/>
    <n v="14"/>
  </r>
  <r>
    <x v="1077"/>
    <n v="1"/>
    <x v="0"/>
    <n v="10"/>
  </r>
  <r>
    <x v="1078"/>
    <n v="1"/>
    <x v="0"/>
    <n v="12"/>
  </r>
  <r>
    <x v="1079"/>
    <n v="1"/>
    <x v="0"/>
    <n v="19"/>
  </r>
  <r>
    <x v="1080"/>
    <n v="1"/>
    <x v="0"/>
    <n v="9"/>
  </r>
  <r>
    <x v="1081"/>
    <n v="1"/>
    <x v="0"/>
    <n v="19"/>
  </r>
  <r>
    <x v="1082"/>
    <n v="1"/>
    <x v="0"/>
    <n v="21"/>
  </r>
  <r>
    <x v="1083"/>
    <n v="1"/>
    <x v="0"/>
    <n v="17"/>
  </r>
  <r>
    <x v="1084"/>
    <n v="1"/>
    <x v="0"/>
    <n v="10"/>
  </r>
  <r>
    <x v="1085"/>
    <n v="1"/>
    <x v="0"/>
    <n v="13"/>
  </r>
  <r>
    <x v="1086"/>
    <n v="1"/>
    <x v="0"/>
    <n v="14"/>
  </r>
  <r>
    <x v="1087"/>
    <n v="1"/>
    <x v="0"/>
    <n v="7"/>
  </r>
  <r>
    <x v="1088"/>
    <n v="1"/>
    <x v="0"/>
    <n v="19"/>
  </r>
  <r>
    <x v="1089"/>
    <n v="1"/>
    <x v="0"/>
    <n v="13"/>
  </r>
  <r>
    <x v="1090"/>
    <n v="1"/>
    <x v="0"/>
    <n v="17"/>
  </r>
  <r>
    <x v="1091"/>
    <n v="1"/>
    <x v="0"/>
    <n v="4"/>
  </r>
  <r>
    <x v="1092"/>
    <n v="1"/>
    <x v="0"/>
    <n v="12"/>
  </r>
  <r>
    <x v="1093"/>
    <n v="1"/>
    <x v="0"/>
    <n v="15"/>
  </r>
  <r>
    <x v="1094"/>
    <n v="1"/>
    <x v="0"/>
    <n v="18"/>
  </r>
  <r>
    <x v="1095"/>
    <n v="1"/>
    <x v="0"/>
    <n v="21"/>
  </r>
  <r>
    <x v="1096"/>
    <n v="1"/>
    <x v="0"/>
    <n v="13"/>
  </r>
  <r>
    <x v="1097"/>
    <n v="1"/>
    <x v="0"/>
    <n v="12"/>
  </r>
  <r>
    <x v="1098"/>
    <n v="1"/>
    <x v="0"/>
    <n v="12"/>
  </r>
  <r>
    <x v="1099"/>
    <n v="1"/>
    <x v="0"/>
    <n v="12"/>
  </r>
  <r>
    <x v="1100"/>
    <n v="1"/>
    <x v="0"/>
    <n v="16"/>
  </r>
  <r>
    <x v="1101"/>
    <n v="1"/>
    <x v="0"/>
    <n v="12"/>
  </r>
  <r>
    <x v="1102"/>
    <n v="1"/>
    <x v="0"/>
    <n v="12"/>
  </r>
  <r>
    <x v="1103"/>
    <n v="1"/>
    <x v="0"/>
    <n v="16"/>
  </r>
  <r>
    <x v="1104"/>
    <n v="1"/>
    <x v="0"/>
    <n v="26"/>
  </r>
  <r>
    <x v="1105"/>
    <n v="1"/>
    <x v="0"/>
    <n v="7"/>
  </r>
  <r>
    <x v="1106"/>
    <n v="1"/>
    <x v="0"/>
    <n v="13"/>
  </r>
  <r>
    <x v="1107"/>
    <n v="1"/>
    <x v="0"/>
    <n v="9"/>
  </r>
  <r>
    <x v="1108"/>
    <n v="1"/>
    <x v="0"/>
    <n v="18"/>
  </r>
  <r>
    <x v="1109"/>
    <n v="1"/>
    <x v="0"/>
    <n v="13"/>
  </r>
  <r>
    <x v="1110"/>
    <n v="1"/>
    <x v="0"/>
    <n v="8"/>
  </r>
  <r>
    <x v="1111"/>
    <n v="1"/>
    <x v="0"/>
    <n v="13"/>
  </r>
  <r>
    <x v="1112"/>
    <n v="1"/>
    <x v="0"/>
    <n v="7"/>
  </r>
  <r>
    <x v="1113"/>
    <n v="1"/>
    <x v="0"/>
    <n v="17"/>
  </r>
  <r>
    <x v="1114"/>
    <n v="1"/>
    <x v="0"/>
    <n v="13"/>
  </r>
  <r>
    <x v="1115"/>
    <n v="1"/>
    <x v="0"/>
    <n v="12"/>
  </r>
  <r>
    <x v="1116"/>
    <n v="1"/>
    <x v="0"/>
    <n v="15"/>
  </r>
  <r>
    <x v="1117"/>
    <n v="1"/>
    <x v="0"/>
    <n v="23"/>
  </r>
  <r>
    <x v="1118"/>
    <n v="1"/>
    <x v="0"/>
    <n v="21"/>
  </r>
  <r>
    <x v="1119"/>
    <n v="1"/>
    <x v="0"/>
    <n v="15"/>
  </r>
  <r>
    <x v="1120"/>
    <n v="1"/>
    <x v="0"/>
    <n v="18"/>
  </r>
  <r>
    <x v="1121"/>
    <n v="1"/>
    <x v="0"/>
    <n v="14"/>
  </r>
  <r>
    <x v="1122"/>
    <n v="1"/>
    <x v="0"/>
    <n v="17"/>
  </r>
  <r>
    <x v="1123"/>
    <n v="1"/>
    <x v="0"/>
    <n v="16"/>
  </r>
  <r>
    <x v="1124"/>
    <n v="1"/>
    <x v="0"/>
    <n v="14"/>
  </r>
  <r>
    <x v="1125"/>
    <n v="1"/>
    <x v="0"/>
    <n v="14"/>
  </r>
  <r>
    <x v="1126"/>
    <n v="1"/>
    <x v="0"/>
    <n v="16"/>
  </r>
  <r>
    <x v="1127"/>
    <n v="1"/>
    <x v="0"/>
    <n v="16"/>
  </r>
  <r>
    <x v="1128"/>
    <n v="1"/>
    <x v="0"/>
    <n v="19"/>
  </r>
  <r>
    <x v="1129"/>
    <n v="1"/>
    <x v="0"/>
    <n v="9"/>
  </r>
  <r>
    <x v="1130"/>
    <n v="1"/>
    <x v="0"/>
    <n v="14"/>
  </r>
  <r>
    <x v="1131"/>
    <n v="1"/>
    <x v="0"/>
    <n v="14"/>
  </r>
  <r>
    <x v="1132"/>
    <n v="1"/>
    <x v="0"/>
    <n v="18"/>
  </r>
  <r>
    <x v="1133"/>
    <n v="1"/>
    <x v="0"/>
    <n v="12"/>
  </r>
  <r>
    <x v="1134"/>
    <n v="1"/>
    <x v="0"/>
    <n v="14"/>
  </r>
  <r>
    <x v="1135"/>
    <n v="1"/>
    <x v="0"/>
    <n v="16"/>
  </r>
  <r>
    <x v="1136"/>
    <n v="1"/>
    <x v="0"/>
    <n v="14"/>
  </r>
  <r>
    <x v="1137"/>
    <n v="1"/>
    <x v="0"/>
    <n v="15"/>
  </r>
  <r>
    <x v="1138"/>
    <n v="1"/>
    <x v="0"/>
    <n v="10"/>
  </r>
  <r>
    <x v="1139"/>
    <n v="1"/>
    <x v="0"/>
    <n v="23"/>
  </r>
  <r>
    <x v="1140"/>
    <n v="1"/>
    <x v="0"/>
    <n v="8"/>
  </r>
  <r>
    <x v="1141"/>
    <n v="1"/>
    <x v="0"/>
    <n v="19"/>
  </r>
  <r>
    <x v="1142"/>
    <n v="1"/>
    <x v="0"/>
    <n v="29"/>
  </r>
  <r>
    <x v="1143"/>
    <n v="1"/>
    <x v="0"/>
    <n v="17"/>
  </r>
  <r>
    <x v="1144"/>
    <n v="1"/>
    <x v="0"/>
    <n v="18"/>
  </r>
  <r>
    <x v="1145"/>
    <n v="1"/>
    <x v="0"/>
    <n v="18"/>
  </r>
  <r>
    <x v="1146"/>
    <n v="1"/>
    <x v="0"/>
    <n v="21"/>
  </r>
  <r>
    <x v="1147"/>
    <n v="1"/>
    <x v="0"/>
    <n v="16"/>
  </r>
  <r>
    <x v="1148"/>
    <n v="1"/>
    <x v="0"/>
    <n v="16"/>
  </r>
  <r>
    <x v="1149"/>
    <n v="1"/>
    <x v="0"/>
    <n v="10"/>
  </r>
  <r>
    <x v="1150"/>
    <n v="1"/>
    <x v="0"/>
    <n v="12"/>
  </r>
  <r>
    <x v="1151"/>
    <n v="1"/>
    <x v="0"/>
    <n v="9"/>
  </r>
  <r>
    <x v="1152"/>
    <n v="1"/>
    <x v="0"/>
    <n v="21"/>
  </r>
  <r>
    <x v="1153"/>
    <n v="1"/>
    <x v="0"/>
    <n v="12"/>
  </r>
  <r>
    <x v="1154"/>
    <n v="1"/>
    <x v="0"/>
    <n v="14"/>
  </r>
  <r>
    <x v="1155"/>
    <n v="1"/>
    <x v="0"/>
    <n v="16"/>
  </r>
  <r>
    <x v="1156"/>
    <n v="1"/>
    <x v="0"/>
    <n v="17"/>
  </r>
  <r>
    <x v="1157"/>
    <n v="1"/>
    <x v="0"/>
    <n v="20"/>
  </r>
  <r>
    <x v="1158"/>
    <n v="1"/>
    <x v="0"/>
    <n v="17"/>
  </r>
  <r>
    <x v="1159"/>
    <n v="1"/>
    <x v="0"/>
    <n v="17"/>
  </r>
  <r>
    <x v="1160"/>
    <n v="1"/>
    <x v="0"/>
    <n v="22"/>
  </r>
  <r>
    <x v="1161"/>
    <n v="1"/>
    <x v="0"/>
    <n v="17"/>
  </r>
  <r>
    <x v="1162"/>
    <n v="1"/>
    <x v="0"/>
    <n v="9"/>
  </r>
  <r>
    <x v="1163"/>
    <n v="1"/>
    <x v="0"/>
    <n v="18"/>
  </r>
  <r>
    <x v="1164"/>
    <n v="1"/>
    <x v="0"/>
    <n v="15"/>
  </r>
  <r>
    <x v="1165"/>
    <n v="1"/>
    <x v="0"/>
    <n v="22"/>
  </r>
  <r>
    <x v="1166"/>
    <n v="1"/>
    <x v="0"/>
    <n v="17"/>
  </r>
  <r>
    <x v="1167"/>
    <n v="1"/>
    <x v="0"/>
    <n v="23"/>
  </r>
  <r>
    <x v="1168"/>
    <n v="1"/>
    <x v="0"/>
    <n v="13"/>
  </r>
  <r>
    <x v="1169"/>
    <n v="1"/>
    <x v="0"/>
    <n v="11"/>
  </r>
  <r>
    <x v="1170"/>
    <n v="1"/>
    <x v="0"/>
    <n v="23"/>
  </r>
  <r>
    <x v="1171"/>
    <n v="1"/>
    <x v="0"/>
    <n v="19"/>
  </r>
  <r>
    <x v="1172"/>
    <n v="1"/>
    <x v="0"/>
    <n v="21"/>
  </r>
  <r>
    <x v="1173"/>
    <n v="1"/>
    <x v="0"/>
    <n v="25"/>
  </r>
  <r>
    <x v="1174"/>
    <n v="1"/>
    <x v="0"/>
    <n v="25"/>
  </r>
  <r>
    <x v="1175"/>
    <n v="1"/>
    <x v="0"/>
    <n v="22"/>
  </r>
  <r>
    <x v="1176"/>
    <n v="1"/>
    <x v="0"/>
    <n v="17"/>
  </r>
  <r>
    <x v="1177"/>
    <n v="1"/>
    <x v="0"/>
    <n v="19"/>
  </r>
  <r>
    <x v="1178"/>
    <n v="1"/>
    <x v="0"/>
    <n v="18"/>
  </r>
  <r>
    <x v="1179"/>
    <n v="1"/>
    <x v="0"/>
    <n v="27"/>
  </r>
  <r>
    <x v="1180"/>
    <n v="1"/>
    <x v="0"/>
    <n v="22"/>
  </r>
  <r>
    <x v="1181"/>
    <n v="1"/>
    <x v="0"/>
    <n v="28"/>
  </r>
  <r>
    <x v="1182"/>
    <n v="1"/>
    <x v="0"/>
    <n v="16"/>
  </r>
  <r>
    <x v="1183"/>
    <n v="1"/>
    <x v="0"/>
    <n v="22"/>
  </r>
  <r>
    <x v="1184"/>
    <n v="1"/>
    <x v="0"/>
    <n v="14"/>
  </r>
  <r>
    <x v="1185"/>
    <n v="1"/>
    <x v="0"/>
    <n v="17"/>
  </r>
  <r>
    <x v="1186"/>
    <n v="1"/>
    <x v="0"/>
    <n v="32"/>
  </r>
  <r>
    <x v="1187"/>
    <n v="1"/>
    <x v="0"/>
    <n v="24"/>
  </r>
  <r>
    <x v="1188"/>
    <n v="1"/>
    <x v="0"/>
    <n v="29"/>
  </r>
  <r>
    <x v="1189"/>
    <n v="1"/>
    <x v="0"/>
    <n v="18"/>
  </r>
  <r>
    <x v="1190"/>
    <n v="1"/>
    <x v="0"/>
    <n v="20"/>
  </r>
  <r>
    <x v="1191"/>
    <n v="1"/>
    <x v="0"/>
    <n v="25"/>
  </r>
  <r>
    <x v="1192"/>
    <n v="1"/>
    <x v="0"/>
    <n v="18"/>
  </r>
  <r>
    <x v="1193"/>
    <n v="1"/>
    <x v="0"/>
    <n v="23"/>
  </r>
  <r>
    <x v="1194"/>
    <n v="1"/>
    <x v="0"/>
    <n v="22"/>
  </r>
  <r>
    <x v="1195"/>
    <n v="1"/>
    <x v="0"/>
    <n v="36"/>
  </r>
  <r>
    <x v="1196"/>
    <n v="1"/>
    <x v="0"/>
    <n v="18"/>
  </r>
  <r>
    <x v="1197"/>
    <n v="1"/>
    <x v="0"/>
    <n v="30"/>
  </r>
  <r>
    <x v="1198"/>
    <n v="1"/>
    <x v="0"/>
    <n v="24"/>
  </r>
  <r>
    <x v="1199"/>
    <n v="1"/>
    <x v="0"/>
    <n v="22"/>
  </r>
  <r>
    <x v="1200"/>
    <n v="1"/>
    <x v="0"/>
    <n v="23"/>
  </r>
  <r>
    <x v="1201"/>
    <n v="1"/>
    <x v="0"/>
    <n v="22"/>
  </r>
  <r>
    <x v="1202"/>
    <n v="1"/>
    <x v="0"/>
    <n v="18"/>
  </r>
  <r>
    <x v="1203"/>
    <n v="1"/>
    <x v="0"/>
    <n v="23"/>
  </r>
  <r>
    <x v="1204"/>
    <n v="1"/>
    <x v="0"/>
    <n v="23"/>
  </r>
  <r>
    <x v="1205"/>
    <n v="1"/>
    <x v="0"/>
    <n v="18"/>
  </r>
  <r>
    <x v="1206"/>
    <n v="1"/>
    <x v="0"/>
    <n v="20"/>
  </r>
  <r>
    <x v="1207"/>
    <n v="1"/>
    <x v="0"/>
    <n v="22"/>
  </r>
  <r>
    <x v="1208"/>
    <n v="1"/>
    <x v="0"/>
    <n v="23"/>
  </r>
  <r>
    <x v="1209"/>
    <n v="1"/>
    <x v="0"/>
    <n v="26"/>
  </r>
  <r>
    <x v="1210"/>
    <n v="1"/>
    <x v="0"/>
    <n v="15"/>
  </r>
  <r>
    <x v="1211"/>
    <n v="1"/>
    <x v="0"/>
    <n v="20"/>
  </r>
  <r>
    <x v="1212"/>
    <n v="1"/>
    <x v="0"/>
    <n v="19"/>
  </r>
  <r>
    <x v="1213"/>
    <n v="1"/>
    <x v="0"/>
    <n v="21"/>
  </r>
  <r>
    <x v="1214"/>
    <n v="1"/>
    <x v="0"/>
    <n v="30"/>
  </r>
  <r>
    <x v="1215"/>
    <n v="1"/>
    <x v="0"/>
    <n v="30"/>
  </r>
  <r>
    <x v="1216"/>
    <n v="1"/>
    <x v="0"/>
    <n v="30"/>
  </r>
  <r>
    <x v="1217"/>
    <n v="1"/>
    <x v="0"/>
    <n v="18"/>
  </r>
  <r>
    <x v="1218"/>
    <n v="1"/>
    <x v="0"/>
    <n v="29"/>
  </r>
  <r>
    <x v="1219"/>
    <n v="1"/>
    <x v="0"/>
    <n v="24"/>
  </r>
  <r>
    <x v="1220"/>
    <n v="1"/>
    <x v="0"/>
    <n v="17"/>
  </r>
  <r>
    <x v="1221"/>
    <n v="1"/>
    <x v="0"/>
    <n v="23"/>
  </r>
  <r>
    <x v="1222"/>
    <n v="1"/>
    <x v="0"/>
    <n v="23"/>
  </r>
  <r>
    <x v="1223"/>
    <n v="1"/>
    <x v="0"/>
    <n v="26"/>
  </r>
  <r>
    <x v="1224"/>
    <n v="1"/>
    <x v="0"/>
    <n v="18"/>
  </r>
  <r>
    <x v="1225"/>
    <n v="1"/>
    <x v="0"/>
    <n v="29"/>
  </r>
  <r>
    <x v="1226"/>
    <n v="1"/>
    <x v="0"/>
    <n v="21"/>
  </r>
  <r>
    <x v="1227"/>
    <n v="1"/>
    <x v="0"/>
    <n v="19"/>
  </r>
  <r>
    <x v="1228"/>
    <n v="1"/>
    <x v="0"/>
    <n v="26"/>
  </r>
  <r>
    <x v="1229"/>
    <n v="1"/>
    <x v="0"/>
    <n v="30"/>
  </r>
  <r>
    <x v="1230"/>
    <n v="1"/>
    <x v="0"/>
    <n v="39"/>
  </r>
  <r>
    <x v="1231"/>
    <n v="1"/>
    <x v="0"/>
    <n v="13"/>
  </r>
  <r>
    <x v="1232"/>
    <n v="1"/>
    <x v="0"/>
    <n v="25"/>
  </r>
  <r>
    <x v="1233"/>
    <n v="1"/>
    <x v="0"/>
    <n v="33"/>
  </r>
  <r>
    <x v="1234"/>
    <n v="1"/>
    <x v="0"/>
    <n v="26"/>
  </r>
  <r>
    <x v="1235"/>
    <n v="1"/>
    <x v="0"/>
    <n v="28"/>
  </r>
  <r>
    <x v="1236"/>
    <n v="1"/>
    <x v="0"/>
    <n v="35"/>
  </r>
  <r>
    <x v="1237"/>
    <n v="1"/>
    <x v="0"/>
    <n v="32"/>
  </r>
  <r>
    <x v="1238"/>
    <n v="1"/>
    <x v="0"/>
    <n v="22"/>
  </r>
  <r>
    <x v="1239"/>
    <n v="1"/>
    <x v="0"/>
    <n v="26"/>
  </r>
  <r>
    <x v="1240"/>
    <n v="1"/>
    <x v="0"/>
    <n v="29"/>
  </r>
  <r>
    <x v="1241"/>
    <n v="1"/>
    <x v="0"/>
    <n v="17"/>
  </r>
  <r>
    <x v="1242"/>
    <n v="1"/>
    <x v="0"/>
    <n v="26"/>
  </r>
  <r>
    <x v="1243"/>
    <n v="1"/>
    <x v="0"/>
    <n v="33"/>
  </r>
  <r>
    <x v="1244"/>
    <n v="1"/>
    <x v="0"/>
    <n v="29"/>
  </r>
  <r>
    <x v="1245"/>
    <n v="1"/>
    <x v="0"/>
    <n v="18"/>
  </r>
  <r>
    <x v="1246"/>
    <n v="1"/>
    <x v="0"/>
    <n v="18"/>
  </r>
  <r>
    <x v="1247"/>
    <n v="1"/>
    <x v="0"/>
    <n v="24"/>
  </r>
  <r>
    <x v="1248"/>
    <n v="1"/>
    <x v="0"/>
    <n v="25"/>
  </r>
  <r>
    <x v="1249"/>
    <n v="1"/>
    <x v="0"/>
    <n v="38"/>
  </r>
  <r>
    <x v="1250"/>
    <n v="1"/>
    <x v="0"/>
    <n v="28"/>
  </r>
  <r>
    <x v="1251"/>
    <n v="1"/>
    <x v="0"/>
    <n v="35"/>
  </r>
  <r>
    <x v="1252"/>
    <n v="1"/>
    <x v="0"/>
    <n v="23"/>
  </r>
  <r>
    <x v="1253"/>
    <n v="1"/>
    <x v="0"/>
    <n v="22"/>
  </r>
  <r>
    <x v="1254"/>
    <n v="1"/>
    <x v="0"/>
    <n v="22"/>
  </r>
  <r>
    <x v="1255"/>
    <n v="1"/>
    <x v="0"/>
    <n v="24"/>
  </r>
  <r>
    <x v="1256"/>
    <n v="1"/>
    <x v="0"/>
    <n v="34"/>
  </r>
  <r>
    <x v="1257"/>
    <n v="1"/>
    <x v="0"/>
    <n v="31"/>
  </r>
  <r>
    <x v="1258"/>
    <n v="1"/>
    <x v="0"/>
    <n v="22"/>
  </r>
  <r>
    <x v="1259"/>
    <n v="1"/>
    <x v="0"/>
    <n v="22"/>
  </r>
  <r>
    <x v="1260"/>
    <n v="1"/>
    <x v="0"/>
    <n v="25"/>
  </r>
  <r>
    <x v="1261"/>
    <n v="1"/>
    <x v="0"/>
    <n v="22"/>
  </r>
  <r>
    <x v="1262"/>
    <n v="1"/>
    <x v="0"/>
    <n v="30"/>
  </r>
  <r>
    <x v="1263"/>
    <n v="1"/>
    <x v="0"/>
    <n v="22"/>
  </r>
  <r>
    <x v="1264"/>
    <n v="1"/>
    <x v="0"/>
    <n v="27"/>
  </r>
  <r>
    <x v="1265"/>
    <n v="1"/>
    <x v="0"/>
    <n v="28"/>
  </r>
  <r>
    <x v="1266"/>
    <n v="1"/>
    <x v="0"/>
    <n v="15"/>
  </r>
  <r>
    <x v="1267"/>
    <n v="1"/>
    <x v="0"/>
    <n v="25"/>
  </r>
  <r>
    <x v="1268"/>
    <n v="1"/>
    <x v="0"/>
    <n v="25"/>
  </r>
  <r>
    <x v="1269"/>
    <n v="1"/>
    <x v="0"/>
    <n v="23"/>
  </r>
  <r>
    <x v="1270"/>
    <n v="1"/>
    <x v="0"/>
    <n v="31"/>
  </r>
  <r>
    <x v="1271"/>
    <n v="1"/>
    <x v="0"/>
    <n v="31"/>
  </r>
  <r>
    <x v="1272"/>
    <n v="1"/>
    <x v="0"/>
    <n v="32"/>
  </r>
  <r>
    <x v="1273"/>
    <n v="1"/>
    <x v="0"/>
    <n v="26"/>
  </r>
  <r>
    <x v="1274"/>
    <n v="1"/>
    <x v="0"/>
    <n v="28"/>
  </r>
  <r>
    <x v="1275"/>
    <n v="1"/>
    <x v="0"/>
    <n v="25"/>
  </r>
  <r>
    <x v="1276"/>
    <n v="1"/>
    <x v="0"/>
    <n v="25"/>
  </r>
  <r>
    <x v="1277"/>
    <n v="1"/>
    <x v="0"/>
    <n v="42"/>
  </r>
  <r>
    <x v="1278"/>
    <n v="1"/>
    <x v="0"/>
    <n v="32"/>
  </r>
  <r>
    <x v="1279"/>
    <n v="1"/>
    <x v="0"/>
    <n v="35"/>
  </r>
  <r>
    <x v="1280"/>
    <n v="1"/>
    <x v="0"/>
    <n v="18"/>
  </r>
  <r>
    <x v="1281"/>
    <n v="1"/>
    <x v="0"/>
    <n v="31"/>
  </r>
  <r>
    <x v="1282"/>
    <n v="1"/>
    <x v="0"/>
    <n v="22"/>
  </r>
  <r>
    <x v="1283"/>
    <n v="1"/>
    <x v="0"/>
    <n v="33"/>
  </r>
  <r>
    <x v="1284"/>
    <n v="1"/>
    <x v="0"/>
    <n v="34"/>
  </r>
  <r>
    <x v="1285"/>
    <n v="1"/>
    <x v="0"/>
    <n v="35"/>
  </r>
  <r>
    <x v="1286"/>
    <n v="1"/>
    <x v="0"/>
    <n v="28"/>
  </r>
  <r>
    <x v="1287"/>
    <n v="1"/>
    <x v="0"/>
    <n v="18"/>
  </r>
  <r>
    <x v="1288"/>
    <n v="1"/>
    <x v="0"/>
    <n v="27"/>
  </r>
  <r>
    <x v="1289"/>
    <n v="1"/>
    <x v="0"/>
    <n v="30"/>
  </r>
  <r>
    <x v="1290"/>
    <n v="1"/>
    <x v="0"/>
    <n v="22"/>
  </r>
  <r>
    <x v="1291"/>
    <n v="1"/>
    <x v="0"/>
    <n v="33"/>
  </r>
  <r>
    <x v="1292"/>
    <n v="1"/>
    <x v="0"/>
    <n v="34"/>
  </r>
  <r>
    <x v="1293"/>
    <n v="1"/>
    <x v="0"/>
    <n v="37"/>
  </r>
  <r>
    <x v="1294"/>
    <n v="1"/>
    <x v="0"/>
    <n v="24"/>
  </r>
  <r>
    <x v="1295"/>
    <n v="1"/>
    <x v="0"/>
    <n v="25"/>
  </r>
  <r>
    <x v="1296"/>
    <n v="1"/>
    <x v="0"/>
    <n v="22"/>
  </r>
  <r>
    <x v="1297"/>
    <n v="1"/>
    <x v="0"/>
    <n v="34"/>
  </r>
  <r>
    <x v="1298"/>
    <n v="1"/>
    <x v="0"/>
    <n v="26"/>
  </r>
  <r>
    <x v="1299"/>
    <n v="1"/>
    <x v="0"/>
    <n v="34"/>
  </r>
  <r>
    <x v="1300"/>
    <n v="1"/>
    <x v="0"/>
    <n v="25"/>
  </r>
  <r>
    <x v="1301"/>
    <n v="1"/>
    <x v="0"/>
    <n v="21"/>
  </r>
  <r>
    <x v="1302"/>
    <n v="1"/>
    <x v="0"/>
    <n v="24"/>
  </r>
  <r>
    <x v="1303"/>
    <n v="1"/>
    <x v="0"/>
    <n v="28"/>
  </r>
  <r>
    <x v="1304"/>
    <n v="1"/>
    <x v="0"/>
    <n v="30"/>
  </r>
  <r>
    <x v="1305"/>
    <n v="1"/>
    <x v="0"/>
    <n v="30"/>
  </r>
  <r>
    <x v="1306"/>
    <n v="1"/>
    <x v="0"/>
    <n v="38"/>
  </r>
  <r>
    <x v="1307"/>
    <n v="1"/>
    <x v="0"/>
    <n v="31"/>
  </r>
  <r>
    <x v="1308"/>
    <n v="1"/>
    <x v="0"/>
    <n v="21"/>
  </r>
  <r>
    <x v="1309"/>
    <n v="1"/>
    <x v="0"/>
    <n v="22"/>
  </r>
  <r>
    <x v="1310"/>
    <n v="1"/>
    <x v="0"/>
    <n v="28"/>
  </r>
  <r>
    <x v="1311"/>
    <n v="1"/>
    <x v="0"/>
    <n v="34"/>
  </r>
  <r>
    <x v="1312"/>
    <n v="1"/>
    <x v="0"/>
    <n v="24"/>
  </r>
  <r>
    <x v="1313"/>
    <n v="1"/>
    <x v="0"/>
    <n v="20"/>
  </r>
  <r>
    <x v="1314"/>
    <n v="1"/>
    <x v="0"/>
    <n v="31"/>
  </r>
  <r>
    <x v="1315"/>
    <n v="1"/>
    <x v="0"/>
    <n v="11"/>
  </r>
  <r>
    <x v="1316"/>
    <n v="1"/>
    <x v="0"/>
    <n v="26"/>
  </r>
  <r>
    <x v="1317"/>
    <n v="1"/>
    <x v="0"/>
    <n v="21"/>
  </r>
  <r>
    <x v="1318"/>
    <n v="1"/>
    <x v="0"/>
    <n v="23"/>
  </r>
  <r>
    <x v="1319"/>
    <n v="1"/>
    <x v="0"/>
    <n v="16"/>
  </r>
  <r>
    <x v="1320"/>
    <n v="1"/>
    <x v="0"/>
    <n v="27"/>
  </r>
  <r>
    <x v="1321"/>
    <n v="1"/>
    <x v="0"/>
    <n v="36"/>
  </r>
  <r>
    <x v="1322"/>
    <n v="1"/>
    <x v="0"/>
    <n v="24"/>
  </r>
  <r>
    <x v="1323"/>
    <n v="1"/>
    <x v="0"/>
    <n v="15"/>
  </r>
  <r>
    <x v="1324"/>
    <n v="1"/>
    <x v="0"/>
    <n v="25"/>
  </r>
  <r>
    <x v="1325"/>
    <n v="1"/>
    <x v="0"/>
    <n v="26"/>
  </r>
  <r>
    <x v="1326"/>
    <n v="1"/>
    <x v="0"/>
    <n v="29"/>
  </r>
  <r>
    <x v="1327"/>
    <n v="1"/>
    <x v="0"/>
    <n v="30"/>
  </r>
  <r>
    <x v="1328"/>
    <n v="1"/>
    <x v="0"/>
    <n v="22"/>
  </r>
  <r>
    <x v="1329"/>
    <n v="1"/>
    <x v="0"/>
    <n v="15"/>
  </r>
  <r>
    <x v="1330"/>
    <n v="1"/>
    <x v="0"/>
    <n v="24"/>
  </r>
  <r>
    <x v="1331"/>
    <n v="1"/>
    <x v="0"/>
    <n v="32"/>
  </r>
  <r>
    <x v="1332"/>
    <n v="1"/>
    <x v="0"/>
    <n v="17"/>
  </r>
  <r>
    <x v="1333"/>
    <n v="1"/>
    <x v="0"/>
    <n v="25"/>
  </r>
  <r>
    <x v="1334"/>
    <n v="1"/>
    <x v="0"/>
    <n v="24"/>
  </r>
  <r>
    <x v="1335"/>
    <n v="1"/>
    <x v="0"/>
    <n v="34"/>
  </r>
  <r>
    <x v="1336"/>
    <n v="1"/>
    <x v="0"/>
    <n v="14"/>
  </r>
  <r>
    <x v="1337"/>
    <n v="1"/>
    <x v="0"/>
    <n v="14"/>
  </r>
  <r>
    <x v="1338"/>
    <n v="1"/>
    <x v="0"/>
    <n v="17"/>
  </r>
  <r>
    <x v="1339"/>
    <n v="1"/>
    <x v="0"/>
    <n v="18"/>
  </r>
  <r>
    <x v="1340"/>
    <n v="1"/>
    <x v="0"/>
    <n v="20"/>
  </r>
  <r>
    <x v="1341"/>
    <n v="1"/>
    <x v="0"/>
    <n v="31"/>
  </r>
  <r>
    <x v="1342"/>
    <n v="1"/>
    <x v="0"/>
    <n v="25"/>
  </r>
  <r>
    <x v="1343"/>
    <n v="1"/>
    <x v="0"/>
    <n v="32"/>
  </r>
  <r>
    <x v="1344"/>
    <n v="1"/>
    <x v="0"/>
    <n v="28"/>
  </r>
  <r>
    <x v="1345"/>
    <n v="1"/>
    <x v="0"/>
    <n v="18"/>
  </r>
  <r>
    <x v="1346"/>
    <n v="1"/>
    <x v="0"/>
    <n v="28"/>
  </r>
  <r>
    <x v="1347"/>
    <n v="1"/>
    <x v="0"/>
    <n v="26"/>
  </r>
  <r>
    <x v="1348"/>
    <n v="1"/>
    <x v="0"/>
    <n v="25"/>
  </r>
  <r>
    <x v="1349"/>
    <n v="1"/>
    <x v="0"/>
    <n v="24"/>
  </r>
  <r>
    <x v="1350"/>
    <n v="1"/>
    <x v="0"/>
    <n v="24"/>
  </r>
  <r>
    <x v="1351"/>
    <n v="1"/>
    <x v="0"/>
    <n v="24"/>
  </r>
  <r>
    <x v="1352"/>
    <n v="1"/>
    <x v="0"/>
    <n v="19"/>
  </r>
  <r>
    <x v="1353"/>
    <n v="1"/>
    <x v="0"/>
    <n v="20"/>
  </r>
  <r>
    <x v="1354"/>
    <n v="1"/>
    <x v="0"/>
    <n v="19"/>
  </r>
  <r>
    <x v="1355"/>
    <n v="1"/>
    <x v="0"/>
    <n v="19"/>
  </r>
  <r>
    <x v="1356"/>
    <n v="1"/>
    <x v="0"/>
    <n v="27"/>
  </r>
  <r>
    <x v="1357"/>
    <n v="1"/>
    <x v="0"/>
    <n v="19"/>
  </r>
  <r>
    <x v="1358"/>
    <n v="1"/>
    <x v="0"/>
    <n v="23"/>
  </r>
  <r>
    <x v="1359"/>
    <n v="1"/>
    <x v="0"/>
    <n v="25"/>
  </r>
  <r>
    <x v="1360"/>
    <n v="1"/>
    <x v="0"/>
    <n v="25"/>
  </r>
  <r>
    <x v="1361"/>
    <n v="1"/>
    <x v="0"/>
    <n v="24"/>
  </r>
  <r>
    <x v="1362"/>
    <n v="1"/>
    <x v="0"/>
    <n v="26"/>
  </r>
  <r>
    <x v="1363"/>
    <n v="1"/>
    <x v="0"/>
    <n v="27"/>
  </r>
  <r>
    <x v="1364"/>
    <n v="1"/>
    <x v="0"/>
    <n v="17"/>
  </r>
  <r>
    <x v="1365"/>
    <n v="1"/>
    <x v="0"/>
    <n v="18"/>
  </r>
  <r>
    <x v="1366"/>
    <n v="1"/>
    <x v="0"/>
    <n v="27"/>
  </r>
  <r>
    <x v="1367"/>
    <n v="1"/>
    <x v="0"/>
    <n v="28"/>
  </r>
  <r>
    <x v="1368"/>
    <n v="1"/>
    <x v="0"/>
    <n v="23"/>
  </r>
  <r>
    <x v="1369"/>
    <n v="1"/>
    <x v="0"/>
    <n v="25"/>
  </r>
  <r>
    <x v="1370"/>
    <n v="1"/>
    <x v="0"/>
    <n v="26"/>
  </r>
  <r>
    <x v="1371"/>
    <n v="1"/>
    <x v="0"/>
    <n v="20"/>
  </r>
  <r>
    <x v="1372"/>
    <n v="1"/>
    <x v="0"/>
    <n v="28"/>
  </r>
  <r>
    <x v="1373"/>
    <n v="1"/>
    <x v="0"/>
    <n v="17"/>
  </r>
  <r>
    <x v="1374"/>
    <n v="1"/>
    <x v="0"/>
    <n v="22"/>
  </r>
  <r>
    <x v="1375"/>
    <n v="1"/>
    <x v="0"/>
    <n v="19"/>
  </r>
  <r>
    <x v="1376"/>
    <n v="1"/>
    <x v="0"/>
    <n v="24"/>
  </r>
  <r>
    <x v="1377"/>
    <n v="1"/>
    <x v="0"/>
    <n v="29"/>
  </r>
  <r>
    <x v="1378"/>
    <n v="1"/>
    <x v="0"/>
    <n v="18"/>
  </r>
  <r>
    <x v="1379"/>
    <n v="1"/>
    <x v="0"/>
    <n v="18"/>
  </r>
  <r>
    <x v="1380"/>
    <n v="1"/>
    <x v="0"/>
    <n v="16"/>
  </r>
  <r>
    <x v="1381"/>
    <n v="1"/>
    <x v="0"/>
    <n v="16"/>
  </r>
  <r>
    <x v="1382"/>
    <n v="1"/>
    <x v="0"/>
    <n v="32"/>
  </r>
  <r>
    <x v="1383"/>
    <n v="1"/>
    <x v="0"/>
    <n v="32"/>
  </r>
  <r>
    <x v="1384"/>
    <n v="1"/>
    <x v="0"/>
    <n v="26"/>
  </r>
  <r>
    <x v="1385"/>
    <n v="1"/>
    <x v="0"/>
    <n v="20"/>
  </r>
  <r>
    <x v="1386"/>
    <n v="1"/>
    <x v="0"/>
    <n v="21"/>
  </r>
  <r>
    <x v="1387"/>
    <n v="1"/>
    <x v="0"/>
    <n v="20"/>
  </r>
  <r>
    <x v="1388"/>
    <n v="1"/>
    <x v="0"/>
    <n v="30"/>
  </r>
  <r>
    <x v="1389"/>
    <n v="1"/>
    <x v="0"/>
    <n v="25"/>
  </r>
  <r>
    <x v="1390"/>
    <n v="1"/>
    <x v="0"/>
    <n v="26"/>
  </r>
  <r>
    <x v="1391"/>
    <n v="1"/>
    <x v="0"/>
    <n v="21"/>
  </r>
  <r>
    <x v="1392"/>
    <n v="1"/>
    <x v="0"/>
    <n v="16"/>
  </r>
  <r>
    <x v="1393"/>
    <n v="1"/>
    <x v="0"/>
    <n v="13"/>
  </r>
  <r>
    <x v="1394"/>
    <n v="1"/>
    <x v="0"/>
    <n v="16"/>
  </r>
  <r>
    <x v="1395"/>
    <n v="1"/>
    <x v="0"/>
    <n v="25"/>
  </r>
  <r>
    <x v="1396"/>
    <n v="1"/>
    <x v="0"/>
    <n v="18"/>
  </r>
  <r>
    <x v="1397"/>
    <n v="1"/>
    <x v="0"/>
    <n v="23"/>
  </r>
  <r>
    <x v="1398"/>
    <n v="1"/>
    <x v="0"/>
    <n v="33"/>
  </r>
  <r>
    <x v="1399"/>
    <n v="1"/>
    <x v="0"/>
    <n v="24"/>
  </r>
  <r>
    <x v="1400"/>
    <n v="1"/>
    <x v="0"/>
    <n v="22"/>
  </r>
  <r>
    <x v="1401"/>
    <n v="1"/>
    <x v="0"/>
    <n v="23"/>
  </r>
  <r>
    <x v="1402"/>
    <n v="1"/>
    <x v="0"/>
    <n v="23"/>
  </r>
  <r>
    <x v="1403"/>
    <n v="1"/>
    <x v="0"/>
    <n v="22"/>
  </r>
  <r>
    <x v="1404"/>
    <n v="1"/>
    <x v="0"/>
    <n v="29"/>
  </r>
  <r>
    <x v="1405"/>
    <n v="1"/>
    <x v="0"/>
    <n v="18"/>
  </r>
  <r>
    <x v="1406"/>
    <n v="1"/>
    <x v="0"/>
    <n v="17"/>
  </r>
  <r>
    <x v="1407"/>
    <n v="1"/>
    <x v="0"/>
    <n v="19"/>
  </r>
  <r>
    <x v="1408"/>
    <n v="1"/>
    <x v="0"/>
    <n v="22"/>
  </r>
  <r>
    <x v="1409"/>
    <n v="1"/>
    <x v="0"/>
    <n v="18"/>
  </r>
  <r>
    <x v="1410"/>
    <n v="1"/>
    <x v="0"/>
    <n v="26"/>
  </r>
  <r>
    <x v="1411"/>
    <n v="1"/>
    <x v="0"/>
    <n v="26"/>
  </r>
  <r>
    <x v="1412"/>
    <n v="1"/>
    <x v="0"/>
    <n v="36"/>
  </r>
  <r>
    <x v="1413"/>
    <n v="1"/>
    <x v="0"/>
    <n v="17"/>
  </r>
  <r>
    <x v="1414"/>
    <n v="1"/>
    <x v="0"/>
    <n v="22"/>
  </r>
  <r>
    <x v="1415"/>
    <n v="1"/>
    <x v="0"/>
    <n v="20"/>
  </r>
  <r>
    <x v="1416"/>
    <n v="1"/>
    <x v="0"/>
    <n v="19"/>
  </r>
  <r>
    <x v="1417"/>
    <n v="1"/>
    <x v="0"/>
    <n v="21"/>
  </r>
  <r>
    <x v="1418"/>
    <n v="1"/>
    <x v="0"/>
    <n v="36"/>
  </r>
  <r>
    <x v="1419"/>
    <n v="1"/>
    <x v="0"/>
    <n v="22"/>
  </r>
  <r>
    <x v="1420"/>
    <n v="1"/>
    <x v="0"/>
    <n v="14"/>
  </r>
  <r>
    <x v="1421"/>
    <n v="1"/>
    <x v="0"/>
    <n v="18"/>
  </r>
  <r>
    <x v="1422"/>
    <n v="1"/>
    <x v="0"/>
    <n v="20"/>
  </r>
  <r>
    <x v="1423"/>
    <n v="1"/>
    <x v="0"/>
    <n v="18"/>
  </r>
  <r>
    <x v="1424"/>
    <n v="1"/>
    <x v="0"/>
    <n v="26"/>
  </r>
  <r>
    <x v="1425"/>
    <n v="1"/>
    <x v="0"/>
    <n v="20"/>
  </r>
  <r>
    <x v="1426"/>
    <n v="1"/>
    <x v="0"/>
    <n v="20"/>
  </r>
  <r>
    <x v="1427"/>
    <n v="1"/>
    <x v="0"/>
    <n v="22"/>
  </r>
  <r>
    <x v="1428"/>
    <n v="1"/>
    <x v="0"/>
    <n v="27"/>
  </r>
  <r>
    <x v="1429"/>
    <n v="1"/>
    <x v="0"/>
    <n v="19"/>
  </r>
  <r>
    <x v="1430"/>
    <n v="1"/>
    <x v="0"/>
    <n v="13"/>
  </r>
  <r>
    <x v="1431"/>
    <n v="1"/>
    <x v="0"/>
    <n v="11"/>
  </r>
  <r>
    <x v="1432"/>
    <n v="1"/>
    <x v="0"/>
    <n v="19"/>
  </r>
  <r>
    <x v="1433"/>
    <n v="1"/>
    <x v="0"/>
    <n v="24"/>
  </r>
  <r>
    <x v="1434"/>
    <n v="1"/>
    <x v="0"/>
    <n v="13"/>
  </r>
  <r>
    <x v="1435"/>
    <n v="1"/>
    <x v="0"/>
    <n v="10"/>
  </r>
  <r>
    <x v="1436"/>
    <n v="1"/>
    <x v="0"/>
    <n v="17"/>
  </r>
  <r>
    <x v="1437"/>
    <n v="1"/>
    <x v="0"/>
    <n v="15"/>
  </r>
  <r>
    <x v="1438"/>
    <n v="1"/>
    <x v="0"/>
    <n v="7"/>
  </r>
  <r>
    <x v="1439"/>
    <n v="1"/>
    <x v="0"/>
    <n v="12"/>
  </r>
  <r>
    <x v="1440"/>
    <n v="1"/>
    <x v="0"/>
    <n v="20"/>
  </r>
  <r>
    <x v="1441"/>
    <n v="1"/>
    <x v="0"/>
    <n v="12"/>
  </r>
  <r>
    <x v="1442"/>
    <n v="1"/>
    <x v="0"/>
    <n v="23"/>
  </r>
  <r>
    <x v="1443"/>
    <n v="1"/>
    <x v="0"/>
    <n v="12"/>
  </r>
  <r>
    <x v="1444"/>
    <n v="1"/>
    <x v="0"/>
    <n v="10"/>
  </r>
  <r>
    <x v="1445"/>
    <n v="1"/>
    <x v="0"/>
    <n v="15"/>
  </r>
  <r>
    <x v="1446"/>
    <n v="1"/>
    <x v="0"/>
    <n v="19"/>
  </r>
  <r>
    <x v="1447"/>
    <n v="1"/>
    <x v="0"/>
    <n v="22"/>
  </r>
  <r>
    <x v="1448"/>
    <n v="1"/>
    <x v="0"/>
    <n v="17"/>
  </r>
  <r>
    <x v="1449"/>
    <n v="1"/>
    <x v="0"/>
    <n v="18"/>
  </r>
  <r>
    <x v="1450"/>
    <n v="1"/>
    <x v="0"/>
    <n v="12"/>
  </r>
  <r>
    <x v="1451"/>
    <n v="1"/>
    <x v="0"/>
    <n v="20"/>
  </r>
  <r>
    <x v="1452"/>
    <n v="1"/>
    <x v="0"/>
    <n v="21"/>
  </r>
  <r>
    <x v="1453"/>
    <n v="1"/>
    <x v="0"/>
    <n v="13"/>
  </r>
  <r>
    <x v="1454"/>
    <n v="1"/>
    <x v="0"/>
    <n v="20"/>
  </r>
  <r>
    <x v="1455"/>
    <n v="1"/>
    <x v="0"/>
    <n v="16"/>
  </r>
  <r>
    <x v="1456"/>
    <n v="1"/>
    <x v="0"/>
    <n v="10"/>
  </r>
  <r>
    <x v="1457"/>
    <n v="1"/>
    <x v="0"/>
    <n v="16"/>
  </r>
  <r>
    <x v="1458"/>
    <n v="1"/>
    <x v="0"/>
    <n v="21"/>
  </r>
  <r>
    <x v="1459"/>
    <n v="1"/>
    <x v="0"/>
    <n v="24"/>
  </r>
  <r>
    <x v="1460"/>
    <n v="1"/>
    <x v="0"/>
    <n v="14"/>
  </r>
  <r>
    <x v="1461"/>
    <n v="1"/>
    <x v="0"/>
    <n v="19"/>
  </r>
  <r>
    <x v="1462"/>
    <n v="1"/>
    <x v="0"/>
    <n v="15"/>
  </r>
  <r>
    <x v="1463"/>
    <n v="1"/>
    <x v="0"/>
    <n v="10"/>
  </r>
  <r>
    <x v="1464"/>
    <n v="1"/>
    <x v="0"/>
    <n v="16"/>
  </r>
  <r>
    <x v="1465"/>
    <n v="1"/>
    <x v="0"/>
    <n v="14"/>
  </r>
  <r>
    <x v="1466"/>
    <n v="1"/>
    <x v="0"/>
    <n v="24"/>
  </r>
  <r>
    <x v="1467"/>
    <n v="1"/>
    <x v="0"/>
    <n v="14"/>
  </r>
  <r>
    <x v="1468"/>
    <n v="1"/>
    <x v="0"/>
    <n v="20"/>
  </r>
  <r>
    <x v="1469"/>
    <n v="1"/>
    <x v="0"/>
    <n v="18"/>
  </r>
  <r>
    <x v="1470"/>
    <n v="1"/>
    <x v="0"/>
    <n v="11"/>
  </r>
  <r>
    <x v="1471"/>
    <n v="1"/>
    <x v="0"/>
    <n v="14"/>
  </r>
  <r>
    <x v="1472"/>
    <n v="1"/>
    <x v="0"/>
    <n v="17"/>
  </r>
  <r>
    <x v="1473"/>
    <n v="1"/>
    <x v="0"/>
    <n v="7"/>
  </r>
  <r>
    <x v="1474"/>
    <n v="1"/>
    <x v="0"/>
    <n v="16"/>
  </r>
  <r>
    <x v="1475"/>
    <n v="1"/>
    <x v="0"/>
    <n v="29"/>
  </r>
  <r>
    <x v="1476"/>
    <n v="1"/>
    <x v="0"/>
    <n v="15"/>
  </r>
  <r>
    <x v="1477"/>
    <n v="1"/>
    <x v="0"/>
    <n v="14"/>
  </r>
  <r>
    <x v="1478"/>
    <n v="1"/>
    <x v="0"/>
    <n v="10"/>
  </r>
  <r>
    <x v="1479"/>
    <n v="1"/>
    <x v="0"/>
    <n v="16"/>
  </r>
  <r>
    <x v="1480"/>
    <n v="1"/>
    <x v="0"/>
    <n v="22"/>
  </r>
  <r>
    <x v="1481"/>
    <n v="1"/>
    <x v="0"/>
    <n v="13"/>
  </r>
  <r>
    <x v="1482"/>
    <n v="1"/>
    <x v="0"/>
    <n v="21"/>
  </r>
  <r>
    <x v="1483"/>
    <n v="1"/>
    <x v="0"/>
    <n v="9"/>
  </r>
  <r>
    <x v="1484"/>
    <n v="1"/>
    <x v="0"/>
    <n v="18"/>
  </r>
  <r>
    <x v="1485"/>
    <n v="1"/>
    <x v="0"/>
    <n v="14"/>
  </r>
  <r>
    <x v="1486"/>
    <n v="1"/>
    <x v="0"/>
    <n v="13"/>
  </r>
  <r>
    <x v="1487"/>
    <n v="1"/>
    <x v="0"/>
    <n v="10"/>
  </r>
  <r>
    <x v="1488"/>
    <n v="1"/>
    <x v="0"/>
    <n v="16"/>
  </r>
  <r>
    <x v="1489"/>
    <n v="1"/>
    <x v="0"/>
    <n v="24"/>
  </r>
  <r>
    <x v="1490"/>
    <n v="1"/>
    <x v="0"/>
    <n v="9"/>
  </r>
  <r>
    <x v="1491"/>
    <n v="1"/>
    <x v="0"/>
    <n v="17"/>
  </r>
  <r>
    <x v="1492"/>
    <n v="1"/>
    <x v="0"/>
    <n v="15"/>
  </r>
  <r>
    <x v="1493"/>
    <n v="1"/>
    <x v="0"/>
    <n v="17"/>
  </r>
  <r>
    <x v="1494"/>
    <n v="1"/>
    <x v="0"/>
    <n v="24"/>
  </r>
  <r>
    <x v="1495"/>
    <n v="1"/>
    <x v="0"/>
    <n v="25"/>
  </r>
  <r>
    <x v="1496"/>
    <n v="1"/>
    <x v="0"/>
    <n v="25"/>
  </r>
  <r>
    <x v="1497"/>
    <n v="1"/>
    <x v="0"/>
    <n v="16"/>
  </r>
  <r>
    <x v="1498"/>
    <n v="1"/>
    <x v="0"/>
    <n v="12"/>
  </r>
  <r>
    <x v="1499"/>
    <n v="1"/>
    <x v="0"/>
    <n v="20"/>
  </r>
  <r>
    <x v="1500"/>
    <n v="1"/>
    <x v="0"/>
    <n v="16"/>
  </r>
  <r>
    <x v="1501"/>
    <n v="1"/>
    <x v="0"/>
    <n v="16"/>
  </r>
  <r>
    <x v="1502"/>
    <n v="1"/>
    <x v="0"/>
    <n v="18"/>
  </r>
  <r>
    <x v="1503"/>
    <n v="1"/>
    <x v="0"/>
    <n v="19"/>
  </r>
  <r>
    <x v="1504"/>
    <n v="1"/>
    <x v="0"/>
    <n v="11"/>
  </r>
  <r>
    <x v="1505"/>
    <n v="1"/>
    <x v="0"/>
    <n v="15"/>
  </r>
  <r>
    <x v="1506"/>
    <n v="1"/>
    <x v="0"/>
    <n v="22"/>
  </r>
  <r>
    <x v="1507"/>
    <n v="1"/>
    <x v="0"/>
    <n v="11"/>
  </r>
  <r>
    <x v="1508"/>
    <n v="1"/>
    <x v="0"/>
    <n v="17"/>
  </r>
  <r>
    <x v="1509"/>
    <n v="1"/>
    <x v="0"/>
    <n v="22"/>
  </r>
  <r>
    <x v="1510"/>
    <n v="1"/>
    <x v="0"/>
    <n v="18"/>
  </r>
  <r>
    <x v="1511"/>
    <n v="1"/>
    <x v="0"/>
    <n v="5"/>
  </r>
  <r>
    <x v="1512"/>
    <n v="1"/>
    <x v="0"/>
    <n v="14"/>
  </r>
  <r>
    <x v="1513"/>
    <n v="1"/>
    <x v="0"/>
    <n v="12"/>
  </r>
  <r>
    <x v="1514"/>
    <n v="1"/>
    <x v="0"/>
    <n v="26"/>
  </r>
  <r>
    <x v="1515"/>
    <n v="1"/>
    <x v="0"/>
    <n v="15"/>
  </r>
  <r>
    <x v="1516"/>
    <n v="1"/>
    <x v="0"/>
    <n v="16"/>
  </r>
  <r>
    <x v="1517"/>
    <n v="1"/>
    <x v="0"/>
    <n v="28"/>
  </r>
  <r>
    <x v="1518"/>
    <n v="1"/>
    <x v="0"/>
    <n v="12"/>
  </r>
  <r>
    <x v="1519"/>
    <n v="1"/>
    <x v="0"/>
    <n v="20"/>
  </r>
  <r>
    <x v="1520"/>
    <n v="1"/>
    <x v="0"/>
    <n v="16"/>
  </r>
  <r>
    <x v="1521"/>
    <n v="1"/>
    <x v="0"/>
    <n v="23"/>
  </r>
  <r>
    <x v="1522"/>
    <n v="1"/>
    <x v="0"/>
    <n v="22"/>
  </r>
  <r>
    <x v="1523"/>
    <n v="1"/>
    <x v="0"/>
    <n v="13"/>
  </r>
  <r>
    <x v="1524"/>
    <n v="1"/>
    <x v="0"/>
    <n v="25"/>
  </r>
  <r>
    <x v="1525"/>
    <n v="1"/>
    <x v="0"/>
    <n v="11"/>
  </r>
  <r>
    <x v="1526"/>
    <n v="1"/>
    <x v="0"/>
    <n v="14"/>
  </r>
  <r>
    <x v="1527"/>
    <n v="1"/>
    <x v="0"/>
    <n v="17"/>
  </r>
  <r>
    <x v="1528"/>
    <n v="1"/>
    <x v="0"/>
    <n v="16"/>
  </r>
  <r>
    <x v="1529"/>
    <n v="1"/>
    <x v="0"/>
    <n v="18"/>
  </r>
  <r>
    <x v="1530"/>
    <n v="1"/>
    <x v="0"/>
    <n v="15"/>
  </r>
  <r>
    <x v="1531"/>
    <n v="1"/>
    <x v="0"/>
    <n v="21"/>
  </r>
  <r>
    <x v="1532"/>
    <n v="1"/>
    <x v="0"/>
    <n v="14"/>
  </r>
  <r>
    <x v="1533"/>
    <n v="1"/>
    <x v="0"/>
    <n v="24"/>
  </r>
  <r>
    <x v="1534"/>
    <n v="1"/>
    <x v="0"/>
    <n v="22"/>
  </r>
  <r>
    <x v="1535"/>
    <n v="1"/>
    <x v="0"/>
    <n v="23"/>
  </r>
  <r>
    <x v="1536"/>
    <n v="1"/>
    <x v="0"/>
    <n v="17"/>
  </r>
  <r>
    <x v="1537"/>
    <n v="1"/>
    <x v="0"/>
    <n v="20"/>
  </r>
  <r>
    <x v="1538"/>
    <n v="1"/>
    <x v="0"/>
    <n v="25"/>
  </r>
  <r>
    <x v="1539"/>
    <n v="1"/>
    <x v="0"/>
    <n v="14"/>
  </r>
  <r>
    <x v="1540"/>
    <n v="1"/>
    <x v="0"/>
    <n v="13"/>
  </r>
  <r>
    <x v="1541"/>
    <n v="1"/>
    <x v="0"/>
    <n v="23"/>
  </r>
  <r>
    <x v="1542"/>
    <n v="1"/>
    <x v="0"/>
    <n v="18"/>
  </r>
  <r>
    <x v="1543"/>
    <n v="1"/>
    <x v="0"/>
    <n v="19"/>
  </r>
  <r>
    <x v="1544"/>
    <n v="1"/>
    <x v="0"/>
    <n v="20"/>
  </r>
  <r>
    <x v="1545"/>
    <n v="1"/>
    <x v="0"/>
    <n v="17"/>
  </r>
  <r>
    <x v="1546"/>
    <n v="1"/>
    <x v="0"/>
    <n v="21"/>
  </r>
  <r>
    <x v="1547"/>
    <n v="1"/>
    <x v="0"/>
    <n v="13"/>
  </r>
  <r>
    <x v="1548"/>
    <n v="1"/>
    <x v="0"/>
    <n v="12"/>
  </r>
  <r>
    <x v="1549"/>
    <n v="1"/>
    <x v="0"/>
    <n v="22"/>
  </r>
  <r>
    <x v="1550"/>
    <n v="1"/>
    <x v="0"/>
    <n v="13"/>
  </r>
  <r>
    <x v="1551"/>
    <n v="1"/>
    <x v="0"/>
    <n v="26"/>
  </r>
  <r>
    <x v="1552"/>
    <n v="1"/>
    <x v="0"/>
    <n v="21"/>
  </r>
  <r>
    <x v="1553"/>
    <n v="1"/>
    <x v="0"/>
    <n v="17"/>
  </r>
  <r>
    <x v="1554"/>
    <n v="1"/>
    <x v="0"/>
    <n v="22"/>
  </r>
  <r>
    <x v="1555"/>
    <n v="1"/>
    <x v="0"/>
    <n v="21"/>
  </r>
  <r>
    <x v="1556"/>
    <n v="1"/>
    <x v="0"/>
    <n v="25"/>
  </r>
  <r>
    <x v="1557"/>
    <n v="1"/>
    <x v="0"/>
    <n v="25"/>
  </r>
  <r>
    <x v="1558"/>
    <n v="1"/>
    <x v="0"/>
    <n v="23"/>
  </r>
  <r>
    <x v="1559"/>
    <n v="1"/>
    <x v="0"/>
    <n v="20"/>
  </r>
  <r>
    <x v="1560"/>
    <n v="1"/>
    <x v="0"/>
    <n v="19"/>
  </r>
  <r>
    <x v="1561"/>
    <n v="1"/>
    <x v="0"/>
    <n v="21"/>
  </r>
  <r>
    <x v="1562"/>
    <n v="1"/>
    <x v="0"/>
    <n v="17"/>
  </r>
  <r>
    <x v="1563"/>
    <n v="1"/>
    <x v="0"/>
    <n v="25"/>
  </r>
  <r>
    <x v="1564"/>
    <n v="1"/>
    <x v="0"/>
    <n v="15"/>
  </r>
  <r>
    <x v="1565"/>
    <n v="1"/>
    <x v="0"/>
    <n v="20"/>
  </r>
  <r>
    <x v="1566"/>
    <n v="1"/>
    <x v="0"/>
    <n v="32"/>
  </r>
  <r>
    <x v="1567"/>
    <n v="1"/>
    <x v="0"/>
    <n v="13"/>
  </r>
  <r>
    <x v="1568"/>
    <n v="1"/>
    <x v="0"/>
    <n v="21"/>
  </r>
  <r>
    <x v="1569"/>
    <n v="1"/>
    <x v="0"/>
    <n v="19"/>
  </r>
  <r>
    <x v="1570"/>
    <n v="1"/>
    <x v="0"/>
    <n v="26"/>
  </r>
  <r>
    <x v="1571"/>
    <n v="1"/>
    <x v="0"/>
    <n v="27"/>
  </r>
  <r>
    <x v="1572"/>
    <n v="1"/>
    <x v="0"/>
    <n v="19"/>
  </r>
  <r>
    <x v="1573"/>
    <n v="1"/>
    <x v="0"/>
    <n v="22"/>
  </r>
  <r>
    <x v="1574"/>
    <n v="1"/>
    <x v="0"/>
    <n v="17"/>
  </r>
  <r>
    <x v="1575"/>
    <n v="1"/>
    <x v="0"/>
    <n v="26"/>
  </r>
  <r>
    <x v="1576"/>
    <n v="1"/>
    <x v="0"/>
    <n v="22"/>
  </r>
  <r>
    <x v="1577"/>
    <n v="1"/>
    <x v="0"/>
    <n v="26"/>
  </r>
  <r>
    <x v="1578"/>
    <n v="1"/>
    <x v="0"/>
    <n v="25"/>
  </r>
  <r>
    <x v="1579"/>
    <n v="1"/>
    <x v="0"/>
    <n v="32"/>
  </r>
  <r>
    <x v="1580"/>
    <n v="1"/>
    <x v="0"/>
    <n v="33"/>
  </r>
  <r>
    <x v="1581"/>
    <n v="1"/>
    <x v="0"/>
    <n v="15"/>
  </r>
  <r>
    <x v="1582"/>
    <n v="1"/>
    <x v="0"/>
    <n v="21"/>
  </r>
  <r>
    <x v="1583"/>
    <n v="1"/>
    <x v="0"/>
    <n v="29"/>
  </r>
  <r>
    <x v="1584"/>
    <n v="1"/>
    <x v="0"/>
    <n v="19"/>
  </r>
  <r>
    <x v="1585"/>
    <n v="1"/>
    <x v="0"/>
    <n v="28"/>
  </r>
  <r>
    <x v="1586"/>
    <n v="1"/>
    <x v="0"/>
    <n v="34"/>
  </r>
  <r>
    <x v="1587"/>
    <n v="1"/>
    <x v="0"/>
    <n v="31"/>
  </r>
  <r>
    <x v="1588"/>
    <n v="1"/>
    <x v="0"/>
    <n v="24"/>
  </r>
  <r>
    <x v="1589"/>
    <n v="1"/>
    <x v="0"/>
    <n v="32"/>
  </r>
  <r>
    <x v="1590"/>
    <n v="1"/>
    <x v="0"/>
    <n v="17"/>
  </r>
  <r>
    <x v="1591"/>
    <n v="1"/>
    <x v="0"/>
    <n v="18"/>
  </r>
  <r>
    <x v="1592"/>
    <n v="1"/>
    <x v="0"/>
    <n v="26"/>
  </r>
  <r>
    <x v="1593"/>
    <n v="1"/>
    <x v="0"/>
    <n v="25"/>
  </r>
  <r>
    <x v="1594"/>
    <n v="1"/>
    <x v="0"/>
    <n v="32"/>
  </r>
  <r>
    <x v="1595"/>
    <n v="1"/>
    <x v="0"/>
    <n v="17"/>
  </r>
  <r>
    <x v="1596"/>
    <n v="1"/>
    <x v="0"/>
    <n v="24"/>
  </r>
  <r>
    <x v="1597"/>
    <n v="1"/>
    <x v="0"/>
    <n v="16"/>
  </r>
  <r>
    <x v="1598"/>
    <n v="1"/>
    <x v="0"/>
    <n v="32"/>
  </r>
  <r>
    <x v="1599"/>
    <n v="1"/>
    <x v="0"/>
    <n v="35"/>
  </r>
  <r>
    <x v="1600"/>
    <n v="1"/>
    <x v="0"/>
    <n v="34"/>
  </r>
  <r>
    <x v="1601"/>
    <n v="1"/>
    <x v="0"/>
    <n v="25"/>
  </r>
  <r>
    <x v="1602"/>
    <n v="1"/>
    <x v="0"/>
    <n v="20"/>
  </r>
  <r>
    <x v="1603"/>
    <n v="1"/>
    <x v="0"/>
    <n v="15"/>
  </r>
  <r>
    <x v="1604"/>
    <n v="1"/>
    <x v="0"/>
    <n v="30"/>
  </r>
  <r>
    <x v="1605"/>
    <n v="1"/>
    <x v="0"/>
    <n v="22"/>
  </r>
  <r>
    <x v="1606"/>
    <n v="1"/>
    <x v="0"/>
    <n v="24"/>
  </r>
  <r>
    <x v="1607"/>
    <n v="1"/>
    <x v="0"/>
    <n v="35"/>
  </r>
  <r>
    <x v="1608"/>
    <n v="1"/>
    <x v="0"/>
    <n v="33"/>
  </r>
  <r>
    <x v="1609"/>
    <n v="1"/>
    <x v="0"/>
    <n v="23"/>
  </r>
  <r>
    <x v="1610"/>
    <n v="1"/>
    <x v="0"/>
    <n v="17"/>
  </r>
  <r>
    <x v="1611"/>
    <n v="1"/>
    <x v="0"/>
    <n v="20"/>
  </r>
  <r>
    <x v="1612"/>
    <n v="1"/>
    <x v="0"/>
    <n v="29"/>
  </r>
  <r>
    <x v="1613"/>
    <n v="1"/>
    <x v="0"/>
    <n v="25"/>
  </r>
  <r>
    <x v="1614"/>
    <n v="1"/>
    <x v="0"/>
    <n v="36"/>
  </r>
  <r>
    <x v="1615"/>
    <n v="1"/>
    <x v="0"/>
    <n v="27"/>
  </r>
  <r>
    <x v="1616"/>
    <n v="1"/>
    <x v="0"/>
    <n v="22"/>
  </r>
  <r>
    <x v="1617"/>
    <n v="1"/>
    <x v="0"/>
    <n v="22"/>
  </r>
  <r>
    <x v="1618"/>
    <n v="1"/>
    <x v="0"/>
    <n v="29"/>
  </r>
  <r>
    <x v="1619"/>
    <n v="1"/>
    <x v="0"/>
    <n v="26"/>
  </r>
  <r>
    <x v="1620"/>
    <n v="1"/>
    <x v="0"/>
    <n v="16"/>
  </r>
  <r>
    <x v="1621"/>
    <n v="1"/>
    <x v="0"/>
    <n v="41"/>
  </r>
  <r>
    <x v="1622"/>
    <n v="1"/>
    <x v="0"/>
    <n v="28"/>
  </r>
  <r>
    <x v="1623"/>
    <n v="1"/>
    <x v="0"/>
    <n v="23"/>
  </r>
  <r>
    <x v="1624"/>
    <n v="1"/>
    <x v="0"/>
    <n v="26"/>
  </r>
  <r>
    <x v="1625"/>
    <n v="1"/>
    <x v="0"/>
    <n v="32"/>
  </r>
  <r>
    <x v="1626"/>
    <n v="1"/>
    <x v="0"/>
    <n v="30"/>
  </r>
  <r>
    <x v="1627"/>
    <n v="1"/>
    <x v="0"/>
    <n v="26"/>
  </r>
  <r>
    <x v="1628"/>
    <n v="1"/>
    <x v="0"/>
    <n v="31"/>
  </r>
  <r>
    <x v="1629"/>
    <n v="1"/>
    <x v="0"/>
    <n v="38"/>
  </r>
  <r>
    <x v="1630"/>
    <n v="1"/>
    <x v="0"/>
    <n v="30"/>
  </r>
  <r>
    <x v="1631"/>
    <n v="1"/>
    <x v="0"/>
    <n v="22"/>
  </r>
  <r>
    <x v="1632"/>
    <n v="1"/>
    <x v="0"/>
    <n v="26"/>
  </r>
  <r>
    <x v="1633"/>
    <n v="1"/>
    <x v="0"/>
    <n v="24"/>
  </r>
  <r>
    <x v="1634"/>
    <n v="1"/>
    <x v="0"/>
    <n v="26"/>
  </r>
  <r>
    <x v="1635"/>
    <n v="1"/>
    <x v="0"/>
    <n v="30"/>
  </r>
  <r>
    <x v="1636"/>
    <n v="1"/>
    <x v="0"/>
    <n v="26"/>
  </r>
  <r>
    <x v="1637"/>
    <n v="1"/>
    <x v="0"/>
    <n v="21"/>
  </r>
  <r>
    <x v="1638"/>
    <n v="1"/>
    <x v="0"/>
    <n v="32"/>
  </r>
  <r>
    <x v="1639"/>
    <n v="1"/>
    <x v="0"/>
    <n v="50"/>
  </r>
  <r>
    <x v="1640"/>
    <n v="1"/>
    <x v="0"/>
    <n v="28"/>
  </r>
  <r>
    <x v="1641"/>
    <n v="1"/>
    <x v="0"/>
    <n v="28"/>
  </r>
  <r>
    <x v="1642"/>
    <n v="1"/>
    <x v="0"/>
    <n v="31"/>
  </r>
  <r>
    <x v="1643"/>
    <n v="1"/>
    <x v="0"/>
    <n v="38"/>
  </r>
  <r>
    <x v="1644"/>
    <n v="1"/>
    <x v="0"/>
    <n v="18"/>
  </r>
  <r>
    <x v="1645"/>
    <n v="1"/>
    <x v="0"/>
    <n v="23"/>
  </r>
  <r>
    <x v="1646"/>
    <n v="1"/>
    <x v="0"/>
    <n v="23"/>
  </r>
  <r>
    <x v="1647"/>
    <n v="1"/>
    <x v="0"/>
    <n v="31"/>
  </r>
  <r>
    <x v="1648"/>
    <n v="1"/>
    <x v="0"/>
    <n v="32"/>
  </r>
  <r>
    <x v="1649"/>
    <n v="1"/>
    <x v="0"/>
    <n v="27"/>
  </r>
  <r>
    <x v="1650"/>
    <n v="1"/>
    <x v="0"/>
    <n v="32"/>
  </r>
  <r>
    <x v="1651"/>
    <n v="1"/>
    <x v="0"/>
    <n v="16"/>
  </r>
  <r>
    <x v="1652"/>
    <n v="1"/>
    <x v="0"/>
    <n v="23"/>
  </r>
  <r>
    <x v="1653"/>
    <n v="1"/>
    <x v="0"/>
    <n v="29"/>
  </r>
  <r>
    <x v="1654"/>
    <n v="1"/>
    <x v="0"/>
    <n v="22"/>
  </r>
  <r>
    <x v="1655"/>
    <n v="1"/>
    <x v="0"/>
    <n v="38"/>
  </r>
  <r>
    <x v="1656"/>
    <n v="1"/>
    <x v="0"/>
    <n v="40"/>
  </r>
  <r>
    <x v="1657"/>
    <n v="1"/>
    <x v="0"/>
    <n v="36"/>
  </r>
  <r>
    <x v="1658"/>
    <n v="1"/>
    <x v="0"/>
    <n v="20"/>
  </r>
  <r>
    <x v="1659"/>
    <n v="1"/>
    <x v="0"/>
    <n v="26"/>
  </r>
  <r>
    <x v="1660"/>
    <n v="1"/>
    <x v="0"/>
    <n v="24"/>
  </r>
  <r>
    <x v="1661"/>
    <n v="1"/>
    <x v="0"/>
    <n v="37"/>
  </r>
  <r>
    <x v="1662"/>
    <n v="1"/>
    <x v="0"/>
    <n v="27"/>
  </r>
  <r>
    <x v="1663"/>
    <n v="1"/>
    <x v="0"/>
    <n v="35"/>
  </r>
  <r>
    <x v="1664"/>
    <n v="1"/>
    <x v="0"/>
    <n v="32"/>
  </r>
  <r>
    <x v="1665"/>
    <n v="1"/>
    <x v="0"/>
    <n v="27"/>
  </r>
  <r>
    <x v="1666"/>
    <n v="1"/>
    <x v="0"/>
    <n v="20"/>
  </r>
  <r>
    <x v="1667"/>
    <n v="1"/>
    <x v="0"/>
    <n v="28"/>
  </r>
  <r>
    <x v="1668"/>
    <n v="1"/>
    <x v="0"/>
    <n v="35"/>
  </r>
  <r>
    <x v="1669"/>
    <n v="1"/>
    <x v="0"/>
    <n v="25"/>
  </r>
  <r>
    <x v="1670"/>
    <n v="1"/>
    <x v="0"/>
    <n v="30"/>
  </r>
  <r>
    <x v="1671"/>
    <n v="1"/>
    <x v="0"/>
    <n v="26"/>
  </r>
  <r>
    <x v="1672"/>
    <n v="1"/>
    <x v="0"/>
    <n v="22"/>
  </r>
  <r>
    <x v="1673"/>
    <n v="1"/>
    <x v="0"/>
    <n v="18"/>
  </r>
  <r>
    <x v="1674"/>
    <n v="1"/>
    <x v="0"/>
    <n v="19"/>
  </r>
  <r>
    <x v="1675"/>
    <n v="1"/>
    <x v="0"/>
    <n v="25"/>
  </r>
  <r>
    <x v="1676"/>
    <n v="1"/>
    <x v="0"/>
    <n v="26"/>
  </r>
  <r>
    <x v="1677"/>
    <n v="1"/>
    <x v="0"/>
    <n v="35"/>
  </r>
  <r>
    <x v="1678"/>
    <n v="1"/>
    <x v="0"/>
    <n v="29"/>
  </r>
  <r>
    <x v="1679"/>
    <n v="1"/>
    <x v="0"/>
    <n v="20"/>
  </r>
  <r>
    <x v="1680"/>
    <n v="1"/>
    <x v="0"/>
    <n v="28"/>
  </r>
  <r>
    <x v="1681"/>
    <n v="1"/>
    <x v="0"/>
    <n v="28"/>
  </r>
  <r>
    <x v="1682"/>
    <n v="1"/>
    <x v="0"/>
    <n v="31"/>
  </r>
  <r>
    <x v="1683"/>
    <n v="1"/>
    <x v="0"/>
    <n v="25"/>
  </r>
  <r>
    <x v="1684"/>
    <n v="1"/>
    <x v="0"/>
    <n v="32"/>
  </r>
  <r>
    <x v="1685"/>
    <n v="1"/>
    <x v="0"/>
    <n v="32"/>
  </r>
  <r>
    <x v="1686"/>
    <n v="1"/>
    <x v="0"/>
    <n v="26"/>
  </r>
  <r>
    <x v="1687"/>
    <n v="1"/>
    <x v="0"/>
    <n v="18"/>
  </r>
  <r>
    <x v="1688"/>
    <n v="1"/>
    <x v="0"/>
    <n v="24"/>
  </r>
  <r>
    <x v="1689"/>
    <n v="1"/>
    <x v="0"/>
    <n v="21"/>
  </r>
  <r>
    <x v="1690"/>
    <n v="1"/>
    <x v="0"/>
    <n v="35"/>
  </r>
  <r>
    <x v="1691"/>
    <n v="1"/>
    <x v="0"/>
    <n v="29"/>
  </r>
  <r>
    <x v="1692"/>
    <n v="1"/>
    <x v="0"/>
    <n v="27"/>
  </r>
  <r>
    <x v="1693"/>
    <n v="1"/>
    <x v="0"/>
    <n v="19"/>
  </r>
  <r>
    <x v="1694"/>
    <n v="1"/>
    <x v="0"/>
    <n v="28"/>
  </r>
  <r>
    <x v="1695"/>
    <n v="1"/>
    <x v="0"/>
    <n v="26"/>
  </r>
  <r>
    <x v="1696"/>
    <n v="1"/>
    <x v="0"/>
    <n v="15"/>
  </r>
  <r>
    <x v="1697"/>
    <n v="1"/>
    <x v="0"/>
    <n v="30"/>
  </r>
  <r>
    <x v="1698"/>
    <n v="1"/>
    <x v="0"/>
    <n v="38"/>
  </r>
  <r>
    <x v="1699"/>
    <n v="1"/>
    <x v="0"/>
    <n v="26"/>
  </r>
  <r>
    <x v="1700"/>
    <n v="1"/>
    <x v="0"/>
    <n v="15"/>
  </r>
  <r>
    <x v="1701"/>
    <n v="1"/>
    <x v="0"/>
    <n v="21"/>
  </r>
  <r>
    <x v="1702"/>
    <n v="1"/>
    <x v="0"/>
    <n v="22"/>
  </r>
  <r>
    <x v="1703"/>
    <n v="1"/>
    <x v="0"/>
    <n v="26"/>
  </r>
  <r>
    <x v="1704"/>
    <n v="1"/>
    <x v="0"/>
    <n v="38"/>
  </r>
  <r>
    <x v="1705"/>
    <n v="1"/>
    <x v="0"/>
    <n v="26"/>
  </r>
  <r>
    <x v="1706"/>
    <n v="1"/>
    <x v="0"/>
    <n v="23"/>
  </r>
  <r>
    <x v="1707"/>
    <n v="1"/>
    <x v="0"/>
    <n v="12"/>
  </r>
  <r>
    <x v="1708"/>
    <n v="1"/>
    <x v="0"/>
    <n v="26"/>
  </r>
  <r>
    <x v="1709"/>
    <n v="1"/>
    <x v="0"/>
    <n v="24"/>
  </r>
  <r>
    <x v="1710"/>
    <n v="1"/>
    <x v="0"/>
    <n v="29"/>
  </r>
  <r>
    <x v="1711"/>
    <n v="1"/>
    <x v="0"/>
    <n v="28"/>
  </r>
  <r>
    <x v="1712"/>
    <n v="1"/>
    <x v="0"/>
    <n v="28"/>
  </r>
  <r>
    <x v="1713"/>
    <n v="1"/>
    <x v="0"/>
    <n v="30"/>
  </r>
  <r>
    <x v="1714"/>
    <n v="1"/>
    <x v="0"/>
    <n v="16"/>
  </r>
  <r>
    <x v="1715"/>
    <n v="1"/>
    <x v="0"/>
    <n v="20"/>
  </r>
  <r>
    <x v="1716"/>
    <n v="1"/>
    <x v="0"/>
    <n v="13"/>
  </r>
  <r>
    <x v="1717"/>
    <n v="1"/>
    <x v="0"/>
    <n v="26"/>
  </r>
  <r>
    <x v="1718"/>
    <n v="1"/>
    <x v="0"/>
    <n v="28"/>
  </r>
  <r>
    <x v="1719"/>
    <n v="1"/>
    <x v="0"/>
    <n v="27"/>
  </r>
  <r>
    <x v="1720"/>
    <n v="1"/>
    <x v="0"/>
    <n v="30"/>
  </r>
  <r>
    <x v="1721"/>
    <n v="1"/>
    <x v="0"/>
    <n v="22"/>
  </r>
  <r>
    <x v="1722"/>
    <n v="1"/>
    <x v="0"/>
    <n v="21"/>
  </r>
  <r>
    <x v="1723"/>
    <n v="1"/>
    <x v="0"/>
    <n v="20"/>
  </r>
  <r>
    <x v="1724"/>
    <n v="1"/>
    <x v="0"/>
    <n v="20"/>
  </r>
  <r>
    <x v="1725"/>
    <n v="1"/>
    <x v="0"/>
    <n v="28"/>
  </r>
  <r>
    <x v="1726"/>
    <n v="1"/>
    <x v="0"/>
    <n v="37"/>
  </r>
  <r>
    <x v="1727"/>
    <n v="1"/>
    <x v="0"/>
    <n v="24"/>
  </r>
  <r>
    <x v="1728"/>
    <n v="1"/>
    <x v="0"/>
    <n v="14"/>
  </r>
  <r>
    <x v="1729"/>
    <n v="1"/>
    <x v="0"/>
    <n v="18"/>
  </r>
  <r>
    <x v="1730"/>
    <n v="1"/>
    <x v="0"/>
    <n v="27"/>
  </r>
  <r>
    <x v="1731"/>
    <n v="1"/>
    <x v="0"/>
    <n v="23"/>
  </r>
  <r>
    <x v="1732"/>
    <n v="1"/>
    <x v="0"/>
    <n v="28"/>
  </r>
  <r>
    <x v="1733"/>
    <n v="1"/>
    <x v="0"/>
    <n v="30"/>
  </r>
  <r>
    <x v="1734"/>
    <n v="1"/>
    <x v="0"/>
    <n v="21"/>
  </r>
  <r>
    <x v="1735"/>
    <n v="1"/>
    <x v="0"/>
    <n v="12"/>
  </r>
  <r>
    <x v="1736"/>
    <n v="1"/>
    <x v="0"/>
    <n v="18"/>
  </r>
  <r>
    <x v="1737"/>
    <n v="1"/>
    <x v="0"/>
    <n v="15"/>
  </r>
  <r>
    <x v="1738"/>
    <n v="1"/>
    <x v="0"/>
    <n v="20"/>
  </r>
  <r>
    <x v="1739"/>
    <n v="1"/>
    <x v="0"/>
    <n v="19"/>
  </r>
  <r>
    <x v="1740"/>
    <n v="1"/>
    <x v="0"/>
    <n v="22"/>
  </r>
  <r>
    <x v="1741"/>
    <n v="1"/>
    <x v="0"/>
    <n v="19"/>
  </r>
  <r>
    <x v="1742"/>
    <n v="1"/>
    <x v="0"/>
    <n v="9"/>
  </r>
  <r>
    <x v="1743"/>
    <n v="1"/>
    <x v="0"/>
    <n v="23"/>
  </r>
  <r>
    <x v="1744"/>
    <n v="1"/>
    <x v="0"/>
    <n v="14"/>
  </r>
  <r>
    <x v="1745"/>
    <n v="1"/>
    <x v="0"/>
    <n v="24"/>
  </r>
  <r>
    <x v="1746"/>
    <n v="1"/>
    <x v="0"/>
    <n v="23"/>
  </r>
  <r>
    <x v="1747"/>
    <n v="1"/>
    <x v="0"/>
    <n v="26"/>
  </r>
  <r>
    <x v="1748"/>
    <n v="1"/>
    <x v="0"/>
    <n v="28"/>
  </r>
  <r>
    <x v="1749"/>
    <n v="1"/>
    <x v="0"/>
    <n v="19"/>
  </r>
  <r>
    <x v="1750"/>
    <n v="1"/>
    <x v="0"/>
    <n v="17"/>
  </r>
  <r>
    <x v="1751"/>
    <n v="1"/>
    <x v="0"/>
    <n v="15"/>
  </r>
  <r>
    <x v="1752"/>
    <n v="1"/>
    <x v="0"/>
    <n v="26"/>
  </r>
  <r>
    <x v="1753"/>
    <n v="1"/>
    <x v="0"/>
    <n v="22"/>
  </r>
  <r>
    <x v="1754"/>
    <n v="1"/>
    <x v="0"/>
    <n v="26"/>
  </r>
  <r>
    <x v="1755"/>
    <n v="1"/>
    <x v="0"/>
    <n v="32"/>
  </r>
  <r>
    <x v="1756"/>
    <n v="1"/>
    <x v="0"/>
    <n v="20"/>
  </r>
  <r>
    <x v="1757"/>
    <n v="1"/>
    <x v="0"/>
    <n v="23"/>
  </r>
  <r>
    <x v="1758"/>
    <n v="1"/>
    <x v="0"/>
    <n v="22"/>
  </r>
  <r>
    <x v="1759"/>
    <n v="1"/>
    <x v="0"/>
    <n v="28"/>
  </r>
  <r>
    <x v="1760"/>
    <n v="1"/>
    <x v="0"/>
    <n v="20"/>
  </r>
  <r>
    <x v="1761"/>
    <n v="1"/>
    <x v="0"/>
    <n v="22"/>
  </r>
  <r>
    <x v="1762"/>
    <n v="1"/>
    <x v="0"/>
    <n v="29"/>
  </r>
  <r>
    <x v="1763"/>
    <n v="1"/>
    <x v="0"/>
    <n v="22"/>
  </r>
  <r>
    <x v="1764"/>
    <n v="1"/>
    <x v="0"/>
    <n v="24"/>
  </r>
  <r>
    <x v="1765"/>
    <n v="1"/>
    <x v="0"/>
    <n v="16"/>
  </r>
  <r>
    <x v="1766"/>
    <n v="1"/>
    <x v="0"/>
    <n v="21"/>
  </r>
  <r>
    <x v="1767"/>
    <n v="1"/>
    <x v="0"/>
    <n v="18"/>
  </r>
  <r>
    <x v="1768"/>
    <n v="1"/>
    <x v="0"/>
    <n v="34"/>
  </r>
  <r>
    <x v="1769"/>
    <n v="1"/>
    <x v="0"/>
    <n v="23"/>
  </r>
  <r>
    <x v="1770"/>
    <n v="1"/>
    <x v="0"/>
    <n v="17"/>
  </r>
  <r>
    <x v="1771"/>
    <n v="1"/>
    <x v="0"/>
    <n v="23"/>
  </r>
  <r>
    <x v="1772"/>
    <n v="1"/>
    <x v="0"/>
    <n v="14"/>
  </r>
  <r>
    <x v="1773"/>
    <n v="1"/>
    <x v="0"/>
    <n v="21"/>
  </r>
  <r>
    <x v="1774"/>
    <n v="1"/>
    <x v="0"/>
    <n v="19"/>
  </r>
  <r>
    <x v="1775"/>
    <n v="1"/>
    <x v="0"/>
    <n v="24"/>
  </r>
  <r>
    <x v="1776"/>
    <n v="1"/>
    <x v="0"/>
    <n v="27"/>
  </r>
  <r>
    <x v="1777"/>
    <n v="1"/>
    <x v="0"/>
    <n v="22"/>
  </r>
  <r>
    <x v="1778"/>
    <n v="1"/>
    <x v="0"/>
    <n v="16"/>
  </r>
  <r>
    <x v="1779"/>
    <n v="1"/>
    <x v="0"/>
    <n v="19"/>
  </r>
  <r>
    <x v="1780"/>
    <n v="1"/>
    <x v="0"/>
    <n v="22"/>
  </r>
  <r>
    <x v="1781"/>
    <n v="1"/>
    <x v="0"/>
    <n v="25"/>
  </r>
  <r>
    <x v="1782"/>
    <n v="1"/>
    <x v="0"/>
    <n v="31"/>
  </r>
  <r>
    <x v="1783"/>
    <n v="1"/>
    <x v="0"/>
    <n v="32"/>
  </r>
  <r>
    <x v="1784"/>
    <n v="1"/>
    <x v="0"/>
    <n v="21"/>
  </r>
  <r>
    <x v="1785"/>
    <n v="1"/>
    <x v="0"/>
    <n v="29"/>
  </r>
  <r>
    <x v="1786"/>
    <n v="1"/>
    <x v="0"/>
    <n v="27"/>
  </r>
  <r>
    <x v="1787"/>
    <n v="1"/>
    <x v="0"/>
    <n v="25"/>
  </r>
  <r>
    <x v="1788"/>
    <n v="1"/>
    <x v="0"/>
    <n v="22"/>
  </r>
  <r>
    <x v="1789"/>
    <n v="1"/>
    <x v="0"/>
    <n v="29"/>
  </r>
  <r>
    <x v="1790"/>
    <n v="1"/>
    <x v="0"/>
    <n v="24"/>
  </r>
  <r>
    <x v="1791"/>
    <n v="1"/>
    <x v="0"/>
    <n v="10"/>
  </r>
  <r>
    <x v="1792"/>
    <n v="1"/>
    <x v="0"/>
    <n v="14"/>
  </r>
  <r>
    <x v="1793"/>
    <n v="1"/>
    <x v="0"/>
    <n v="28"/>
  </r>
  <r>
    <x v="1794"/>
    <n v="1"/>
    <x v="0"/>
    <n v="15"/>
  </r>
  <r>
    <x v="1795"/>
    <n v="1"/>
    <x v="0"/>
    <n v="19"/>
  </r>
  <r>
    <x v="1796"/>
    <n v="1"/>
    <x v="0"/>
    <n v="16"/>
  </r>
  <r>
    <x v="1797"/>
    <n v="1"/>
    <x v="0"/>
    <n v="31"/>
  </r>
  <r>
    <x v="1798"/>
    <n v="1"/>
    <x v="0"/>
    <n v="7"/>
  </r>
  <r>
    <x v="1799"/>
    <n v="1"/>
    <x v="0"/>
    <n v="20"/>
  </r>
  <r>
    <x v="1800"/>
    <n v="1"/>
    <x v="0"/>
    <n v="17"/>
  </r>
  <r>
    <x v="1801"/>
    <n v="1"/>
    <x v="0"/>
    <n v="18"/>
  </r>
  <r>
    <x v="1802"/>
    <n v="1"/>
    <x v="0"/>
    <n v="17"/>
  </r>
  <r>
    <x v="1803"/>
    <n v="1"/>
    <x v="0"/>
    <n v="27"/>
  </r>
  <r>
    <x v="1804"/>
    <n v="1"/>
    <x v="0"/>
    <n v="20"/>
  </r>
  <r>
    <x v="1805"/>
    <n v="1"/>
    <x v="0"/>
    <n v="20"/>
  </r>
  <r>
    <x v="1806"/>
    <n v="1"/>
    <x v="0"/>
    <n v="13"/>
  </r>
  <r>
    <x v="1807"/>
    <n v="1"/>
    <x v="0"/>
    <n v="17"/>
  </r>
  <r>
    <x v="1808"/>
    <n v="1"/>
    <x v="0"/>
    <n v="14"/>
  </r>
  <r>
    <x v="1809"/>
    <n v="1"/>
    <x v="0"/>
    <n v="16"/>
  </r>
  <r>
    <x v="1810"/>
    <n v="1"/>
    <x v="0"/>
    <n v="15"/>
  </r>
  <r>
    <x v="1811"/>
    <n v="1"/>
    <x v="0"/>
    <n v="22"/>
  </r>
  <r>
    <x v="1812"/>
    <n v="1"/>
    <x v="0"/>
    <n v="19"/>
  </r>
  <r>
    <x v="1813"/>
    <n v="1"/>
    <x v="0"/>
    <n v="7"/>
  </r>
  <r>
    <x v="1814"/>
    <n v="1"/>
    <x v="0"/>
    <n v="16"/>
  </r>
  <r>
    <x v="1815"/>
    <n v="1"/>
    <x v="0"/>
    <n v="12"/>
  </r>
  <r>
    <x v="1816"/>
    <n v="1"/>
    <x v="0"/>
    <n v="6"/>
  </r>
  <r>
    <x v="1817"/>
    <n v="1"/>
    <x v="0"/>
    <n v="18"/>
  </r>
  <r>
    <x v="1818"/>
    <n v="1"/>
    <x v="0"/>
    <n v="19"/>
  </r>
  <r>
    <x v="1819"/>
    <n v="1"/>
    <x v="0"/>
    <n v="13"/>
  </r>
  <r>
    <x v="1820"/>
    <n v="1"/>
    <x v="0"/>
    <n v="16"/>
  </r>
  <r>
    <x v="1821"/>
    <n v="1"/>
    <x v="0"/>
    <n v="14"/>
  </r>
  <r>
    <x v="1822"/>
    <n v="1"/>
    <x v="0"/>
    <n v="19"/>
  </r>
  <r>
    <x v="1823"/>
    <n v="1"/>
    <x v="0"/>
    <n v="15"/>
  </r>
  <r>
    <x v="1824"/>
    <n v="1"/>
    <x v="0"/>
    <n v="27"/>
  </r>
  <r>
    <x v="1825"/>
    <n v="1"/>
    <x v="0"/>
    <n v="23"/>
  </r>
  <r>
    <x v="0"/>
    <n v="1"/>
    <x v="1"/>
    <n v="33"/>
  </r>
  <r>
    <x v="1"/>
    <n v="1"/>
    <x v="1"/>
    <n v="43"/>
  </r>
  <r>
    <x v="2"/>
    <n v="1"/>
    <x v="1"/>
    <n v="23"/>
  </r>
  <r>
    <x v="3"/>
    <n v="1"/>
    <x v="1"/>
    <n v="18"/>
  </r>
  <r>
    <x v="4"/>
    <n v="1"/>
    <x v="1"/>
    <n v="34"/>
  </r>
  <r>
    <x v="5"/>
    <n v="1"/>
    <x v="1"/>
    <n v="38"/>
  </r>
  <r>
    <x v="6"/>
    <n v="1"/>
    <x v="1"/>
    <n v="27"/>
  </r>
  <r>
    <x v="7"/>
    <n v="1"/>
    <x v="1"/>
    <n v="28"/>
  </r>
  <r>
    <x v="8"/>
    <n v="1"/>
    <x v="1"/>
    <n v="34"/>
  </r>
  <r>
    <x v="9"/>
    <n v="1"/>
    <x v="1"/>
    <n v="27"/>
  </r>
  <r>
    <x v="10"/>
    <n v="1"/>
    <x v="1"/>
    <n v="28"/>
  </r>
  <r>
    <x v="11"/>
    <n v="1"/>
    <x v="1"/>
    <n v="39"/>
  </r>
  <r>
    <x v="12"/>
    <n v="1"/>
    <x v="1"/>
    <n v="28"/>
  </r>
  <r>
    <x v="13"/>
    <n v="1"/>
    <x v="1"/>
    <n v="30"/>
  </r>
  <r>
    <x v="14"/>
    <n v="1"/>
    <x v="1"/>
    <n v="27"/>
  </r>
  <r>
    <x v="15"/>
    <n v="1"/>
    <x v="1"/>
    <n v="19"/>
  </r>
  <r>
    <x v="16"/>
    <n v="1"/>
    <x v="1"/>
    <n v="29"/>
  </r>
  <r>
    <x v="17"/>
    <n v="1"/>
    <x v="1"/>
    <n v="29"/>
  </r>
  <r>
    <x v="18"/>
    <n v="1"/>
    <x v="1"/>
    <n v="44"/>
  </r>
  <r>
    <x v="19"/>
    <n v="1"/>
    <x v="1"/>
    <n v="34"/>
  </r>
  <r>
    <x v="20"/>
    <n v="1"/>
    <x v="1"/>
    <n v="15"/>
  </r>
  <r>
    <x v="21"/>
    <n v="1"/>
    <x v="1"/>
    <n v="29"/>
  </r>
  <r>
    <x v="22"/>
    <n v="1"/>
    <x v="1"/>
    <n v="21"/>
  </r>
  <r>
    <x v="23"/>
    <n v="1"/>
    <x v="1"/>
    <n v="33"/>
  </r>
  <r>
    <x v="24"/>
    <n v="1"/>
    <x v="1"/>
    <n v="29"/>
  </r>
  <r>
    <x v="25"/>
    <n v="1"/>
    <x v="1"/>
    <n v="33"/>
  </r>
  <r>
    <x v="26"/>
    <n v="1"/>
    <x v="1"/>
    <n v="32"/>
  </r>
  <r>
    <x v="27"/>
    <n v="1"/>
    <x v="1"/>
    <n v="16"/>
  </r>
  <r>
    <x v="28"/>
    <n v="1"/>
    <x v="1"/>
    <n v="35"/>
  </r>
  <r>
    <x v="29"/>
    <n v="1"/>
    <x v="1"/>
    <n v="29"/>
  </r>
  <r>
    <x v="30"/>
    <n v="1"/>
    <x v="1"/>
    <n v="27"/>
  </r>
  <r>
    <x v="31"/>
    <n v="1"/>
    <x v="1"/>
    <n v="30"/>
  </r>
  <r>
    <x v="32"/>
    <n v="1"/>
    <x v="1"/>
    <n v="26"/>
  </r>
  <r>
    <x v="33"/>
    <n v="1"/>
    <x v="1"/>
    <n v="39"/>
  </r>
  <r>
    <x v="34"/>
    <n v="1"/>
    <x v="1"/>
    <n v="30"/>
  </r>
  <r>
    <x v="35"/>
    <n v="1"/>
    <x v="1"/>
    <n v="34"/>
  </r>
  <r>
    <x v="36"/>
    <n v="1"/>
    <x v="1"/>
    <n v="22"/>
  </r>
  <r>
    <x v="37"/>
    <n v="1"/>
    <x v="1"/>
    <n v="42"/>
  </r>
  <r>
    <x v="38"/>
    <n v="1"/>
    <x v="1"/>
    <n v="27"/>
  </r>
  <r>
    <x v="39"/>
    <n v="1"/>
    <x v="1"/>
    <n v="28"/>
  </r>
  <r>
    <x v="40"/>
    <n v="1"/>
    <x v="1"/>
    <n v="34"/>
  </r>
  <r>
    <x v="41"/>
    <n v="1"/>
    <x v="1"/>
    <n v="25"/>
  </r>
  <r>
    <x v="42"/>
    <n v="1"/>
    <x v="1"/>
    <n v="39"/>
  </r>
  <r>
    <x v="43"/>
    <n v="1"/>
    <x v="1"/>
    <n v="17"/>
  </r>
  <r>
    <x v="44"/>
    <n v="1"/>
    <x v="1"/>
    <n v="35"/>
  </r>
  <r>
    <x v="45"/>
    <n v="1"/>
    <x v="1"/>
    <n v="34"/>
  </r>
  <r>
    <x v="46"/>
    <n v="1"/>
    <x v="1"/>
    <n v="39"/>
  </r>
  <r>
    <x v="47"/>
    <n v="1"/>
    <x v="1"/>
    <n v="46"/>
  </r>
  <r>
    <x v="48"/>
    <n v="1"/>
    <x v="1"/>
    <n v="31"/>
  </r>
  <r>
    <x v="49"/>
    <n v="1"/>
    <x v="1"/>
    <n v="30"/>
  </r>
  <r>
    <x v="50"/>
    <n v="1"/>
    <x v="1"/>
    <n v="24"/>
  </r>
  <r>
    <x v="51"/>
    <n v="1"/>
    <x v="1"/>
    <n v="31"/>
  </r>
  <r>
    <x v="52"/>
    <n v="1"/>
    <x v="1"/>
    <n v="40"/>
  </r>
  <r>
    <x v="53"/>
    <n v="1"/>
    <x v="1"/>
    <n v="37"/>
  </r>
  <r>
    <x v="54"/>
    <n v="1"/>
    <x v="1"/>
    <n v="33"/>
  </r>
  <r>
    <x v="55"/>
    <n v="1"/>
    <x v="1"/>
    <n v="13"/>
  </r>
  <r>
    <x v="56"/>
    <n v="1"/>
    <x v="1"/>
    <n v="33"/>
  </r>
  <r>
    <x v="57"/>
    <n v="1"/>
    <x v="1"/>
    <n v="19"/>
  </r>
  <r>
    <x v="58"/>
    <n v="1"/>
    <x v="1"/>
    <n v="35"/>
  </r>
  <r>
    <x v="59"/>
    <n v="1"/>
    <x v="1"/>
    <n v="42"/>
  </r>
  <r>
    <x v="60"/>
    <n v="1"/>
    <x v="1"/>
    <n v="49"/>
  </r>
  <r>
    <x v="61"/>
    <n v="1"/>
    <x v="1"/>
    <n v="49"/>
  </r>
  <r>
    <x v="62"/>
    <n v="1"/>
    <x v="1"/>
    <n v="33"/>
  </r>
  <r>
    <x v="63"/>
    <n v="1"/>
    <x v="1"/>
    <n v="42"/>
  </r>
  <r>
    <x v="64"/>
    <n v="1"/>
    <x v="1"/>
    <n v="43"/>
  </r>
  <r>
    <x v="65"/>
    <n v="1"/>
    <x v="1"/>
    <n v="48"/>
  </r>
  <r>
    <x v="66"/>
    <n v="1"/>
    <x v="1"/>
    <n v="43"/>
  </r>
  <r>
    <x v="67"/>
    <n v="1"/>
    <x v="1"/>
    <n v="43"/>
  </r>
  <r>
    <x v="68"/>
    <n v="1"/>
    <x v="1"/>
    <n v="43"/>
  </r>
  <r>
    <x v="69"/>
    <n v="1"/>
    <x v="1"/>
    <n v="34"/>
  </r>
  <r>
    <x v="70"/>
    <n v="1"/>
    <x v="1"/>
    <n v="30"/>
  </r>
  <r>
    <x v="71"/>
    <n v="1"/>
    <x v="1"/>
    <n v="36"/>
  </r>
  <r>
    <x v="72"/>
    <n v="1"/>
    <x v="1"/>
    <n v="44"/>
  </r>
  <r>
    <x v="73"/>
    <n v="1"/>
    <x v="1"/>
    <n v="52"/>
  </r>
  <r>
    <x v="74"/>
    <n v="1"/>
    <x v="1"/>
    <n v="58"/>
  </r>
  <r>
    <x v="75"/>
    <n v="1"/>
    <x v="1"/>
    <n v="46"/>
  </r>
  <r>
    <x v="76"/>
    <n v="1"/>
    <x v="1"/>
    <n v="37"/>
  </r>
  <r>
    <x v="77"/>
    <n v="1"/>
    <x v="1"/>
    <n v="48"/>
  </r>
  <r>
    <x v="78"/>
    <n v="1"/>
    <x v="1"/>
    <n v="43"/>
  </r>
  <r>
    <x v="79"/>
    <n v="1"/>
    <x v="1"/>
    <n v="43"/>
  </r>
  <r>
    <x v="80"/>
    <n v="1"/>
    <x v="1"/>
    <n v="30"/>
  </r>
  <r>
    <x v="81"/>
    <n v="1"/>
    <x v="1"/>
    <n v="51"/>
  </r>
  <r>
    <x v="82"/>
    <n v="1"/>
    <x v="1"/>
    <n v="40"/>
  </r>
  <r>
    <x v="83"/>
    <n v="1"/>
    <x v="1"/>
    <n v="34"/>
  </r>
  <r>
    <x v="84"/>
    <n v="1"/>
    <x v="1"/>
    <n v="27"/>
  </r>
  <r>
    <x v="85"/>
    <n v="1"/>
    <x v="1"/>
    <n v="33"/>
  </r>
  <r>
    <x v="86"/>
    <n v="1"/>
    <x v="1"/>
    <n v="38"/>
  </r>
  <r>
    <x v="87"/>
    <n v="1"/>
    <x v="1"/>
    <n v="45"/>
  </r>
  <r>
    <x v="88"/>
    <n v="1"/>
    <x v="1"/>
    <n v="51"/>
  </r>
  <r>
    <x v="89"/>
    <n v="1"/>
    <x v="1"/>
    <n v="44"/>
  </r>
  <r>
    <x v="90"/>
    <n v="1"/>
    <x v="1"/>
    <n v="40"/>
  </r>
  <r>
    <x v="91"/>
    <n v="1"/>
    <x v="1"/>
    <n v="44"/>
  </r>
  <r>
    <x v="92"/>
    <n v="1"/>
    <x v="1"/>
    <n v="40"/>
  </r>
  <r>
    <x v="93"/>
    <n v="1"/>
    <x v="1"/>
    <n v="53"/>
  </r>
  <r>
    <x v="94"/>
    <n v="1"/>
    <x v="1"/>
    <n v="45"/>
  </r>
  <r>
    <x v="95"/>
    <n v="1"/>
    <x v="1"/>
    <n v="46"/>
  </r>
  <r>
    <x v="96"/>
    <n v="1"/>
    <x v="1"/>
    <n v="57"/>
  </r>
  <r>
    <x v="97"/>
    <n v="1"/>
    <x v="1"/>
    <n v="44"/>
  </r>
  <r>
    <x v="98"/>
    <n v="1"/>
    <x v="1"/>
    <n v="31"/>
  </r>
  <r>
    <x v="99"/>
    <n v="1"/>
    <x v="1"/>
    <n v="49"/>
  </r>
  <r>
    <x v="100"/>
    <n v="1"/>
    <x v="1"/>
    <n v="41"/>
  </r>
  <r>
    <x v="101"/>
    <n v="1"/>
    <x v="1"/>
    <n v="53"/>
  </r>
  <r>
    <x v="102"/>
    <n v="1"/>
    <x v="1"/>
    <n v="50"/>
  </r>
  <r>
    <x v="103"/>
    <n v="1"/>
    <x v="1"/>
    <n v="53"/>
  </r>
  <r>
    <x v="104"/>
    <n v="1"/>
    <x v="1"/>
    <n v="28"/>
  </r>
  <r>
    <x v="105"/>
    <n v="1"/>
    <x v="1"/>
    <n v="45"/>
  </r>
  <r>
    <x v="106"/>
    <n v="1"/>
    <x v="1"/>
    <n v="45"/>
  </r>
  <r>
    <x v="107"/>
    <n v="1"/>
    <x v="1"/>
    <n v="45"/>
  </r>
  <r>
    <x v="108"/>
    <n v="1"/>
    <x v="1"/>
    <n v="58"/>
  </r>
  <r>
    <x v="109"/>
    <n v="1"/>
    <x v="1"/>
    <n v="26"/>
  </r>
  <r>
    <x v="110"/>
    <n v="1"/>
    <x v="1"/>
    <n v="48"/>
  </r>
  <r>
    <x v="111"/>
    <n v="1"/>
    <x v="1"/>
    <n v="27"/>
  </r>
  <r>
    <x v="112"/>
    <n v="1"/>
    <x v="1"/>
    <n v="38"/>
  </r>
  <r>
    <x v="113"/>
    <n v="1"/>
    <x v="1"/>
    <n v="40"/>
  </r>
  <r>
    <x v="114"/>
    <n v="1"/>
    <x v="1"/>
    <n v="51"/>
  </r>
  <r>
    <x v="115"/>
    <n v="1"/>
    <x v="1"/>
    <n v="48"/>
  </r>
  <r>
    <x v="116"/>
    <n v="1"/>
    <x v="1"/>
    <n v="42"/>
  </r>
  <r>
    <x v="117"/>
    <n v="1"/>
    <x v="1"/>
    <n v="53"/>
  </r>
  <r>
    <x v="118"/>
    <n v="1"/>
    <x v="1"/>
    <n v="36"/>
  </r>
  <r>
    <x v="119"/>
    <n v="1"/>
    <x v="1"/>
    <n v="40"/>
  </r>
  <r>
    <x v="120"/>
    <n v="1"/>
    <x v="1"/>
    <n v="51"/>
  </r>
  <r>
    <x v="121"/>
    <n v="1"/>
    <x v="1"/>
    <n v="54"/>
  </r>
  <r>
    <x v="122"/>
    <n v="1"/>
    <x v="1"/>
    <n v="49"/>
  </r>
  <r>
    <x v="123"/>
    <n v="1"/>
    <x v="1"/>
    <n v="49"/>
  </r>
  <r>
    <x v="124"/>
    <n v="1"/>
    <x v="1"/>
    <n v="60"/>
  </r>
  <r>
    <x v="125"/>
    <n v="1"/>
    <x v="1"/>
    <n v="38"/>
  </r>
  <r>
    <x v="126"/>
    <n v="1"/>
    <x v="1"/>
    <n v="43"/>
  </r>
  <r>
    <x v="127"/>
    <n v="1"/>
    <x v="1"/>
    <n v="45"/>
  </r>
  <r>
    <x v="128"/>
    <n v="1"/>
    <x v="1"/>
    <n v="46"/>
  </r>
  <r>
    <x v="129"/>
    <n v="1"/>
    <x v="1"/>
    <n v="58"/>
  </r>
  <r>
    <x v="130"/>
    <n v="1"/>
    <x v="1"/>
    <n v="63"/>
  </r>
  <r>
    <x v="131"/>
    <n v="1"/>
    <x v="1"/>
    <n v="53"/>
  </r>
  <r>
    <x v="132"/>
    <n v="1"/>
    <x v="1"/>
    <n v="49"/>
  </r>
  <r>
    <x v="133"/>
    <n v="1"/>
    <x v="1"/>
    <n v="35"/>
  </r>
  <r>
    <x v="134"/>
    <n v="1"/>
    <x v="1"/>
    <n v="43"/>
  </r>
  <r>
    <x v="135"/>
    <n v="1"/>
    <x v="1"/>
    <n v="49"/>
  </r>
  <r>
    <x v="136"/>
    <n v="1"/>
    <x v="1"/>
    <n v="45"/>
  </r>
  <r>
    <x v="137"/>
    <n v="1"/>
    <x v="1"/>
    <n v="53"/>
  </r>
  <r>
    <x v="138"/>
    <n v="1"/>
    <x v="1"/>
    <n v="53"/>
  </r>
  <r>
    <x v="139"/>
    <n v="1"/>
    <x v="1"/>
    <n v="38"/>
  </r>
  <r>
    <x v="140"/>
    <n v="1"/>
    <x v="1"/>
    <n v="53"/>
  </r>
  <r>
    <x v="141"/>
    <n v="1"/>
    <x v="1"/>
    <n v="38"/>
  </r>
  <r>
    <x v="142"/>
    <n v="1"/>
    <x v="1"/>
    <n v="69"/>
  </r>
  <r>
    <x v="143"/>
    <n v="1"/>
    <x v="1"/>
    <n v="48"/>
  </r>
  <r>
    <x v="144"/>
    <n v="1"/>
    <x v="1"/>
    <n v="45"/>
  </r>
  <r>
    <x v="145"/>
    <n v="1"/>
    <x v="1"/>
    <n v="64"/>
  </r>
  <r>
    <x v="146"/>
    <n v="1"/>
    <x v="1"/>
    <n v="38"/>
  </r>
  <r>
    <x v="147"/>
    <n v="1"/>
    <x v="1"/>
    <n v="48"/>
  </r>
  <r>
    <x v="148"/>
    <n v="1"/>
    <x v="1"/>
    <n v="44"/>
  </r>
  <r>
    <x v="149"/>
    <n v="1"/>
    <x v="1"/>
    <n v="48"/>
  </r>
  <r>
    <x v="150"/>
    <n v="1"/>
    <x v="1"/>
    <n v="58"/>
  </r>
  <r>
    <x v="151"/>
    <n v="1"/>
    <x v="1"/>
    <n v="55"/>
  </r>
  <r>
    <x v="152"/>
    <n v="1"/>
    <x v="1"/>
    <n v="51"/>
  </r>
  <r>
    <x v="153"/>
    <n v="1"/>
    <x v="1"/>
    <n v="43"/>
  </r>
  <r>
    <x v="154"/>
    <n v="1"/>
    <x v="1"/>
    <n v="41"/>
  </r>
  <r>
    <x v="155"/>
    <n v="1"/>
    <x v="1"/>
    <n v="67"/>
  </r>
  <r>
    <x v="156"/>
    <n v="1"/>
    <x v="1"/>
    <n v="43"/>
  </r>
  <r>
    <x v="157"/>
    <n v="1"/>
    <x v="1"/>
    <n v="69"/>
  </r>
  <r>
    <x v="158"/>
    <n v="1"/>
    <x v="1"/>
    <n v="52"/>
  </r>
  <r>
    <x v="159"/>
    <n v="1"/>
    <x v="1"/>
    <n v="65"/>
  </r>
  <r>
    <x v="160"/>
    <n v="1"/>
    <x v="1"/>
    <n v="48"/>
  </r>
  <r>
    <x v="161"/>
    <n v="1"/>
    <x v="1"/>
    <n v="49"/>
  </r>
  <r>
    <x v="162"/>
    <n v="1"/>
    <x v="1"/>
    <n v="56"/>
  </r>
  <r>
    <x v="163"/>
    <n v="1"/>
    <x v="1"/>
    <n v="57"/>
  </r>
  <r>
    <x v="164"/>
    <n v="1"/>
    <x v="1"/>
    <n v="58"/>
  </r>
  <r>
    <x v="165"/>
    <n v="1"/>
    <x v="1"/>
    <n v="52"/>
  </r>
  <r>
    <x v="166"/>
    <n v="1"/>
    <x v="1"/>
    <n v="52"/>
  </r>
  <r>
    <x v="167"/>
    <n v="1"/>
    <x v="1"/>
    <n v="55"/>
  </r>
  <r>
    <x v="168"/>
    <n v="1"/>
    <x v="1"/>
    <n v="45"/>
  </r>
  <r>
    <x v="169"/>
    <n v="1"/>
    <x v="1"/>
    <n v="48"/>
  </r>
  <r>
    <x v="170"/>
    <n v="1"/>
    <x v="1"/>
    <n v="44"/>
  </r>
  <r>
    <x v="171"/>
    <n v="1"/>
    <x v="1"/>
    <n v="47"/>
  </r>
  <r>
    <x v="172"/>
    <n v="1"/>
    <x v="1"/>
    <n v="60"/>
  </r>
  <r>
    <x v="173"/>
    <n v="1"/>
    <x v="1"/>
    <n v="55"/>
  </r>
  <r>
    <x v="174"/>
    <n v="1"/>
    <x v="1"/>
    <n v="60"/>
  </r>
  <r>
    <x v="175"/>
    <n v="1"/>
    <x v="1"/>
    <n v="50"/>
  </r>
  <r>
    <x v="176"/>
    <n v="1"/>
    <x v="1"/>
    <n v="69"/>
  </r>
  <r>
    <x v="177"/>
    <n v="1"/>
    <x v="1"/>
    <n v="64"/>
  </r>
  <r>
    <x v="178"/>
    <n v="1"/>
    <x v="1"/>
    <n v="71"/>
  </r>
  <r>
    <x v="179"/>
    <n v="1"/>
    <x v="1"/>
    <n v="56"/>
  </r>
  <r>
    <x v="180"/>
    <n v="1"/>
    <x v="1"/>
    <n v="61"/>
  </r>
  <r>
    <x v="181"/>
    <n v="1"/>
    <x v="1"/>
    <n v="46"/>
  </r>
  <r>
    <x v="182"/>
    <n v="1"/>
    <x v="1"/>
    <n v="48"/>
  </r>
  <r>
    <x v="183"/>
    <n v="1"/>
    <x v="1"/>
    <n v="57"/>
  </r>
  <r>
    <x v="184"/>
    <n v="1"/>
    <x v="1"/>
    <n v="50"/>
  </r>
  <r>
    <x v="185"/>
    <n v="1"/>
    <x v="1"/>
    <n v="58"/>
  </r>
  <r>
    <x v="186"/>
    <n v="1"/>
    <x v="1"/>
    <n v="73"/>
  </r>
  <r>
    <x v="187"/>
    <n v="1"/>
    <x v="1"/>
    <n v="52"/>
  </r>
  <r>
    <x v="188"/>
    <n v="1"/>
    <x v="1"/>
    <n v="47"/>
  </r>
  <r>
    <x v="189"/>
    <n v="1"/>
    <x v="1"/>
    <n v="49"/>
  </r>
  <r>
    <x v="190"/>
    <n v="1"/>
    <x v="1"/>
    <n v="56"/>
  </r>
  <r>
    <x v="191"/>
    <n v="1"/>
    <x v="1"/>
    <n v="54"/>
  </r>
  <r>
    <x v="192"/>
    <n v="1"/>
    <x v="1"/>
    <n v="46"/>
  </r>
  <r>
    <x v="193"/>
    <n v="1"/>
    <x v="1"/>
    <n v="62"/>
  </r>
  <r>
    <x v="194"/>
    <n v="1"/>
    <x v="1"/>
    <n v="82"/>
  </r>
  <r>
    <x v="195"/>
    <n v="1"/>
    <x v="1"/>
    <n v="39"/>
  </r>
  <r>
    <x v="196"/>
    <n v="1"/>
    <x v="1"/>
    <n v="57"/>
  </r>
  <r>
    <x v="197"/>
    <n v="1"/>
    <x v="1"/>
    <n v="55"/>
  </r>
  <r>
    <x v="198"/>
    <n v="1"/>
    <x v="1"/>
    <n v="58"/>
  </r>
  <r>
    <x v="199"/>
    <n v="1"/>
    <x v="1"/>
    <n v="57"/>
  </r>
  <r>
    <x v="200"/>
    <n v="1"/>
    <x v="1"/>
    <n v="78"/>
  </r>
  <r>
    <x v="201"/>
    <n v="1"/>
    <x v="1"/>
    <n v="62"/>
  </r>
  <r>
    <x v="202"/>
    <n v="1"/>
    <x v="1"/>
    <n v="45"/>
  </r>
  <r>
    <x v="203"/>
    <n v="1"/>
    <x v="1"/>
    <n v="51"/>
  </r>
  <r>
    <x v="204"/>
    <n v="1"/>
    <x v="1"/>
    <n v="47"/>
  </r>
  <r>
    <x v="205"/>
    <n v="1"/>
    <x v="1"/>
    <n v="57"/>
  </r>
  <r>
    <x v="206"/>
    <n v="1"/>
    <x v="1"/>
    <n v="68"/>
  </r>
  <r>
    <x v="207"/>
    <n v="1"/>
    <x v="1"/>
    <n v="67"/>
  </r>
  <r>
    <x v="208"/>
    <n v="1"/>
    <x v="1"/>
    <n v="74"/>
  </r>
  <r>
    <x v="209"/>
    <n v="1"/>
    <x v="1"/>
    <n v="40"/>
  </r>
  <r>
    <x v="210"/>
    <n v="1"/>
    <x v="1"/>
    <n v="60"/>
  </r>
  <r>
    <x v="211"/>
    <n v="1"/>
    <x v="1"/>
    <n v="48"/>
  </r>
  <r>
    <x v="212"/>
    <n v="1"/>
    <x v="1"/>
    <n v="53"/>
  </r>
  <r>
    <x v="213"/>
    <n v="1"/>
    <x v="1"/>
    <n v="53"/>
  </r>
  <r>
    <x v="214"/>
    <n v="1"/>
    <x v="1"/>
    <n v="62"/>
  </r>
  <r>
    <x v="215"/>
    <n v="1"/>
    <x v="1"/>
    <n v="55"/>
  </r>
  <r>
    <x v="216"/>
    <n v="1"/>
    <x v="1"/>
    <n v="47"/>
  </r>
  <r>
    <x v="217"/>
    <n v="1"/>
    <x v="1"/>
    <n v="60"/>
  </r>
  <r>
    <x v="218"/>
    <n v="1"/>
    <x v="1"/>
    <n v="41"/>
  </r>
  <r>
    <x v="219"/>
    <n v="1"/>
    <x v="1"/>
    <n v="54"/>
  </r>
  <r>
    <x v="220"/>
    <n v="1"/>
    <x v="1"/>
    <n v="69"/>
  </r>
  <r>
    <x v="221"/>
    <n v="1"/>
    <x v="1"/>
    <n v="53"/>
  </r>
  <r>
    <x v="222"/>
    <n v="1"/>
    <x v="1"/>
    <n v="64"/>
  </r>
  <r>
    <x v="223"/>
    <n v="1"/>
    <x v="1"/>
    <n v="36"/>
  </r>
  <r>
    <x v="224"/>
    <n v="1"/>
    <x v="1"/>
    <n v="42"/>
  </r>
  <r>
    <x v="225"/>
    <n v="1"/>
    <x v="1"/>
    <n v="40"/>
  </r>
  <r>
    <x v="226"/>
    <n v="1"/>
    <x v="1"/>
    <n v="45"/>
  </r>
  <r>
    <x v="227"/>
    <n v="1"/>
    <x v="1"/>
    <n v="47"/>
  </r>
  <r>
    <x v="228"/>
    <n v="1"/>
    <x v="1"/>
    <n v="60"/>
  </r>
  <r>
    <x v="229"/>
    <n v="1"/>
    <x v="1"/>
    <n v="60"/>
  </r>
  <r>
    <x v="230"/>
    <n v="1"/>
    <x v="1"/>
    <n v="39"/>
  </r>
  <r>
    <x v="231"/>
    <n v="1"/>
    <x v="1"/>
    <n v="48"/>
  </r>
  <r>
    <x v="232"/>
    <n v="1"/>
    <x v="1"/>
    <n v="52"/>
  </r>
  <r>
    <x v="233"/>
    <n v="1"/>
    <x v="1"/>
    <n v="44"/>
  </r>
  <r>
    <x v="234"/>
    <n v="1"/>
    <x v="1"/>
    <n v="44"/>
  </r>
  <r>
    <x v="235"/>
    <n v="1"/>
    <x v="1"/>
    <n v="64"/>
  </r>
  <r>
    <x v="236"/>
    <n v="1"/>
    <x v="1"/>
    <n v="54"/>
  </r>
  <r>
    <x v="237"/>
    <n v="1"/>
    <x v="1"/>
    <n v="37"/>
  </r>
  <r>
    <x v="238"/>
    <n v="1"/>
    <x v="1"/>
    <n v="55"/>
  </r>
  <r>
    <x v="239"/>
    <n v="1"/>
    <x v="1"/>
    <n v="49"/>
  </r>
  <r>
    <x v="240"/>
    <n v="1"/>
    <x v="1"/>
    <n v="48"/>
  </r>
  <r>
    <x v="241"/>
    <n v="1"/>
    <x v="1"/>
    <n v="56"/>
  </r>
  <r>
    <x v="242"/>
    <n v="1"/>
    <x v="1"/>
    <n v="60"/>
  </r>
  <r>
    <x v="243"/>
    <n v="1"/>
    <x v="1"/>
    <n v="42"/>
  </r>
  <r>
    <x v="244"/>
    <n v="1"/>
    <x v="1"/>
    <n v="38"/>
  </r>
  <r>
    <x v="245"/>
    <n v="1"/>
    <x v="1"/>
    <n v="45"/>
  </r>
  <r>
    <x v="246"/>
    <n v="1"/>
    <x v="1"/>
    <n v="42"/>
  </r>
  <r>
    <x v="247"/>
    <n v="1"/>
    <x v="1"/>
    <n v="45"/>
  </r>
  <r>
    <x v="248"/>
    <n v="1"/>
    <x v="1"/>
    <n v="43"/>
  </r>
  <r>
    <x v="249"/>
    <n v="1"/>
    <x v="1"/>
    <n v="60"/>
  </r>
  <r>
    <x v="250"/>
    <n v="1"/>
    <x v="1"/>
    <n v="44"/>
  </r>
  <r>
    <x v="251"/>
    <n v="1"/>
    <x v="1"/>
    <n v="36"/>
  </r>
  <r>
    <x v="252"/>
    <n v="1"/>
    <x v="1"/>
    <n v="40"/>
  </r>
  <r>
    <x v="253"/>
    <n v="1"/>
    <x v="1"/>
    <n v="47"/>
  </r>
  <r>
    <x v="254"/>
    <n v="1"/>
    <x v="1"/>
    <n v="59"/>
  </r>
  <r>
    <x v="255"/>
    <n v="1"/>
    <x v="1"/>
    <n v="50"/>
  </r>
  <r>
    <x v="256"/>
    <n v="1"/>
    <x v="1"/>
    <n v="44"/>
  </r>
  <r>
    <x v="257"/>
    <n v="1"/>
    <x v="1"/>
    <n v="46"/>
  </r>
  <r>
    <x v="258"/>
    <n v="1"/>
    <x v="1"/>
    <n v="34"/>
  </r>
  <r>
    <x v="259"/>
    <n v="1"/>
    <x v="1"/>
    <n v="43"/>
  </r>
  <r>
    <x v="260"/>
    <n v="1"/>
    <x v="1"/>
    <n v="47"/>
  </r>
  <r>
    <x v="261"/>
    <n v="1"/>
    <x v="1"/>
    <n v="47"/>
  </r>
  <r>
    <x v="262"/>
    <n v="1"/>
    <x v="1"/>
    <n v="44"/>
  </r>
  <r>
    <x v="263"/>
    <n v="1"/>
    <x v="1"/>
    <n v="56"/>
  </r>
  <r>
    <x v="264"/>
    <n v="1"/>
    <x v="1"/>
    <n v="60"/>
  </r>
  <r>
    <x v="265"/>
    <n v="1"/>
    <x v="1"/>
    <n v="39"/>
  </r>
  <r>
    <x v="266"/>
    <n v="1"/>
    <x v="1"/>
    <n v="40"/>
  </r>
  <r>
    <x v="267"/>
    <n v="1"/>
    <x v="1"/>
    <n v="39"/>
  </r>
  <r>
    <x v="268"/>
    <n v="1"/>
    <x v="1"/>
    <n v="47"/>
  </r>
  <r>
    <x v="269"/>
    <n v="1"/>
    <x v="1"/>
    <n v="54"/>
  </r>
  <r>
    <x v="270"/>
    <n v="1"/>
    <x v="1"/>
    <n v="44"/>
  </r>
  <r>
    <x v="271"/>
    <n v="1"/>
    <x v="1"/>
    <n v="56"/>
  </r>
  <r>
    <x v="272"/>
    <n v="1"/>
    <x v="1"/>
    <n v="22"/>
  </r>
  <r>
    <x v="273"/>
    <n v="1"/>
    <x v="1"/>
    <n v="36"/>
  </r>
  <r>
    <x v="274"/>
    <n v="1"/>
    <x v="1"/>
    <n v="44"/>
  </r>
  <r>
    <x v="275"/>
    <n v="1"/>
    <x v="1"/>
    <n v="31"/>
  </r>
  <r>
    <x v="276"/>
    <n v="1"/>
    <x v="1"/>
    <n v="38"/>
  </r>
  <r>
    <x v="277"/>
    <n v="1"/>
    <x v="1"/>
    <n v="52"/>
  </r>
  <r>
    <x v="278"/>
    <n v="1"/>
    <x v="1"/>
    <n v="42"/>
  </r>
  <r>
    <x v="279"/>
    <n v="1"/>
    <x v="1"/>
    <n v="40"/>
  </r>
  <r>
    <x v="280"/>
    <n v="1"/>
    <x v="1"/>
    <n v="30"/>
  </r>
  <r>
    <x v="281"/>
    <n v="1"/>
    <x v="1"/>
    <n v="45"/>
  </r>
  <r>
    <x v="282"/>
    <n v="1"/>
    <x v="1"/>
    <n v="58"/>
  </r>
  <r>
    <x v="283"/>
    <n v="1"/>
    <x v="1"/>
    <n v="45"/>
  </r>
  <r>
    <x v="284"/>
    <n v="1"/>
    <x v="1"/>
    <n v="43"/>
  </r>
  <r>
    <x v="285"/>
    <n v="1"/>
    <x v="1"/>
    <n v="53"/>
  </r>
  <r>
    <x v="286"/>
    <n v="1"/>
    <x v="1"/>
    <n v="44"/>
  </r>
  <r>
    <x v="287"/>
    <n v="1"/>
    <x v="1"/>
    <n v="32"/>
  </r>
  <r>
    <x v="288"/>
    <n v="1"/>
    <x v="1"/>
    <n v="40"/>
  </r>
  <r>
    <x v="289"/>
    <n v="1"/>
    <x v="1"/>
    <n v="51"/>
  </r>
  <r>
    <x v="290"/>
    <n v="1"/>
    <x v="1"/>
    <n v="38"/>
  </r>
  <r>
    <x v="291"/>
    <n v="1"/>
    <x v="1"/>
    <n v="46"/>
  </r>
  <r>
    <x v="292"/>
    <n v="1"/>
    <x v="1"/>
    <n v="57"/>
  </r>
  <r>
    <x v="293"/>
    <n v="1"/>
    <x v="1"/>
    <n v="33"/>
  </r>
  <r>
    <x v="294"/>
    <n v="1"/>
    <x v="1"/>
    <n v="49"/>
  </r>
  <r>
    <x v="295"/>
    <n v="1"/>
    <x v="1"/>
    <n v="45"/>
  </r>
  <r>
    <x v="296"/>
    <n v="1"/>
    <x v="1"/>
    <n v="43"/>
  </r>
  <r>
    <x v="297"/>
    <n v="1"/>
    <x v="1"/>
    <n v="32"/>
  </r>
  <r>
    <x v="298"/>
    <n v="1"/>
    <x v="1"/>
    <n v="52"/>
  </r>
  <r>
    <x v="299"/>
    <n v="1"/>
    <x v="1"/>
    <n v="54"/>
  </r>
  <r>
    <x v="300"/>
    <n v="1"/>
    <x v="1"/>
    <n v="38"/>
  </r>
  <r>
    <x v="301"/>
    <n v="1"/>
    <x v="1"/>
    <n v="34"/>
  </r>
  <r>
    <x v="302"/>
    <n v="1"/>
    <x v="1"/>
    <n v="41"/>
  </r>
  <r>
    <x v="303"/>
    <n v="1"/>
    <x v="1"/>
    <n v="44"/>
  </r>
  <r>
    <x v="304"/>
    <n v="1"/>
    <x v="1"/>
    <n v="51"/>
  </r>
  <r>
    <x v="305"/>
    <n v="1"/>
    <x v="1"/>
    <n v="50"/>
  </r>
  <r>
    <x v="306"/>
    <n v="1"/>
    <x v="1"/>
    <n v="52"/>
  </r>
  <r>
    <x v="307"/>
    <n v="1"/>
    <x v="1"/>
    <n v="32"/>
  </r>
  <r>
    <x v="308"/>
    <n v="1"/>
    <x v="1"/>
    <n v="40"/>
  </r>
  <r>
    <x v="309"/>
    <n v="1"/>
    <x v="1"/>
    <n v="41"/>
  </r>
  <r>
    <x v="310"/>
    <n v="1"/>
    <x v="1"/>
    <n v="47"/>
  </r>
  <r>
    <x v="311"/>
    <n v="1"/>
    <x v="1"/>
    <n v="43"/>
  </r>
  <r>
    <x v="312"/>
    <n v="1"/>
    <x v="1"/>
    <n v="53"/>
  </r>
  <r>
    <x v="313"/>
    <n v="1"/>
    <x v="1"/>
    <n v="68"/>
  </r>
  <r>
    <x v="314"/>
    <n v="1"/>
    <x v="1"/>
    <n v="40"/>
  </r>
  <r>
    <x v="315"/>
    <n v="1"/>
    <x v="1"/>
    <n v="41"/>
  </r>
  <r>
    <x v="316"/>
    <n v="1"/>
    <x v="1"/>
    <n v="40"/>
  </r>
  <r>
    <x v="317"/>
    <n v="1"/>
    <x v="1"/>
    <n v="53"/>
  </r>
  <r>
    <x v="318"/>
    <n v="1"/>
    <x v="1"/>
    <n v="60"/>
  </r>
  <r>
    <x v="319"/>
    <n v="1"/>
    <x v="1"/>
    <n v="54"/>
  </r>
  <r>
    <x v="320"/>
    <n v="1"/>
    <x v="1"/>
    <n v="46"/>
  </r>
  <r>
    <x v="321"/>
    <n v="1"/>
    <x v="1"/>
    <n v="24"/>
  </r>
  <r>
    <x v="322"/>
    <n v="1"/>
    <x v="1"/>
    <n v="47"/>
  </r>
  <r>
    <x v="323"/>
    <n v="1"/>
    <x v="1"/>
    <n v="40"/>
  </r>
  <r>
    <x v="324"/>
    <n v="1"/>
    <x v="1"/>
    <n v="46"/>
  </r>
  <r>
    <x v="325"/>
    <n v="1"/>
    <x v="1"/>
    <n v="53"/>
  </r>
  <r>
    <x v="326"/>
    <n v="1"/>
    <x v="1"/>
    <n v="49"/>
  </r>
  <r>
    <x v="327"/>
    <n v="1"/>
    <x v="1"/>
    <n v="63"/>
  </r>
  <r>
    <x v="328"/>
    <n v="1"/>
    <x v="1"/>
    <n v="30"/>
  </r>
  <r>
    <x v="329"/>
    <n v="1"/>
    <x v="1"/>
    <n v="55"/>
  </r>
  <r>
    <x v="330"/>
    <n v="1"/>
    <x v="1"/>
    <n v="49"/>
  </r>
  <r>
    <x v="331"/>
    <n v="1"/>
    <x v="1"/>
    <n v="54"/>
  </r>
  <r>
    <x v="332"/>
    <n v="1"/>
    <x v="1"/>
    <n v="50"/>
  </r>
  <r>
    <x v="333"/>
    <n v="1"/>
    <x v="1"/>
    <n v="56"/>
  </r>
  <r>
    <x v="334"/>
    <n v="1"/>
    <x v="1"/>
    <n v="42"/>
  </r>
  <r>
    <x v="335"/>
    <n v="1"/>
    <x v="1"/>
    <n v="31"/>
  </r>
  <r>
    <x v="336"/>
    <n v="1"/>
    <x v="1"/>
    <n v="24"/>
  </r>
  <r>
    <x v="337"/>
    <n v="1"/>
    <x v="1"/>
    <n v="31"/>
  </r>
  <r>
    <x v="338"/>
    <n v="1"/>
    <x v="1"/>
    <n v="24"/>
  </r>
  <r>
    <x v="339"/>
    <n v="1"/>
    <x v="1"/>
    <n v="33"/>
  </r>
  <r>
    <x v="340"/>
    <n v="1"/>
    <x v="1"/>
    <n v="33"/>
  </r>
  <r>
    <x v="341"/>
    <n v="1"/>
    <x v="1"/>
    <n v="43"/>
  </r>
  <r>
    <x v="342"/>
    <n v="1"/>
    <x v="1"/>
    <n v="24"/>
  </r>
  <r>
    <x v="343"/>
    <n v="1"/>
    <x v="1"/>
    <n v="24"/>
  </r>
  <r>
    <x v="344"/>
    <n v="1"/>
    <x v="1"/>
    <n v="21"/>
  </r>
  <r>
    <x v="345"/>
    <n v="1"/>
    <x v="1"/>
    <n v="32"/>
  </r>
  <r>
    <x v="346"/>
    <n v="1"/>
    <x v="1"/>
    <n v="36"/>
  </r>
  <r>
    <x v="347"/>
    <n v="1"/>
    <x v="1"/>
    <n v="40"/>
  </r>
  <r>
    <x v="348"/>
    <n v="1"/>
    <x v="1"/>
    <n v="50"/>
  </r>
  <r>
    <x v="349"/>
    <n v="1"/>
    <x v="1"/>
    <n v="19"/>
  </r>
  <r>
    <x v="350"/>
    <n v="1"/>
    <x v="1"/>
    <n v="28"/>
  </r>
  <r>
    <x v="351"/>
    <n v="1"/>
    <x v="1"/>
    <n v="38"/>
  </r>
  <r>
    <x v="352"/>
    <n v="1"/>
    <x v="1"/>
    <n v="30"/>
  </r>
  <r>
    <x v="353"/>
    <n v="1"/>
    <x v="1"/>
    <n v="30"/>
  </r>
  <r>
    <x v="354"/>
    <n v="1"/>
    <x v="1"/>
    <n v="38"/>
  </r>
  <r>
    <x v="355"/>
    <n v="1"/>
    <x v="1"/>
    <n v="37"/>
  </r>
  <r>
    <x v="356"/>
    <n v="1"/>
    <x v="1"/>
    <n v="29"/>
  </r>
  <r>
    <x v="357"/>
    <n v="1"/>
    <x v="1"/>
    <n v="24"/>
  </r>
  <r>
    <x v="358"/>
    <n v="1"/>
    <x v="1"/>
    <n v="38"/>
  </r>
  <r>
    <x v="359"/>
    <n v="1"/>
    <x v="1"/>
    <n v="48"/>
  </r>
  <r>
    <x v="360"/>
    <n v="1"/>
    <x v="1"/>
    <n v="40"/>
  </r>
  <r>
    <x v="361"/>
    <n v="1"/>
    <x v="1"/>
    <n v="32"/>
  </r>
  <r>
    <x v="362"/>
    <n v="1"/>
    <x v="1"/>
    <n v="46"/>
  </r>
  <r>
    <x v="363"/>
    <n v="1"/>
    <x v="1"/>
    <n v="28"/>
  </r>
  <r>
    <x v="364"/>
    <n v="1"/>
    <x v="1"/>
    <n v="30"/>
  </r>
  <r>
    <x v="365"/>
    <n v="1"/>
    <x v="1"/>
    <n v="33"/>
  </r>
  <r>
    <x v="366"/>
    <n v="1"/>
    <x v="1"/>
    <n v="37"/>
  </r>
  <r>
    <x v="367"/>
    <n v="1"/>
    <x v="1"/>
    <n v="52"/>
  </r>
  <r>
    <x v="368"/>
    <n v="1"/>
    <x v="1"/>
    <n v="33"/>
  </r>
  <r>
    <x v="369"/>
    <n v="1"/>
    <x v="1"/>
    <n v="49"/>
  </r>
  <r>
    <x v="370"/>
    <n v="1"/>
    <x v="1"/>
    <n v="29"/>
  </r>
  <r>
    <x v="371"/>
    <n v="1"/>
    <x v="1"/>
    <n v="46"/>
  </r>
  <r>
    <x v="372"/>
    <n v="1"/>
    <x v="1"/>
    <n v="35"/>
  </r>
  <r>
    <x v="373"/>
    <n v="1"/>
    <x v="1"/>
    <n v="44"/>
  </r>
  <r>
    <x v="374"/>
    <n v="1"/>
    <x v="1"/>
    <n v="41"/>
  </r>
  <r>
    <x v="375"/>
    <n v="1"/>
    <x v="1"/>
    <n v="39"/>
  </r>
  <r>
    <x v="376"/>
    <n v="1"/>
    <x v="1"/>
    <n v="34"/>
  </r>
  <r>
    <x v="377"/>
    <n v="1"/>
    <x v="1"/>
    <n v="22"/>
  </r>
  <r>
    <x v="378"/>
    <n v="1"/>
    <x v="1"/>
    <n v="34"/>
  </r>
  <r>
    <x v="379"/>
    <n v="1"/>
    <x v="1"/>
    <n v="33"/>
  </r>
  <r>
    <x v="380"/>
    <n v="1"/>
    <x v="1"/>
    <n v="33"/>
  </r>
  <r>
    <x v="381"/>
    <n v="1"/>
    <x v="1"/>
    <n v="31"/>
  </r>
  <r>
    <x v="382"/>
    <n v="1"/>
    <x v="1"/>
    <n v="52"/>
  </r>
  <r>
    <x v="383"/>
    <n v="1"/>
    <x v="1"/>
    <n v="41"/>
  </r>
  <r>
    <x v="384"/>
    <n v="1"/>
    <x v="1"/>
    <n v="28"/>
  </r>
  <r>
    <x v="385"/>
    <n v="1"/>
    <x v="1"/>
    <n v="25"/>
  </r>
  <r>
    <x v="386"/>
    <n v="1"/>
    <x v="1"/>
    <n v="35"/>
  </r>
  <r>
    <x v="387"/>
    <n v="1"/>
    <x v="1"/>
    <n v="34"/>
  </r>
  <r>
    <x v="388"/>
    <n v="1"/>
    <x v="1"/>
    <n v="42"/>
  </r>
  <r>
    <x v="389"/>
    <n v="1"/>
    <x v="1"/>
    <n v="27"/>
  </r>
  <r>
    <x v="390"/>
    <n v="1"/>
    <x v="1"/>
    <n v="43"/>
  </r>
  <r>
    <x v="391"/>
    <n v="1"/>
    <x v="1"/>
    <n v="19"/>
  </r>
  <r>
    <x v="392"/>
    <n v="1"/>
    <x v="1"/>
    <n v="39"/>
  </r>
  <r>
    <x v="393"/>
    <n v="1"/>
    <x v="1"/>
    <n v="29"/>
  </r>
  <r>
    <x v="394"/>
    <n v="1"/>
    <x v="1"/>
    <n v="37"/>
  </r>
  <r>
    <x v="395"/>
    <n v="1"/>
    <x v="1"/>
    <n v="40"/>
  </r>
  <r>
    <x v="396"/>
    <n v="1"/>
    <x v="1"/>
    <n v="43"/>
  </r>
  <r>
    <x v="397"/>
    <n v="1"/>
    <x v="1"/>
    <n v="51"/>
  </r>
  <r>
    <x v="398"/>
    <n v="1"/>
    <x v="1"/>
    <n v="24"/>
  </r>
  <r>
    <x v="399"/>
    <n v="1"/>
    <x v="1"/>
    <n v="27"/>
  </r>
  <r>
    <x v="400"/>
    <n v="1"/>
    <x v="1"/>
    <n v="40"/>
  </r>
  <r>
    <x v="401"/>
    <n v="1"/>
    <x v="1"/>
    <n v="43"/>
  </r>
  <r>
    <x v="402"/>
    <n v="1"/>
    <x v="1"/>
    <n v="46"/>
  </r>
  <r>
    <x v="403"/>
    <n v="1"/>
    <x v="1"/>
    <n v="43"/>
  </r>
  <r>
    <x v="404"/>
    <n v="1"/>
    <x v="1"/>
    <n v="41"/>
  </r>
  <r>
    <x v="405"/>
    <n v="1"/>
    <x v="1"/>
    <n v="35"/>
  </r>
  <r>
    <x v="406"/>
    <n v="1"/>
    <x v="1"/>
    <n v="30"/>
  </r>
  <r>
    <x v="407"/>
    <n v="1"/>
    <x v="1"/>
    <n v="43"/>
  </r>
  <r>
    <x v="408"/>
    <n v="1"/>
    <x v="1"/>
    <n v="40"/>
  </r>
  <r>
    <x v="409"/>
    <n v="1"/>
    <x v="1"/>
    <n v="41"/>
  </r>
  <r>
    <x v="410"/>
    <n v="1"/>
    <x v="1"/>
    <n v="44"/>
  </r>
  <r>
    <x v="411"/>
    <n v="1"/>
    <x v="1"/>
    <n v="48"/>
  </r>
  <r>
    <x v="412"/>
    <n v="1"/>
    <x v="1"/>
    <n v="37"/>
  </r>
  <r>
    <x v="413"/>
    <n v="1"/>
    <x v="1"/>
    <n v="42"/>
  </r>
  <r>
    <x v="414"/>
    <n v="1"/>
    <x v="1"/>
    <n v="28"/>
  </r>
  <r>
    <x v="415"/>
    <n v="1"/>
    <x v="1"/>
    <n v="46"/>
  </r>
  <r>
    <x v="416"/>
    <n v="1"/>
    <x v="1"/>
    <n v="35"/>
  </r>
  <r>
    <x v="417"/>
    <n v="1"/>
    <x v="1"/>
    <n v="42"/>
  </r>
  <r>
    <x v="418"/>
    <n v="1"/>
    <x v="1"/>
    <n v="47"/>
  </r>
  <r>
    <x v="419"/>
    <n v="1"/>
    <x v="1"/>
    <n v="39"/>
  </r>
  <r>
    <x v="420"/>
    <n v="1"/>
    <x v="1"/>
    <n v="36"/>
  </r>
  <r>
    <x v="421"/>
    <n v="1"/>
    <x v="1"/>
    <n v="44"/>
  </r>
  <r>
    <x v="422"/>
    <n v="1"/>
    <x v="1"/>
    <n v="47"/>
  </r>
  <r>
    <x v="423"/>
    <n v="1"/>
    <x v="1"/>
    <n v="53"/>
  </r>
  <r>
    <x v="424"/>
    <n v="1"/>
    <x v="1"/>
    <n v="45"/>
  </r>
  <r>
    <x v="425"/>
    <n v="1"/>
    <x v="1"/>
    <n v="60"/>
  </r>
  <r>
    <x v="426"/>
    <n v="1"/>
    <x v="1"/>
    <n v="44"/>
  </r>
  <r>
    <x v="427"/>
    <n v="1"/>
    <x v="1"/>
    <n v="38"/>
  </r>
  <r>
    <x v="428"/>
    <n v="1"/>
    <x v="1"/>
    <n v="38"/>
  </r>
  <r>
    <x v="429"/>
    <n v="1"/>
    <x v="1"/>
    <n v="46"/>
  </r>
  <r>
    <x v="430"/>
    <n v="1"/>
    <x v="1"/>
    <n v="45"/>
  </r>
  <r>
    <x v="431"/>
    <n v="1"/>
    <x v="1"/>
    <n v="49"/>
  </r>
  <r>
    <x v="432"/>
    <n v="1"/>
    <x v="1"/>
    <n v="57"/>
  </r>
  <r>
    <x v="433"/>
    <n v="1"/>
    <x v="1"/>
    <n v="44"/>
  </r>
  <r>
    <x v="434"/>
    <n v="1"/>
    <x v="1"/>
    <n v="36"/>
  </r>
  <r>
    <x v="435"/>
    <n v="1"/>
    <x v="1"/>
    <n v="42"/>
  </r>
  <r>
    <x v="436"/>
    <n v="1"/>
    <x v="1"/>
    <n v="43"/>
  </r>
  <r>
    <x v="437"/>
    <n v="1"/>
    <x v="1"/>
    <n v="52"/>
  </r>
  <r>
    <x v="438"/>
    <n v="1"/>
    <x v="1"/>
    <n v="55"/>
  </r>
  <r>
    <x v="439"/>
    <n v="1"/>
    <x v="1"/>
    <n v="53"/>
  </r>
  <r>
    <x v="440"/>
    <n v="1"/>
    <x v="1"/>
    <n v="33"/>
  </r>
  <r>
    <x v="441"/>
    <n v="1"/>
    <x v="1"/>
    <n v="47"/>
  </r>
  <r>
    <x v="442"/>
    <n v="1"/>
    <x v="1"/>
    <n v="47"/>
  </r>
  <r>
    <x v="443"/>
    <n v="1"/>
    <x v="1"/>
    <n v="36"/>
  </r>
  <r>
    <x v="444"/>
    <n v="1"/>
    <x v="1"/>
    <n v="50"/>
  </r>
  <r>
    <x v="445"/>
    <n v="1"/>
    <x v="1"/>
    <n v="46"/>
  </r>
  <r>
    <x v="446"/>
    <n v="1"/>
    <x v="1"/>
    <n v="44"/>
  </r>
  <r>
    <x v="447"/>
    <n v="1"/>
    <x v="1"/>
    <n v="28"/>
  </r>
  <r>
    <x v="448"/>
    <n v="1"/>
    <x v="1"/>
    <n v="38"/>
  </r>
  <r>
    <x v="449"/>
    <n v="1"/>
    <x v="1"/>
    <n v="44"/>
  </r>
  <r>
    <x v="450"/>
    <n v="1"/>
    <x v="1"/>
    <n v="41"/>
  </r>
  <r>
    <x v="451"/>
    <n v="1"/>
    <x v="1"/>
    <n v="43"/>
  </r>
  <r>
    <x v="452"/>
    <n v="1"/>
    <x v="1"/>
    <n v="49"/>
  </r>
  <r>
    <x v="453"/>
    <n v="1"/>
    <x v="1"/>
    <n v="70"/>
  </r>
  <r>
    <x v="454"/>
    <n v="1"/>
    <x v="1"/>
    <n v="43"/>
  </r>
  <r>
    <x v="455"/>
    <n v="1"/>
    <x v="1"/>
    <n v="51"/>
  </r>
  <r>
    <x v="456"/>
    <n v="1"/>
    <x v="1"/>
    <n v="48"/>
  </r>
  <r>
    <x v="457"/>
    <n v="1"/>
    <x v="1"/>
    <n v="48"/>
  </r>
  <r>
    <x v="458"/>
    <n v="1"/>
    <x v="1"/>
    <n v="65"/>
  </r>
  <r>
    <x v="459"/>
    <n v="1"/>
    <x v="1"/>
    <n v="47"/>
  </r>
  <r>
    <x v="460"/>
    <n v="1"/>
    <x v="1"/>
    <n v="74"/>
  </r>
  <r>
    <x v="461"/>
    <n v="1"/>
    <x v="1"/>
    <n v="30"/>
  </r>
  <r>
    <x v="462"/>
    <n v="1"/>
    <x v="1"/>
    <n v="61"/>
  </r>
  <r>
    <x v="463"/>
    <n v="1"/>
    <x v="1"/>
    <n v="45"/>
  </r>
  <r>
    <x v="464"/>
    <n v="1"/>
    <x v="1"/>
    <n v="60"/>
  </r>
  <r>
    <x v="465"/>
    <n v="1"/>
    <x v="1"/>
    <n v="68"/>
  </r>
  <r>
    <x v="466"/>
    <n v="1"/>
    <x v="1"/>
    <n v="73"/>
  </r>
  <r>
    <x v="467"/>
    <n v="1"/>
    <x v="1"/>
    <n v="73"/>
  </r>
  <r>
    <x v="468"/>
    <n v="1"/>
    <x v="1"/>
    <n v="47"/>
  </r>
  <r>
    <x v="469"/>
    <n v="1"/>
    <x v="1"/>
    <n v="42"/>
  </r>
  <r>
    <x v="470"/>
    <n v="1"/>
    <x v="1"/>
    <n v="52"/>
  </r>
  <r>
    <x v="471"/>
    <n v="1"/>
    <x v="1"/>
    <n v="41"/>
  </r>
  <r>
    <x v="472"/>
    <n v="1"/>
    <x v="1"/>
    <n v="50"/>
  </r>
  <r>
    <x v="473"/>
    <n v="1"/>
    <x v="1"/>
    <n v="63"/>
  </r>
  <r>
    <x v="474"/>
    <n v="1"/>
    <x v="1"/>
    <n v="87"/>
  </r>
  <r>
    <x v="475"/>
    <n v="1"/>
    <x v="1"/>
    <n v="36"/>
  </r>
  <r>
    <x v="476"/>
    <n v="1"/>
    <x v="1"/>
    <n v="59"/>
  </r>
  <r>
    <x v="477"/>
    <n v="1"/>
    <x v="1"/>
    <n v="59"/>
  </r>
  <r>
    <x v="478"/>
    <n v="1"/>
    <x v="1"/>
    <n v="46"/>
  </r>
  <r>
    <x v="479"/>
    <n v="1"/>
    <x v="1"/>
    <n v="67"/>
  </r>
  <r>
    <x v="480"/>
    <n v="1"/>
    <x v="1"/>
    <n v="61"/>
  </r>
  <r>
    <x v="481"/>
    <n v="1"/>
    <x v="1"/>
    <n v="69"/>
  </r>
  <r>
    <x v="482"/>
    <n v="1"/>
    <x v="1"/>
    <n v="29"/>
  </r>
  <r>
    <x v="483"/>
    <n v="1"/>
    <x v="1"/>
    <n v="48"/>
  </r>
  <r>
    <x v="484"/>
    <n v="1"/>
    <x v="1"/>
    <n v="46"/>
  </r>
  <r>
    <x v="485"/>
    <n v="1"/>
    <x v="1"/>
    <n v="46"/>
  </r>
  <r>
    <x v="486"/>
    <n v="1"/>
    <x v="1"/>
    <n v="74"/>
  </r>
  <r>
    <x v="487"/>
    <n v="1"/>
    <x v="1"/>
    <n v="65"/>
  </r>
  <r>
    <x v="488"/>
    <n v="1"/>
    <x v="1"/>
    <n v="82"/>
  </r>
  <r>
    <x v="489"/>
    <n v="1"/>
    <x v="1"/>
    <n v="39"/>
  </r>
  <r>
    <x v="490"/>
    <n v="1"/>
    <x v="1"/>
    <n v="63"/>
  </r>
  <r>
    <x v="491"/>
    <n v="1"/>
    <x v="1"/>
    <n v="61"/>
  </r>
  <r>
    <x v="492"/>
    <n v="1"/>
    <x v="1"/>
    <n v="60"/>
  </r>
  <r>
    <x v="493"/>
    <n v="1"/>
    <x v="1"/>
    <n v="66"/>
  </r>
  <r>
    <x v="494"/>
    <n v="1"/>
    <x v="1"/>
    <n v="67"/>
  </r>
  <r>
    <x v="495"/>
    <n v="1"/>
    <x v="1"/>
    <n v="78"/>
  </r>
  <r>
    <x v="496"/>
    <n v="1"/>
    <x v="1"/>
    <n v="47"/>
  </r>
  <r>
    <x v="497"/>
    <n v="1"/>
    <x v="1"/>
    <n v="53"/>
  </r>
  <r>
    <x v="498"/>
    <n v="1"/>
    <x v="1"/>
    <n v="52"/>
  </r>
  <r>
    <x v="499"/>
    <n v="1"/>
    <x v="1"/>
    <n v="50"/>
  </r>
  <r>
    <x v="500"/>
    <n v="1"/>
    <x v="1"/>
    <n v="56"/>
  </r>
  <r>
    <x v="501"/>
    <n v="1"/>
    <x v="1"/>
    <n v="71"/>
  </r>
  <r>
    <x v="502"/>
    <n v="1"/>
    <x v="1"/>
    <n v="77"/>
  </r>
  <r>
    <x v="503"/>
    <n v="1"/>
    <x v="1"/>
    <n v="49"/>
  </r>
  <r>
    <x v="504"/>
    <n v="1"/>
    <x v="1"/>
    <n v="62"/>
  </r>
  <r>
    <x v="505"/>
    <n v="1"/>
    <x v="1"/>
    <n v="55"/>
  </r>
  <r>
    <x v="506"/>
    <n v="1"/>
    <x v="1"/>
    <n v="59"/>
  </r>
  <r>
    <x v="507"/>
    <n v="1"/>
    <x v="1"/>
    <n v="57"/>
  </r>
  <r>
    <x v="508"/>
    <n v="1"/>
    <x v="1"/>
    <n v="61"/>
  </r>
  <r>
    <x v="509"/>
    <n v="1"/>
    <x v="1"/>
    <n v="88"/>
  </r>
  <r>
    <x v="510"/>
    <n v="1"/>
    <x v="1"/>
    <n v="43"/>
  </r>
  <r>
    <x v="511"/>
    <n v="1"/>
    <x v="1"/>
    <n v="51"/>
  </r>
  <r>
    <x v="512"/>
    <n v="1"/>
    <x v="1"/>
    <n v="60"/>
  </r>
  <r>
    <x v="513"/>
    <n v="1"/>
    <x v="1"/>
    <n v="51"/>
  </r>
  <r>
    <x v="514"/>
    <n v="1"/>
    <x v="1"/>
    <n v="67"/>
  </r>
  <r>
    <x v="515"/>
    <n v="1"/>
    <x v="1"/>
    <n v="60"/>
  </r>
  <r>
    <x v="516"/>
    <n v="1"/>
    <x v="1"/>
    <n v="76"/>
  </r>
  <r>
    <x v="517"/>
    <n v="1"/>
    <x v="1"/>
    <n v="48"/>
  </r>
  <r>
    <x v="518"/>
    <n v="1"/>
    <x v="1"/>
    <n v="53"/>
  </r>
  <r>
    <x v="519"/>
    <n v="1"/>
    <x v="1"/>
    <n v="63"/>
  </r>
  <r>
    <x v="520"/>
    <n v="1"/>
    <x v="1"/>
    <n v="55"/>
  </r>
  <r>
    <x v="521"/>
    <n v="1"/>
    <x v="1"/>
    <n v="77"/>
  </r>
  <r>
    <x v="522"/>
    <n v="1"/>
    <x v="1"/>
    <n v="62"/>
  </r>
  <r>
    <x v="523"/>
    <n v="1"/>
    <x v="1"/>
    <n v="75"/>
  </r>
  <r>
    <x v="524"/>
    <n v="1"/>
    <x v="1"/>
    <n v="50"/>
  </r>
  <r>
    <x v="525"/>
    <n v="1"/>
    <x v="1"/>
    <n v="57"/>
  </r>
  <r>
    <x v="526"/>
    <n v="1"/>
    <x v="1"/>
    <n v="55"/>
  </r>
  <r>
    <x v="527"/>
    <n v="1"/>
    <x v="1"/>
    <n v="69"/>
  </r>
  <r>
    <x v="528"/>
    <n v="1"/>
    <x v="1"/>
    <n v="69"/>
  </r>
  <r>
    <x v="529"/>
    <n v="1"/>
    <x v="1"/>
    <n v="61"/>
  </r>
  <r>
    <x v="530"/>
    <n v="1"/>
    <x v="1"/>
    <n v="64"/>
  </r>
  <r>
    <x v="531"/>
    <n v="1"/>
    <x v="1"/>
    <n v="48"/>
  </r>
  <r>
    <x v="532"/>
    <n v="1"/>
    <x v="1"/>
    <n v="69"/>
  </r>
  <r>
    <x v="533"/>
    <n v="1"/>
    <x v="1"/>
    <n v="61"/>
  </r>
  <r>
    <x v="534"/>
    <n v="1"/>
    <x v="1"/>
    <n v="48"/>
  </r>
  <r>
    <x v="535"/>
    <n v="1"/>
    <x v="1"/>
    <n v="55"/>
  </r>
  <r>
    <x v="536"/>
    <n v="1"/>
    <x v="1"/>
    <n v="70"/>
  </r>
  <r>
    <x v="537"/>
    <n v="1"/>
    <x v="1"/>
    <n v="59"/>
  </r>
  <r>
    <x v="538"/>
    <n v="1"/>
    <x v="1"/>
    <n v="58"/>
  </r>
  <r>
    <x v="539"/>
    <n v="1"/>
    <x v="1"/>
    <n v="66"/>
  </r>
  <r>
    <x v="540"/>
    <n v="1"/>
    <x v="1"/>
    <n v="58"/>
  </r>
  <r>
    <x v="541"/>
    <n v="1"/>
    <x v="1"/>
    <n v="64"/>
  </r>
  <r>
    <x v="542"/>
    <n v="1"/>
    <x v="1"/>
    <n v="74"/>
  </r>
  <r>
    <x v="543"/>
    <n v="1"/>
    <x v="1"/>
    <n v="70"/>
  </r>
  <r>
    <x v="544"/>
    <n v="1"/>
    <x v="1"/>
    <n v="64"/>
  </r>
  <r>
    <x v="545"/>
    <n v="1"/>
    <x v="1"/>
    <n v="51"/>
  </r>
  <r>
    <x v="546"/>
    <n v="1"/>
    <x v="1"/>
    <n v="61"/>
  </r>
  <r>
    <x v="547"/>
    <n v="1"/>
    <x v="1"/>
    <n v="59"/>
  </r>
  <r>
    <x v="548"/>
    <n v="1"/>
    <x v="1"/>
    <n v="68"/>
  </r>
  <r>
    <x v="549"/>
    <n v="1"/>
    <x v="1"/>
    <n v="56"/>
  </r>
  <r>
    <x v="550"/>
    <n v="1"/>
    <x v="1"/>
    <n v="58"/>
  </r>
  <r>
    <x v="551"/>
    <n v="1"/>
    <x v="1"/>
    <n v="77"/>
  </r>
  <r>
    <x v="552"/>
    <n v="1"/>
    <x v="1"/>
    <n v="38"/>
  </r>
  <r>
    <x v="553"/>
    <n v="1"/>
    <x v="1"/>
    <n v="56"/>
  </r>
  <r>
    <x v="554"/>
    <n v="1"/>
    <x v="1"/>
    <n v="58"/>
  </r>
  <r>
    <x v="555"/>
    <n v="1"/>
    <x v="1"/>
    <n v="55"/>
  </r>
  <r>
    <x v="556"/>
    <n v="1"/>
    <x v="1"/>
    <n v="58"/>
  </r>
  <r>
    <x v="557"/>
    <n v="1"/>
    <x v="1"/>
    <n v="73"/>
  </r>
  <r>
    <x v="558"/>
    <n v="1"/>
    <x v="1"/>
    <n v="102"/>
  </r>
  <r>
    <x v="559"/>
    <n v="1"/>
    <x v="1"/>
    <n v="52"/>
  </r>
  <r>
    <x v="560"/>
    <n v="1"/>
    <x v="1"/>
    <n v="61"/>
  </r>
  <r>
    <x v="561"/>
    <n v="1"/>
    <x v="1"/>
    <n v="53"/>
  </r>
  <r>
    <x v="562"/>
    <n v="1"/>
    <x v="1"/>
    <n v="73"/>
  </r>
  <r>
    <x v="563"/>
    <n v="1"/>
    <x v="1"/>
    <n v="71"/>
  </r>
  <r>
    <x v="564"/>
    <n v="1"/>
    <x v="1"/>
    <n v="72"/>
  </r>
  <r>
    <x v="565"/>
    <n v="1"/>
    <x v="1"/>
    <n v="75"/>
  </r>
  <r>
    <x v="566"/>
    <n v="1"/>
    <x v="1"/>
    <n v="70"/>
  </r>
  <r>
    <x v="567"/>
    <n v="1"/>
    <x v="1"/>
    <n v="71"/>
  </r>
  <r>
    <x v="568"/>
    <n v="1"/>
    <x v="1"/>
    <n v="66"/>
  </r>
  <r>
    <x v="569"/>
    <n v="1"/>
    <x v="1"/>
    <n v="65"/>
  </r>
  <r>
    <x v="570"/>
    <n v="1"/>
    <x v="1"/>
    <n v="74"/>
  </r>
  <r>
    <x v="571"/>
    <n v="1"/>
    <x v="1"/>
    <n v="73"/>
  </r>
  <r>
    <x v="572"/>
    <n v="1"/>
    <x v="1"/>
    <n v="92"/>
  </r>
  <r>
    <x v="573"/>
    <n v="1"/>
    <x v="1"/>
    <n v="48"/>
  </r>
  <r>
    <x v="574"/>
    <n v="1"/>
    <x v="1"/>
    <n v="71"/>
  </r>
  <r>
    <x v="575"/>
    <n v="1"/>
    <x v="1"/>
    <n v="64"/>
  </r>
  <r>
    <x v="576"/>
    <n v="1"/>
    <x v="1"/>
    <n v="69"/>
  </r>
  <r>
    <x v="577"/>
    <n v="1"/>
    <x v="1"/>
    <n v="66"/>
  </r>
  <r>
    <x v="578"/>
    <n v="1"/>
    <x v="1"/>
    <n v="71"/>
  </r>
  <r>
    <x v="579"/>
    <n v="1"/>
    <x v="1"/>
    <n v="86"/>
  </r>
  <r>
    <x v="580"/>
    <n v="1"/>
    <x v="1"/>
    <n v="50"/>
  </r>
  <r>
    <x v="581"/>
    <n v="1"/>
    <x v="1"/>
    <n v="48"/>
  </r>
  <r>
    <x v="582"/>
    <n v="1"/>
    <x v="1"/>
    <n v="48"/>
  </r>
  <r>
    <x v="583"/>
    <n v="1"/>
    <x v="1"/>
    <n v="63"/>
  </r>
  <r>
    <x v="584"/>
    <n v="1"/>
    <x v="1"/>
    <n v="49"/>
  </r>
  <r>
    <x v="585"/>
    <n v="1"/>
    <x v="1"/>
    <n v="63"/>
  </r>
  <r>
    <x v="586"/>
    <n v="1"/>
    <x v="1"/>
    <n v="64"/>
  </r>
  <r>
    <x v="587"/>
    <n v="1"/>
    <x v="1"/>
    <n v="56"/>
  </r>
  <r>
    <x v="588"/>
    <n v="1"/>
    <x v="1"/>
    <n v="57"/>
  </r>
  <r>
    <x v="589"/>
    <n v="1"/>
    <x v="1"/>
    <n v="47"/>
  </r>
  <r>
    <x v="590"/>
    <n v="1"/>
    <x v="1"/>
    <n v="47"/>
  </r>
  <r>
    <x v="591"/>
    <n v="1"/>
    <x v="1"/>
    <n v="62"/>
  </r>
  <r>
    <x v="592"/>
    <n v="1"/>
    <x v="1"/>
    <n v="52"/>
  </r>
  <r>
    <x v="593"/>
    <n v="1"/>
    <x v="1"/>
    <n v="57"/>
  </r>
  <r>
    <x v="594"/>
    <n v="1"/>
    <x v="1"/>
    <n v="53"/>
  </r>
  <r>
    <x v="595"/>
    <n v="1"/>
    <x v="1"/>
    <n v="56"/>
  </r>
  <r>
    <x v="596"/>
    <n v="1"/>
    <x v="1"/>
    <n v="51"/>
  </r>
  <r>
    <x v="597"/>
    <n v="1"/>
    <x v="1"/>
    <n v="55"/>
  </r>
  <r>
    <x v="598"/>
    <n v="1"/>
    <x v="1"/>
    <n v="63"/>
  </r>
  <r>
    <x v="599"/>
    <n v="1"/>
    <x v="1"/>
    <n v="71"/>
  </r>
  <r>
    <x v="600"/>
    <n v="1"/>
    <x v="1"/>
    <n v="75"/>
  </r>
  <r>
    <x v="601"/>
    <n v="1"/>
    <x v="1"/>
    <n v="38"/>
  </r>
  <r>
    <x v="602"/>
    <n v="1"/>
    <x v="1"/>
    <n v="56"/>
  </r>
  <r>
    <x v="603"/>
    <n v="1"/>
    <x v="1"/>
    <n v="70"/>
  </r>
  <r>
    <x v="604"/>
    <n v="1"/>
    <x v="1"/>
    <n v="53"/>
  </r>
  <r>
    <x v="605"/>
    <n v="1"/>
    <x v="1"/>
    <n v="67"/>
  </r>
  <r>
    <x v="606"/>
    <n v="1"/>
    <x v="1"/>
    <n v="58"/>
  </r>
  <r>
    <x v="607"/>
    <n v="1"/>
    <x v="1"/>
    <n v="71"/>
  </r>
  <r>
    <x v="608"/>
    <n v="1"/>
    <x v="1"/>
    <n v="43"/>
  </r>
  <r>
    <x v="609"/>
    <n v="1"/>
    <x v="1"/>
    <n v="49"/>
  </r>
  <r>
    <x v="610"/>
    <n v="1"/>
    <x v="1"/>
    <n v="46"/>
  </r>
  <r>
    <x v="611"/>
    <n v="1"/>
    <x v="1"/>
    <n v="45"/>
  </r>
  <r>
    <x v="612"/>
    <n v="1"/>
    <x v="1"/>
    <n v="57"/>
  </r>
  <r>
    <x v="613"/>
    <n v="1"/>
    <x v="1"/>
    <n v="59"/>
  </r>
  <r>
    <x v="614"/>
    <n v="1"/>
    <x v="1"/>
    <n v="63"/>
  </r>
  <r>
    <x v="615"/>
    <n v="1"/>
    <x v="1"/>
    <n v="49"/>
  </r>
  <r>
    <x v="616"/>
    <n v="1"/>
    <x v="1"/>
    <n v="41"/>
  </r>
  <r>
    <x v="617"/>
    <n v="1"/>
    <x v="1"/>
    <n v="46"/>
  </r>
  <r>
    <x v="618"/>
    <n v="1"/>
    <x v="1"/>
    <n v="56"/>
  </r>
  <r>
    <x v="619"/>
    <n v="1"/>
    <x v="1"/>
    <n v="42"/>
  </r>
  <r>
    <x v="620"/>
    <n v="1"/>
    <x v="1"/>
    <n v="57"/>
  </r>
  <r>
    <x v="621"/>
    <n v="1"/>
    <x v="1"/>
    <n v="61"/>
  </r>
  <r>
    <x v="622"/>
    <n v="1"/>
    <x v="1"/>
    <n v="32"/>
  </r>
  <r>
    <x v="623"/>
    <n v="1"/>
    <x v="1"/>
    <n v="51"/>
  </r>
  <r>
    <x v="624"/>
    <n v="1"/>
    <x v="1"/>
    <n v="54"/>
  </r>
  <r>
    <x v="625"/>
    <n v="1"/>
    <x v="1"/>
    <n v="46"/>
  </r>
  <r>
    <x v="626"/>
    <n v="1"/>
    <x v="1"/>
    <n v="71"/>
  </r>
  <r>
    <x v="627"/>
    <n v="1"/>
    <x v="1"/>
    <n v="58"/>
  </r>
  <r>
    <x v="628"/>
    <n v="1"/>
    <x v="1"/>
    <n v="50"/>
  </r>
  <r>
    <x v="629"/>
    <n v="1"/>
    <x v="1"/>
    <n v="40"/>
  </r>
  <r>
    <x v="630"/>
    <n v="1"/>
    <x v="1"/>
    <n v="35"/>
  </r>
  <r>
    <x v="631"/>
    <n v="1"/>
    <x v="1"/>
    <n v="54"/>
  </r>
  <r>
    <x v="632"/>
    <n v="1"/>
    <x v="1"/>
    <n v="58"/>
  </r>
  <r>
    <x v="633"/>
    <n v="1"/>
    <x v="1"/>
    <n v="63"/>
  </r>
  <r>
    <x v="634"/>
    <n v="1"/>
    <x v="1"/>
    <n v="64"/>
  </r>
  <r>
    <x v="635"/>
    <n v="1"/>
    <x v="1"/>
    <n v="51"/>
  </r>
  <r>
    <x v="636"/>
    <n v="1"/>
    <x v="1"/>
    <n v="51"/>
  </r>
  <r>
    <x v="637"/>
    <n v="1"/>
    <x v="1"/>
    <n v="47"/>
  </r>
  <r>
    <x v="638"/>
    <n v="1"/>
    <x v="1"/>
    <n v="37"/>
  </r>
  <r>
    <x v="639"/>
    <n v="1"/>
    <x v="1"/>
    <n v="46"/>
  </r>
  <r>
    <x v="640"/>
    <n v="1"/>
    <x v="1"/>
    <n v="55"/>
  </r>
  <r>
    <x v="641"/>
    <n v="1"/>
    <x v="1"/>
    <n v="59"/>
  </r>
  <r>
    <x v="642"/>
    <n v="1"/>
    <x v="1"/>
    <n v="70"/>
  </r>
  <r>
    <x v="643"/>
    <n v="1"/>
    <x v="1"/>
    <n v="40"/>
  </r>
  <r>
    <x v="644"/>
    <n v="1"/>
    <x v="1"/>
    <n v="45"/>
  </r>
  <r>
    <x v="645"/>
    <n v="1"/>
    <x v="1"/>
    <n v="45"/>
  </r>
  <r>
    <x v="646"/>
    <n v="1"/>
    <x v="1"/>
    <n v="43"/>
  </r>
  <r>
    <x v="647"/>
    <n v="1"/>
    <x v="1"/>
    <n v="51"/>
  </r>
  <r>
    <x v="648"/>
    <n v="1"/>
    <x v="1"/>
    <n v="61"/>
  </r>
  <r>
    <x v="649"/>
    <n v="1"/>
    <x v="1"/>
    <n v="52"/>
  </r>
  <r>
    <x v="650"/>
    <n v="1"/>
    <x v="1"/>
    <n v="34"/>
  </r>
  <r>
    <x v="651"/>
    <n v="1"/>
    <x v="1"/>
    <n v="43"/>
  </r>
  <r>
    <x v="652"/>
    <n v="1"/>
    <x v="1"/>
    <n v="35"/>
  </r>
  <r>
    <x v="653"/>
    <n v="1"/>
    <x v="1"/>
    <n v="44"/>
  </r>
  <r>
    <x v="654"/>
    <n v="1"/>
    <x v="1"/>
    <n v="43"/>
  </r>
  <r>
    <x v="655"/>
    <n v="1"/>
    <x v="1"/>
    <n v="46"/>
  </r>
  <r>
    <x v="656"/>
    <n v="1"/>
    <x v="1"/>
    <n v="49"/>
  </r>
  <r>
    <x v="657"/>
    <n v="1"/>
    <x v="1"/>
    <n v="42"/>
  </r>
  <r>
    <x v="658"/>
    <n v="1"/>
    <x v="1"/>
    <n v="55"/>
  </r>
  <r>
    <x v="659"/>
    <n v="1"/>
    <x v="1"/>
    <n v="43"/>
  </r>
  <r>
    <x v="660"/>
    <n v="1"/>
    <x v="1"/>
    <n v="34"/>
  </r>
  <r>
    <x v="661"/>
    <n v="1"/>
    <x v="1"/>
    <n v="63"/>
  </r>
  <r>
    <x v="662"/>
    <n v="1"/>
    <x v="1"/>
    <n v="69"/>
  </r>
  <r>
    <x v="663"/>
    <n v="1"/>
    <x v="1"/>
    <n v="70"/>
  </r>
  <r>
    <x v="664"/>
    <n v="1"/>
    <x v="1"/>
    <n v="41"/>
  </r>
  <r>
    <x v="665"/>
    <n v="1"/>
    <x v="1"/>
    <n v="41"/>
  </r>
  <r>
    <x v="666"/>
    <n v="1"/>
    <x v="1"/>
    <n v="43"/>
  </r>
  <r>
    <x v="667"/>
    <n v="1"/>
    <x v="1"/>
    <n v="46"/>
  </r>
  <r>
    <x v="668"/>
    <n v="1"/>
    <x v="1"/>
    <n v="61"/>
  </r>
  <r>
    <x v="669"/>
    <n v="1"/>
    <x v="1"/>
    <n v="50"/>
  </r>
  <r>
    <x v="670"/>
    <n v="1"/>
    <x v="1"/>
    <n v="63"/>
  </r>
  <r>
    <x v="671"/>
    <n v="1"/>
    <x v="1"/>
    <n v="38"/>
  </r>
  <r>
    <x v="672"/>
    <n v="1"/>
    <x v="1"/>
    <n v="58"/>
  </r>
  <r>
    <x v="673"/>
    <n v="1"/>
    <x v="1"/>
    <n v="62"/>
  </r>
  <r>
    <x v="674"/>
    <n v="1"/>
    <x v="1"/>
    <n v="51"/>
  </r>
  <r>
    <x v="675"/>
    <n v="1"/>
    <x v="1"/>
    <n v="48"/>
  </r>
  <r>
    <x v="676"/>
    <n v="1"/>
    <x v="1"/>
    <n v="65"/>
  </r>
  <r>
    <x v="677"/>
    <n v="1"/>
    <x v="1"/>
    <n v="59"/>
  </r>
  <r>
    <x v="678"/>
    <n v="1"/>
    <x v="1"/>
    <n v="46"/>
  </r>
  <r>
    <x v="679"/>
    <n v="1"/>
    <x v="1"/>
    <n v="47"/>
  </r>
  <r>
    <x v="680"/>
    <n v="1"/>
    <x v="1"/>
    <n v="50"/>
  </r>
  <r>
    <x v="681"/>
    <n v="1"/>
    <x v="1"/>
    <n v="53"/>
  </r>
  <r>
    <x v="682"/>
    <n v="1"/>
    <x v="1"/>
    <n v="51"/>
  </r>
  <r>
    <x v="683"/>
    <n v="1"/>
    <x v="1"/>
    <n v="53"/>
  </r>
  <r>
    <x v="684"/>
    <n v="1"/>
    <x v="1"/>
    <n v="76"/>
  </r>
  <r>
    <x v="685"/>
    <n v="1"/>
    <x v="1"/>
    <n v="43"/>
  </r>
  <r>
    <x v="686"/>
    <n v="1"/>
    <x v="1"/>
    <n v="61"/>
  </r>
  <r>
    <x v="687"/>
    <n v="1"/>
    <x v="1"/>
    <n v="50"/>
  </r>
  <r>
    <x v="688"/>
    <n v="1"/>
    <x v="1"/>
    <n v="56"/>
  </r>
  <r>
    <x v="689"/>
    <n v="1"/>
    <x v="1"/>
    <n v="53"/>
  </r>
  <r>
    <x v="690"/>
    <n v="1"/>
    <x v="1"/>
    <n v="60"/>
  </r>
  <r>
    <x v="691"/>
    <n v="1"/>
    <x v="1"/>
    <n v="57"/>
  </r>
  <r>
    <x v="692"/>
    <n v="1"/>
    <x v="1"/>
    <n v="42"/>
  </r>
  <r>
    <x v="693"/>
    <n v="1"/>
    <x v="1"/>
    <n v="48"/>
  </r>
  <r>
    <x v="694"/>
    <n v="1"/>
    <x v="1"/>
    <n v="48"/>
  </r>
  <r>
    <x v="695"/>
    <n v="1"/>
    <x v="1"/>
    <n v="53"/>
  </r>
  <r>
    <x v="696"/>
    <n v="1"/>
    <x v="1"/>
    <n v="52"/>
  </r>
  <r>
    <x v="697"/>
    <n v="1"/>
    <x v="1"/>
    <n v="50"/>
  </r>
  <r>
    <x v="698"/>
    <n v="1"/>
    <x v="1"/>
    <n v="52"/>
  </r>
  <r>
    <x v="699"/>
    <n v="1"/>
    <x v="1"/>
    <n v="36"/>
  </r>
  <r>
    <x v="700"/>
    <n v="1"/>
    <x v="1"/>
    <n v="42"/>
  </r>
  <r>
    <x v="701"/>
    <n v="1"/>
    <x v="1"/>
    <n v="37"/>
  </r>
  <r>
    <x v="702"/>
    <n v="1"/>
    <x v="1"/>
    <n v="47"/>
  </r>
  <r>
    <x v="703"/>
    <n v="1"/>
    <x v="1"/>
    <n v="45"/>
  </r>
  <r>
    <x v="704"/>
    <n v="1"/>
    <x v="1"/>
    <n v="44"/>
  </r>
  <r>
    <x v="705"/>
    <n v="1"/>
    <x v="1"/>
    <n v="49"/>
  </r>
  <r>
    <x v="706"/>
    <n v="1"/>
    <x v="1"/>
    <n v="34"/>
  </r>
  <r>
    <x v="707"/>
    <n v="1"/>
    <x v="1"/>
    <n v="38"/>
  </r>
  <r>
    <x v="708"/>
    <n v="1"/>
    <x v="1"/>
    <n v="33"/>
  </r>
  <r>
    <x v="709"/>
    <n v="1"/>
    <x v="1"/>
    <n v="44"/>
  </r>
  <r>
    <x v="710"/>
    <n v="1"/>
    <x v="1"/>
    <n v="28"/>
  </r>
  <r>
    <x v="711"/>
    <n v="1"/>
    <x v="1"/>
    <n v="34"/>
  </r>
  <r>
    <x v="712"/>
    <n v="1"/>
    <x v="1"/>
    <n v="50"/>
  </r>
  <r>
    <x v="713"/>
    <n v="1"/>
    <x v="1"/>
    <n v="28"/>
  </r>
  <r>
    <x v="714"/>
    <n v="1"/>
    <x v="1"/>
    <n v="43"/>
  </r>
  <r>
    <x v="715"/>
    <n v="1"/>
    <x v="1"/>
    <n v="32"/>
  </r>
  <r>
    <x v="716"/>
    <n v="1"/>
    <x v="1"/>
    <n v="32"/>
  </r>
  <r>
    <x v="717"/>
    <n v="1"/>
    <x v="1"/>
    <n v="38"/>
  </r>
  <r>
    <x v="718"/>
    <n v="1"/>
    <x v="1"/>
    <n v="44"/>
  </r>
  <r>
    <x v="719"/>
    <n v="1"/>
    <x v="1"/>
    <n v="40"/>
  </r>
  <r>
    <x v="720"/>
    <n v="1"/>
    <x v="1"/>
    <n v="27"/>
  </r>
  <r>
    <x v="721"/>
    <n v="1"/>
    <x v="1"/>
    <n v="44"/>
  </r>
  <r>
    <x v="722"/>
    <n v="1"/>
    <x v="1"/>
    <n v="36"/>
  </r>
  <r>
    <x v="723"/>
    <n v="1"/>
    <x v="1"/>
    <n v="36"/>
  </r>
  <r>
    <x v="724"/>
    <n v="1"/>
    <x v="1"/>
    <n v="41"/>
  </r>
  <r>
    <x v="725"/>
    <n v="1"/>
    <x v="1"/>
    <n v="52"/>
  </r>
  <r>
    <x v="726"/>
    <n v="1"/>
    <x v="1"/>
    <n v="42"/>
  </r>
  <r>
    <x v="727"/>
    <n v="1"/>
    <x v="1"/>
    <n v="32"/>
  </r>
  <r>
    <x v="728"/>
    <n v="1"/>
    <x v="1"/>
    <n v="37"/>
  </r>
  <r>
    <x v="729"/>
    <n v="1"/>
    <x v="1"/>
    <n v="46"/>
  </r>
  <r>
    <x v="730"/>
    <n v="1"/>
    <x v="1"/>
    <n v="36"/>
  </r>
  <r>
    <x v="731"/>
    <n v="1"/>
    <x v="1"/>
    <n v="45"/>
  </r>
  <r>
    <x v="732"/>
    <n v="1"/>
    <x v="1"/>
    <n v="41"/>
  </r>
  <r>
    <x v="733"/>
    <n v="1"/>
    <x v="1"/>
    <n v="49"/>
  </r>
  <r>
    <x v="734"/>
    <n v="1"/>
    <x v="1"/>
    <n v="25"/>
  </r>
  <r>
    <x v="735"/>
    <n v="1"/>
    <x v="1"/>
    <n v="27"/>
  </r>
  <r>
    <x v="736"/>
    <n v="1"/>
    <x v="1"/>
    <n v="26"/>
  </r>
  <r>
    <x v="737"/>
    <n v="1"/>
    <x v="1"/>
    <n v="42"/>
  </r>
  <r>
    <x v="738"/>
    <n v="1"/>
    <x v="1"/>
    <n v="39"/>
  </r>
  <r>
    <x v="739"/>
    <n v="1"/>
    <x v="1"/>
    <n v="32"/>
  </r>
  <r>
    <x v="740"/>
    <n v="1"/>
    <x v="1"/>
    <n v="43"/>
  </r>
  <r>
    <x v="741"/>
    <n v="1"/>
    <x v="1"/>
    <n v="17"/>
  </r>
  <r>
    <x v="742"/>
    <n v="1"/>
    <x v="1"/>
    <n v="32"/>
  </r>
  <r>
    <x v="743"/>
    <n v="1"/>
    <x v="1"/>
    <n v="27"/>
  </r>
  <r>
    <x v="744"/>
    <n v="1"/>
    <x v="1"/>
    <n v="34"/>
  </r>
  <r>
    <x v="745"/>
    <n v="1"/>
    <x v="1"/>
    <n v="39"/>
  </r>
  <r>
    <x v="746"/>
    <n v="1"/>
    <x v="1"/>
    <n v="44"/>
  </r>
  <r>
    <x v="747"/>
    <n v="1"/>
    <x v="1"/>
    <n v="33"/>
  </r>
  <r>
    <x v="748"/>
    <n v="1"/>
    <x v="1"/>
    <n v="30"/>
  </r>
  <r>
    <x v="749"/>
    <n v="1"/>
    <x v="1"/>
    <n v="39"/>
  </r>
  <r>
    <x v="750"/>
    <n v="1"/>
    <x v="1"/>
    <n v="41"/>
  </r>
  <r>
    <x v="751"/>
    <n v="1"/>
    <x v="1"/>
    <n v="34"/>
  </r>
  <r>
    <x v="752"/>
    <n v="1"/>
    <x v="1"/>
    <n v="36"/>
  </r>
  <r>
    <x v="753"/>
    <n v="1"/>
    <x v="1"/>
    <n v="47"/>
  </r>
  <r>
    <x v="754"/>
    <n v="1"/>
    <x v="1"/>
    <n v="49"/>
  </r>
  <r>
    <x v="755"/>
    <n v="1"/>
    <x v="1"/>
    <n v="30"/>
  </r>
  <r>
    <x v="756"/>
    <n v="1"/>
    <x v="1"/>
    <n v="36"/>
  </r>
  <r>
    <x v="757"/>
    <n v="1"/>
    <x v="1"/>
    <n v="29"/>
  </r>
  <r>
    <x v="758"/>
    <n v="1"/>
    <x v="1"/>
    <n v="38"/>
  </r>
  <r>
    <x v="759"/>
    <n v="1"/>
    <x v="1"/>
    <n v="34"/>
  </r>
  <r>
    <x v="760"/>
    <n v="1"/>
    <x v="1"/>
    <n v="40"/>
  </r>
  <r>
    <x v="761"/>
    <n v="1"/>
    <x v="1"/>
    <n v="55"/>
  </r>
  <r>
    <x v="762"/>
    <n v="1"/>
    <x v="1"/>
    <n v="33"/>
  </r>
  <r>
    <x v="763"/>
    <n v="1"/>
    <x v="1"/>
    <n v="36"/>
  </r>
  <r>
    <x v="764"/>
    <n v="1"/>
    <x v="1"/>
    <n v="28"/>
  </r>
  <r>
    <x v="765"/>
    <n v="1"/>
    <x v="1"/>
    <n v="38"/>
  </r>
  <r>
    <x v="766"/>
    <n v="1"/>
    <x v="1"/>
    <n v="44"/>
  </r>
  <r>
    <x v="767"/>
    <n v="1"/>
    <x v="1"/>
    <n v="40"/>
  </r>
  <r>
    <x v="768"/>
    <n v="1"/>
    <x v="1"/>
    <n v="50"/>
  </r>
  <r>
    <x v="769"/>
    <n v="1"/>
    <x v="1"/>
    <n v="37"/>
  </r>
  <r>
    <x v="770"/>
    <n v="1"/>
    <x v="1"/>
    <n v="46"/>
  </r>
  <r>
    <x v="771"/>
    <n v="1"/>
    <x v="1"/>
    <n v="34"/>
  </r>
  <r>
    <x v="772"/>
    <n v="1"/>
    <x v="1"/>
    <n v="43"/>
  </r>
  <r>
    <x v="773"/>
    <n v="1"/>
    <x v="1"/>
    <n v="47"/>
  </r>
  <r>
    <x v="774"/>
    <n v="1"/>
    <x v="1"/>
    <n v="45"/>
  </r>
  <r>
    <x v="775"/>
    <n v="1"/>
    <x v="1"/>
    <n v="53"/>
  </r>
  <r>
    <x v="776"/>
    <n v="1"/>
    <x v="1"/>
    <n v="26"/>
  </r>
  <r>
    <x v="777"/>
    <n v="1"/>
    <x v="1"/>
    <n v="47"/>
  </r>
  <r>
    <x v="778"/>
    <n v="1"/>
    <x v="1"/>
    <n v="39"/>
  </r>
  <r>
    <x v="779"/>
    <n v="1"/>
    <x v="1"/>
    <n v="43"/>
  </r>
  <r>
    <x v="780"/>
    <n v="1"/>
    <x v="1"/>
    <n v="30"/>
  </r>
  <r>
    <x v="781"/>
    <n v="1"/>
    <x v="1"/>
    <n v="50"/>
  </r>
  <r>
    <x v="782"/>
    <n v="1"/>
    <x v="1"/>
    <n v="53"/>
  </r>
  <r>
    <x v="783"/>
    <n v="1"/>
    <x v="1"/>
    <n v="33"/>
  </r>
  <r>
    <x v="784"/>
    <n v="1"/>
    <x v="1"/>
    <n v="41"/>
  </r>
  <r>
    <x v="785"/>
    <n v="1"/>
    <x v="1"/>
    <n v="32"/>
  </r>
  <r>
    <x v="786"/>
    <n v="1"/>
    <x v="1"/>
    <n v="39"/>
  </r>
  <r>
    <x v="787"/>
    <n v="1"/>
    <x v="1"/>
    <n v="54"/>
  </r>
  <r>
    <x v="788"/>
    <n v="1"/>
    <x v="1"/>
    <n v="41"/>
  </r>
  <r>
    <x v="789"/>
    <n v="1"/>
    <x v="1"/>
    <n v="57"/>
  </r>
  <r>
    <x v="790"/>
    <n v="1"/>
    <x v="1"/>
    <n v="33"/>
  </r>
  <r>
    <x v="791"/>
    <n v="1"/>
    <x v="1"/>
    <n v="32"/>
  </r>
  <r>
    <x v="792"/>
    <n v="1"/>
    <x v="1"/>
    <n v="39"/>
  </r>
  <r>
    <x v="793"/>
    <n v="1"/>
    <x v="1"/>
    <n v="61"/>
  </r>
  <r>
    <x v="794"/>
    <n v="1"/>
    <x v="1"/>
    <n v="64"/>
  </r>
  <r>
    <x v="795"/>
    <n v="1"/>
    <x v="1"/>
    <n v="65"/>
  </r>
  <r>
    <x v="796"/>
    <n v="1"/>
    <x v="1"/>
    <n v="61"/>
  </r>
  <r>
    <x v="797"/>
    <n v="1"/>
    <x v="1"/>
    <n v="50"/>
  </r>
  <r>
    <x v="798"/>
    <n v="1"/>
    <x v="1"/>
    <n v="55"/>
  </r>
  <r>
    <x v="799"/>
    <n v="1"/>
    <x v="1"/>
    <n v="45"/>
  </r>
  <r>
    <x v="800"/>
    <n v="1"/>
    <x v="1"/>
    <n v="46"/>
  </r>
  <r>
    <x v="801"/>
    <n v="1"/>
    <x v="1"/>
    <n v="50"/>
  </r>
  <r>
    <x v="802"/>
    <n v="1"/>
    <x v="1"/>
    <n v="63"/>
  </r>
  <r>
    <x v="803"/>
    <n v="1"/>
    <x v="1"/>
    <n v="58"/>
  </r>
  <r>
    <x v="804"/>
    <n v="1"/>
    <x v="1"/>
    <n v="48"/>
  </r>
  <r>
    <x v="805"/>
    <n v="1"/>
    <x v="1"/>
    <n v="39"/>
  </r>
  <r>
    <x v="806"/>
    <n v="1"/>
    <x v="1"/>
    <n v="44"/>
  </r>
  <r>
    <x v="807"/>
    <n v="1"/>
    <x v="1"/>
    <n v="33"/>
  </r>
  <r>
    <x v="808"/>
    <n v="1"/>
    <x v="1"/>
    <n v="61"/>
  </r>
  <r>
    <x v="809"/>
    <n v="1"/>
    <x v="1"/>
    <n v="41"/>
  </r>
  <r>
    <x v="810"/>
    <n v="1"/>
    <x v="1"/>
    <n v="60"/>
  </r>
  <r>
    <x v="811"/>
    <n v="1"/>
    <x v="1"/>
    <n v="45"/>
  </r>
  <r>
    <x v="812"/>
    <n v="1"/>
    <x v="1"/>
    <n v="42"/>
  </r>
  <r>
    <x v="813"/>
    <n v="1"/>
    <x v="1"/>
    <n v="46"/>
  </r>
  <r>
    <x v="814"/>
    <n v="1"/>
    <x v="1"/>
    <n v="42"/>
  </r>
  <r>
    <x v="815"/>
    <n v="1"/>
    <x v="1"/>
    <n v="61"/>
  </r>
  <r>
    <x v="816"/>
    <n v="1"/>
    <x v="1"/>
    <n v="65"/>
  </r>
  <r>
    <x v="817"/>
    <n v="1"/>
    <x v="1"/>
    <n v="55"/>
  </r>
  <r>
    <x v="818"/>
    <n v="1"/>
    <x v="1"/>
    <n v="32"/>
  </r>
  <r>
    <x v="819"/>
    <n v="1"/>
    <x v="1"/>
    <n v="43"/>
  </r>
  <r>
    <x v="820"/>
    <n v="1"/>
    <x v="1"/>
    <n v="48"/>
  </r>
  <r>
    <x v="821"/>
    <n v="1"/>
    <x v="1"/>
    <n v="60"/>
  </r>
  <r>
    <x v="822"/>
    <n v="1"/>
    <x v="1"/>
    <n v="47"/>
  </r>
  <r>
    <x v="823"/>
    <n v="1"/>
    <x v="1"/>
    <n v="64"/>
  </r>
  <r>
    <x v="824"/>
    <n v="1"/>
    <x v="1"/>
    <n v="79"/>
  </r>
  <r>
    <x v="825"/>
    <n v="1"/>
    <x v="1"/>
    <n v="55"/>
  </r>
  <r>
    <x v="826"/>
    <n v="1"/>
    <x v="1"/>
    <n v="51"/>
  </r>
  <r>
    <x v="827"/>
    <n v="1"/>
    <x v="1"/>
    <n v="53"/>
  </r>
  <r>
    <x v="828"/>
    <n v="1"/>
    <x v="1"/>
    <n v="61"/>
  </r>
  <r>
    <x v="829"/>
    <n v="1"/>
    <x v="1"/>
    <n v="53"/>
  </r>
  <r>
    <x v="830"/>
    <n v="1"/>
    <x v="1"/>
    <n v="69"/>
  </r>
  <r>
    <x v="831"/>
    <n v="1"/>
    <x v="1"/>
    <n v="61"/>
  </r>
  <r>
    <x v="832"/>
    <n v="1"/>
    <x v="1"/>
    <n v="39"/>
  </r>
  <r>
    <x v="833"/>
    <n v="1"/>
    <x v="1"/>
    <n v="43"/>
  </r>
  <r>
    <x v="834"/>
    <n v="1"/>
    <x v="1"/>
    <n v="41"/>
  </r>
  <r>
    <x v="835"/>
    <n v="1"/>
    <x v="1"/>
    <n v="69"/>
  </r>
  <r>
    <x v="836"/>
    <n v="1"/>
    <x v="1"/>
    <n v="58"/>
  </r>
  <r>
    <x v="837"/>
    <n v="1"/>
    <x v="1"/>
    <n v="60"/>
  </r>
  <r>
    <x v="838"/>
    <n v="1"/>
    <x v="1"/>
    <n v="65"/>
  </r>
  <r>
    <x v="839"/>
    <n v="1"/>
    <x v="1"/>
    <n v="41"/>
  </r>
  <r>
    <x v="840"/>
    <n v="1"/>
    <x v="1"/>
    <n v="56"/>
  </r>
  <r>
    <x v="841"/>
    <n v="1"/>
    <x v="1"/>
    <n v="49"/>
  </r>
  <r>
    <x v="842"/>
    <n v="1"/>
    <x v="1"/>
    <n v="67"/>
  </r>
  <r>
    <x v="843"/>
    <n v="1"/>
    <x v="1"/>
    <n v="61"/>
  </r>
  <r>
    <x v="844"/>
    <n v="1"/>
    <x v="1"/>
    <n v="70"/>
  </r>
  <r>
    <x v="845"/>
    <n v="1"/>
    <x v="1"/>
    <n v="66"/>
  </r>
  <r>
    <x v="846"/>
    <n v="1"/>
    <x v="1"/>
    <n v="40"/>
  </r>
  <r>
    <x v="847"/>
    <n v="1"/>
    <x v="1"/>
    <n v="57"/>
  </r>
  <r>
    <x v="848"/>
    <n v="1"/>
    <x v="1"/>
    <n v="53"/>
  </r>
  <r>
    <x v="849"/>
    <n v="1"/>
    <x v="1"/>
    <n v="64"/>
  </r>
  <r>
    <x v="850"/>
    <n v="1"/>
    <x v="1"/>
    <n v="62"/>
  </r>
  <r>
    <x v="851"/>
    <n v="1"/>
    <x v="1"/>
    <n v="77"/>
  </r>
  <r>
    <x v="852"/>
    <n v="1"/>
    <x v="1"/>
    <n v="85"/>
  </r>
  <r>
    <x v="853"/>
    <n v="1"/>
    <x v="1"/>
    <n v="51"/>
  </r>
  <r>
    <x v="854"/>
    <n v="1"/>
    <x v="1"/>
    <n v="50"/>
  </r>
  <r>
    <x v="855"/>
    <n v="1"/>
    <x v="1"/>
    <n v="60"/>
  </r>
  <r>
    <x v="856"/>
    <n v="1"/>
    <x v="1"/>
    <n v="69"/>
  </r>
  <r>
    <x v="857"/>
    <n v="1"/>
    <x v="1"/>
    <n v="60"/>
  </r>
  <r>
    <x v="858"/>
    <n v="1"/>
    <x v="1"/>
    <n v="61"/>
  </r>
  <r>
    <x v="859"/>
    <n v="1"/>
    <x v="1"/>
    <n v="78"/>
  </r>
  <r>
    <x v="860"/>
    <n v="1"/>
    <x v="1"/>
    <n v="57"/>
  </r>
  <r>
    <x v="861"/>
    <n v="1"/>
    <x v="1"/>
    <n v="57"/>
  </r>
  <r>
    <x v="862"/>
    <n v="1"/>
    <x v="1"/>
    <n v="58"/>
  </r>
  <r>
    <x v="863"/>
    <n v="1"/>
    <x v="1"/>
    <n v="61"/>
  </r>
  <r>
    <x v="864"/>
    <n v="1"/>
    <x v="1"/>
    <n v="59"/>
  </r>
  <r>
    <x v="865"/>
    <n v="1"/>
    <x v="1"/>
    <n v="77"/>
  </r>
  <r>
    <x v="866"/>
    <n v="1"/>
    <x v="1"/>
    <n v="61"/>
  </r>
  <r>
    <x v="867"/>
    <n v="1"/>
    <x v="1"/>
    <n v="50"/>
  </r>
  <r>
    <x v="868"/>
    <n v="1"/>
    <x v="1"/>
    <n v="58"/>
  </r>
  <r>
    <x v="869"/>
    <n v="1"/>
    <x v="1"/>
    <n v="48"/>
  </r>
  <r>
    <x v="870"/>
    <n v="1"/>
    <x v="1"/>
    <n v="60"/>
  </r>
  <r>
    <x v="871"/>
    <n v="1"/>
    <x v="1"/>
    <n v="68"/>
  </r>
  <r>
    <x v="872"/>
    <n v="1"/>
    <x v="1"/>
    <n v="65"/>
  </r>
  <r>
    <x v="873"/>
    <n v="1"/>
    <x v="1"/>
    <n v="81"/>
  </r>
  <r>
    <x v="874"/>
    <n v="1"/>
    <x v="1"/>
    <n v="44"/>
  </r>
  <r>
    <x v="875"/>
    <n v="1"/>
    <x v="1"/>
    <n v="66"/>
  </r>
  <r>
    <x v="876"/>
    <n v="1"/>
    <x v="1"/>
    <n v="57"/>
  </r>
  <r>
    <x v="877"/>
    <n v="1"/>
    <x v="1"/>
    <n v="72"/>
  </r>
  <r>
    <x v="878"/>
    <n v="1"/>
    <x v="1"/>
    <n v="45"/>
  </r>
  <r>
    <x v="879"/>
    <n v="1"/>
    <x v="1"/>
    <n v="65"/>
  </r>
  <r>
    <x v="880"/>
    <n v="1"/>
    <x v="1"/>
    <n v="79"/>
  </r>
  <r>
    <x v="881"/>
    <n v="1"/>
    <x v="1"/>
    <n v="49"/>
  </r>
  <r>
    <x v="882"/>
    <n v="1"/>
    <x v="1"/>
    <n v="55"/>
  </r>
  <r>
    <x v="883"/>
    <n v="1"/>
    <x v="1"/>
    <n v="56"/>
  </r>
  <r>
    <x v="884"/>
    <n v="1"/>
    <x v="1"/>
    <n v="66"/>
  </r>
  <r>
    <x v="885"/>
    <n v="1"/>
    <x v="1"/>
    <n v="65"/>
  </r>
  <r>
    <x v="886"/>
    <n v="1"/>
    <x v="1"/>
    <n v="82"/>
  </r>
  <r>
    <x v="887"/>
    <n v="1"/>
    <x v="1"/>
    <n v="76"/>
  </r>
  <r>
    <x v="888"/>
    <n v="1"/>
    <x v="1"/>
    <n v="44"/>
  </r>
  <r>
    <x v="889"/>
    <n v="1"/>
    <x v="1"/>
    <n v="62"/>
  </r>
  <r>
    <x v="890"/>
    <n v="1"/>
    <x v="1"/>
    <n v="61"/>
  </r>
  <r>
    <x v="891"/>
    <n v="1"/>
    <x v="1"/>
    <n v="38"/>
  </r>
  <r>
    <x v="892"/>
    <n v="1"/>
    <x v="1"/>
    <n v="55"/>
  </r>
  <r>
    <x v="893"/>
    <n v="1"/>
    <x v="1"/>
    <n v="71"/>
  </r>
  <r>
    <x v="894"/>
    <n v="1"/>
    <x v="1"/>
    <n v="76"/>
  </r>
  <r>
    <x v="895"/>
    <n v="1"/>
    <x v="1"/>
    <n v="45"/>
  </r>
  <r>
    <x v="896"/>
    <n v="1"/>
    <x v="1"/>
    <n v="46"/>
  </r>
  <r>
    <x v="897"/>
    <n v="1"/>
    <x v="1"/>
    <n v="78"/>
  </r>
  <r>
    <x v="898"/>
    <n v="1"/>
    <x v="1"/>
    <n v="53"/>
  </r>
  <r>
    <x v="899"/>
    <n v="1"/>
    <x v="1"/>
    <n v="68"/>
  </r>
  <r>
    <x v="900"/>
    <n v="1"/>
    <x v="1"/>
    <n v="71"/>
  </r>
  <r>
    <x v="901"/>
    <n v="1"/>
    <x v="1"/>
    <n v="69"/>
  </r>
  <r>
    <x v="902"/>
    <n v="1"/>
    <x v="1"/>
    <n v="60"/>
  </r>
  <r>
    <x v="903"/>
    <n v="1"/>
    <x v="1"/>
    <n v="50"/>
  </r>
  <r>
    <x v="904"/>
    <n v="1"/>
    <x v="1"/>
    <n v="65"/>
  </r>
  <r>
    <x v="905"/>
    <n v="1"/>
    <x v="1"/>
    <n v="52"/>
  </r>
  <r>
    <x v="906"/>
    <n v="1"/>
    <x v="1"/>
    <n v="48"/>
  </r>
  <r>
    <x v="907"/>
    <n v="1"/>
    <x v="1"/>
    <n v="55"/>
  </r>
  <r>
    <x v="908"/>
    <n v="1"/>
    <x v="1"/>
    <n v="74"/>
  </r>
  <r>
    <x v="909"/>
    <n v="1"/>
    <x v="1"/>
    <n v="67"/>
  </r>
  <r>
    <x v="910"/>
    <n v="1"/>
    <x v="1"/>
    <n v="71"/>
  </r>
  <r>
    <x v="911"/>
    <n v="1"/>
    <x v="1"/>
    <n v="48"/>
  </r>
  <r>
    <x v="912"/>
    <n v="1"/>
    <x v="1"/>
    <n v="65"/>
  </r>
  <r>
    <x v="913"/>
    <n v="1"/>
    <x v="1"/>
    <n v="62"/>
  </r>
  <r>
    <x v="914"/>
    <n v="1"/>
    <x v="1"/>
    <n v="90"/>
  </r>
  <r>
    <x v="915"/>
    <n v="1"/>
    <x v="1"/>
    <n v="84"/>
  </r>
  <r>
    <x v="916"/>
    <n v="1"/>
    <x v="1"/>
    <n v="43"/>
  </r>
  <r>
    <x v="917"/>
    <n v="1"/>
    <x v="1"/>
    <n v="62"/>
  </r>
  <r>
    <x v="918"/>
    <n v="1"/>
    <x v="1"/>
    <n v="57"/>
  </r>
  <r>
    <x v="919"/>
    <n v="1"/>
    <x v="1"/>
    <n v="74"/>
  </r>
  <r>
    <x v="920"/>
    <n v="1"/>
    <x v="1"/>
    <n v="60"/>
  </r>
  <r>
    <x v="921"/>
    <n v="1"/>
    <x v="1"/>
    <n v="67"/>
  </r>
  <r>
    <x v="922"/>
    <n v="1"/>
    <x v="1"/>
    <n v="59"/>
  </r>
  <r>
    <x v="923"/>
    <n v="1"/>
    <x v="1"/>
    <n v="53"/>
  </r>
  <r>
    <x v="924"/>
    <n v="1"/>
    <x v="1"/>
    <n v="54"/>
  </r>
  <r>
    <x v="925"/>
    <n v="1"/>
    <x v="1"/>
    <n v="72"/>
  </r>
  <r>
    <x v="926"/>
    <n v="1"/>
    <x v="1"/>
    <n v="62"/>
  </r>
  <r>
    <x v="927"/>
    <n v="1"/>
    <x v="1"/>
    <n v="76"/>
  </r>
  <r>
    <x v="928"/>
    <n v="1"/>
    <x v="1"/>
    <n v="71"/>
  </r>
  <r>
    <x v="929"/>
    <n v="1"/>
    <x v="1"/>
    <n v="76"/>
  </r>
  <r>
    <x v="930"/>
    <n v="1"/>
    <x v="1"/>
    <n v="41"/>
  </r>
  <r>
    <x v="931"/>
    <n v="1"/>
    <x v="1"/>
    <n v="60"/>
  </r>
  <r>
    <x v="932"/>
    <n v="1"/>
    <x v="1"/>
    <n v="57"/>
  </r>
  <r>
    <x v="933"/>
    <n v="1"/>
    <x v="1"/>
    <n v="44"/>
  </r>
  <r>
    <x v="934"/>
    <n v="1"/>
    <x v="1"/>
    <n v="68"/>
  </r>
  <r>
    <x v="935"/>
    <n v="1"/>
    <x v="1"/>
    <n v="72"/>
  </r>
  <r>
    <x v="936"/>
    <n v="1"/>
    <x v="1"/>
    <n v="65"/>
  </r>
  <r>
    <x v="937"/>
    <n v="1"/>
    <x v="1"/>
    <n v="47"/>
  </r>
  <r>
    <x v="938"/>
    <n v="1"/>
    <x v="1"/>
    <n v="67"/>
  </r>
  <r>
    <x v="939"/>
    <n v="1"/>
    <x v="1"/>
    <n v="53"/>
  </r>
  <r>
    <x v="940"/>
    <n v="1"/>
    <x v="1"/>
    <n v="78"/>
  </r>
  <r>
    <x v="941"/>
    <n v="1"/>
    <x v="1"/>
    <n v="80"/>
  </r>
  <r>
    <x v="942"/>
    <n v="1"/>
    <x v="1"/>
    <n v="64"/>
  </r>
  <r>
    <x v="943"/>
    <n v="1"/>
    <x v="1"/>
    <n v="82"/>
  </r>
  <r>
    <x v="944"/>
    <n v="1"/>
    <x v="1"/>
    <n v="44"/>
  </r>
  <r>
    <x v="945"/>
    <n v="1"/>
    <x v="1"/>
    <n v="58"/>
  </r>
  <r>
    <x v="946"/>
    <n v="1"/>
    <x v="1"/>
    <n v="54"/>
  </r>
  <r>
    <x v="947"/>
    <n v="1"/>
    <x v="1"/>
    <n v="65"/>
  </r>
  <r>
    <x v="948"/>
    <n v="1"/>
    <x v="1"/>
    <n v="74"/>
  </r>
  <r>
    <x v="949"/>
    <n v="1"/>
    <x v="1"/>
    <n v="58"/>
  </r>
  <r>
    <x v="950"/>
    <n v="1"/>
    <x v="1"/>
    <n v="69"/>
  </r>
  <r>
    <x v="951"/>
    <n v="1"/>
    <x v="1"/>
    <n v="45"/>
  </r>
  <r>
    <x v="952"/>
    <n v="1"/>
    <x v="1"/>
    <n v="56"/>
  </r>
  <r>
    <x v="953"/>
    <n v="1"/>
    <x v="1"/>
    <n v="59"/>
  </r>
  <r>
    <x v="954"/>
    <n v="1"/>
    <x v="1"/>
    <n v="63"/>
  </r>
  <r>
    <x v="955"/>
    <n v="1"/>
    <x v="1"/>
    <n v="70"/>
  </r>
  <r>
    <x v="956"/>
    <n v="1"/>
    <x v="1"/>
    <n v="67"/>
  </r>
  <r>
    <x v="957"/>
    <n v="1"/>
    <x v="1"/>
    <n v="66"/>
  </r>
  <r>
    <x v="958"/>
    <n v="1"/>
    <x v="1"/>
    <n v="54"/>
  </r>
  <r>
    <x v="959"/>
    <n v="1"/>
    <x v="1"/>
    <n v="50"/>
  </r>
  <r>
    <x v="960"/>
    <n v="1"/>
    <x v="1"/>
    <n v="62"/>
  </r>
  <r>
    <x v="961"/>
    <n v="1"/>
    <x v="1"/>
    <n v="48"/>
  </r>
  <r>
    <x v="962"/>
    <n v="1"/>
    <x v="1"/>
    <n v="76"/>
  </r>
  <r>
    <x v="963"/>
    <n v="1"/>
    <x v="1"/>
    <n v="75"/>
  </r>
  <r>
    <x v="964"/>
    <n v="1"/>
    <x v="1"/>
    <n v="73"/>
  </r>
  <r>
    <x v="965"/>
    <n v="1"/>
    <x v="1"/>
    <n v="46"/>
  </r>
  <r>
    <x v="966"/>
    <n v="1"/>
    <x v="1"/>
    <n v="54"/>
  </r>
  <r>
    <x v="967"/>
    <n v="1"/>
    <x v="1"/>
    <n v="66"/>
  </r>
  <r>
    <x v="968"/>
    <n v="1"/>
    <x v="1"/>
    <n v="68"/>
  </r>
  <r>
    <x v="969"/>
    <n v="1"/>
    <x v="1"/>
    <n v="73"/>
  </r>
  <r>
    <x v="970"/>
    <n v="1"/>
    <x v="1"/>
    <n v="63"/>
  </r>
  <r>
    <x v="971"/>
    <n v="1"/>
    <x v="1"/>
    <n v="66"/>
  </r>
  <r>
    <x v="972"/>
    <n v="1"/>
    <x v="1"/>
    <n v="47"/>
  </r>
  <r>
    <x v="973"/>
    <n v="1"/>
    <x v="1"/>
    <n v="54"/>
  </r>
  <r>
    <x v="974"/>
    <n v="1"/>
    <x v="1"/>
    <n v="55"/>
  </r>
  <r>
    <x v="975"/>
    <n v="1"/>
    <x v="1"/>
    <n v="49"/>
  </r>
  <r>
    <x v="976"/>
    <n v="1"/>
    <x v="1"/>
    <n v="58"/>
  </r>
  <r>
    <x v="977"/>
    <n v="1"/>
    <x v="1"/>
    <n v="65"/>
  </r>
  <r>
    <x v="978"/>
    <n v="1"/>
    <x v="1"/>
    <n v="67"/>
  </r>
  <r>
    <x v="979"/>
    <n v="1"/>
    <x v="1"/>
    <n v="46"/>
  </r>
  <r>
    <x v="980"/>
    <n v="1"/>
    <x v="1"/>
    <n v="37"/>
  </r>
  <r>
    <x v="981"/>
    <n v="1"/>
    <x v="1"/>
    <n v="44"/>
  </r>
  <r>
    <x v="982"/>
    <n v="1"/>
    <x v="1"/>
    <n v="53"/>
  </r>
  <r>
    <x v="983"/>
    <n v="1"/>
    <x v="1"/>
    <n v="63"/>
  </r>
  <r>
    <x v="984"/>
    <n v="1"/>
    <x v="1"/>
    <n v="74"/>
  </r>
  <r>
    <x v="985"/>
    <n v="1"/>
    <x v="1"/>
    <n v="64"/>
  </r>
  <r>
    <x v="986"/>
    <n v="1"/>
    <x v="1"/>
    <n v="37"/>
  </r>
  <r>
    <x v="987"/>
    <n v="1"/>
    <x v="1"/>
    <n v="42"/>
  </r>
  <r>
    <x v="988"/>
    <n v="1"/>
    <x v="1"/>
    <n v="55"/>
  </r>
  <r>
    <x v="989"/>
    <n v="1"/>
    <x v="1"/>
    <n v="47"/>
  </r>
  <r>
    <x v="990"/>
    <n v="1"/>
    <x v="1"/>
    <n v="68"/>
  </r>
  <r>
    <x v="991"/>
    <n v="1"/>
    <x v="1"/>
    <n v="61"/>
  </r>
  <r>
    <x v="992"/>
    <n v="1"/>
    <x v="1"/>
    <n v="44"/>
  </r>
  <r>
    <x v="993"/>
    <n v="1"/>
    <x v="1"/>
    <n v="43"/>
  </r>
  <r>
    <x v="994"/>
    <n v="1"/>
    <x v="1"/>
    <n v="55"/>
  </r>
  <r>
    <x v="995"/>
    <n v="1"/>
    <x v="1"/>
    <n v="48"/>
  </r>
  <r>
    <x v="996"/>
    <n v="1"/>
    <x v="1"/>
    <n v="50"/>
  </r>
  <r>
    <x v="997"/>
    <n v="1"/>
    <x v="1"/>
    <n v="50"/>
  </r>
  <r>
    <x v="998"/>
    <n v="1"/>
    <x v="1"/>
    <n v="68"/>
  </r>
  <r>
    <x v="999"/>
    <n v="1"/>
    <x v="1"/>
    <n v="67"/>
  </r>
  <r>
    <x v="1000"/>
    <n v="1"/>
    <x v="1"/>
    <n v="46"/>
  </r>
  <r>
    <x v="1001"/>
    <n v="1"/>
    <x v="1"/>
    <n v="51"/>
  </r>
  <r>
    <x v="1002"/>
    <n v="1"/>
    <x v="1"/>
    <n v="64"/>
  </r>
  <r>
    <x v="1003"/>
    <n v="1"/>
    <x v="1"/>
    <n v="47"/>
  </r>
  <r>
    <x v="1004"/>
    <n v="1"/>
    <x v="1"/>
    <n v="53"/>
  </r>
  <r>
    <x v="1005"/>
    <n v="1"/>
    <x v="1"/>
    <n v="66"/>
  </r>
  <r>
    <x v="1006"/>
    <n v="1"/>
    <x v="1"/>
    <n v="64"/>
  </r>
  <r>
    <x v="1007"/>
    <n v="1"/>
    <x v="1"/>
    <n v="48"/>
  </r>
  <r>
    <x v="1008"/>
    <n v="1"/>
    <x v="1"/>
    <n v="39"/>
  </r>
  <r>
    <x v="1009"/>
    <n v="1"/>
    <x v="1"/>
    <n v="42"/>
  </r>
  <r>
    <x v="1010"/>
    <n v="1"/>
    <x v="1"/>
    <n v="45"/>
  </r>
  <r>
    <x v="1011"/>
    <n v="1"/>
    <x v="1"/>
    <n v="56"/>
  </r>
  <r>
    <x v="1012"/>
    <n v="1"/>
    <x v="1"/>
    <n v="46"/>
  </r>
  <r>
    <x v="1013"/>
    <n v="1"/>
    <x v="1"/>
    <n v="81"/>
  </r>
  <r>
    <x v="1014"/>
    <n v="1"/>
    <x v="1"/>
    <n v="38"/>
  </r>
  <r>
    <x v="1015"/>
    <n v="1"/>
    <x v="1"/>
    <n v="46"/>
  </r>
  <r>
    <x v="1016"/>
    <n v="1"/>
    <x v="1"/>
    <n v="40"/>
  </r>
  <r>
    <x v="1017"/>
    <n v="1"/>
    <x v="1"/>
    <n v="59"/>
  </r>
  <r>
    <x v="1018"/>
    <n v="1"/>
    <x v="1"/>
    <n v="55"/>
  </r>
  <r>
    <x v="1019"/>
    <n v="1"/>
    <x v="1"/>
    <n v="69"/>
  </r>
  <r>
    <x v="1020"/>
    <n v="1"/>
    <x v="1"/>
    <n v="71"/>
  </r>
  <r>
    <x v="1021"/>
    <n v="1"/>
    <x v="1"/>
    <n v="45"/>
  </r>
  <r>
    <x v="1022"/>
    <n v="1"/>
    <x v="1"/>
    <n v="54"/>
  </r>
  <r>
    <x v="1023"/>
    <n v="1"/>
    <x v="1"/>
    <n v="46"/>
  </r>
  <r>
    <x v="1024"/>
    <n v="1"/>
    <x v="1"/>
    <n v="68"/>
  </r>
  <r>
    <x v="1025"/>
    <n v="1"/>
    <x v="1"/>
    <n v="46"/>
  </r>
  <r>
    <x v="1026"/>
    <n v="1"/>
    <x v="1"/>
    <n v="62"/>
  </r>
  <r>
    <x v="1027"/>
    <n v="1"/>
    <x v="1"/>
    <n v="55"/>
  </r>
  <r>
    <x v="1028"/>
    <n v="1"/>
    <x v="1"/>
    <n v="36"/>
  </r>
  <r>
    <x v="1029"/>
    <n v="1"/>
    <x v="1"/>
    <n v="50"/>
  </r>
  <r>
    <x v="1030"/>
    <n v="1"/>
    <x v="1"/>
    <n v="35"/>
  </r>
  <r>
    <x v="1031"/>
    <n v="1"/>
    <x v="1"/>
    <n v="44"/>
  </r>
  <r>
    <x v="1032"/>
    <n v="1"/>
    <x v="1"/>
    <n v="59"/>
  </r>
  <r>
    <x v="1033"/>
    <n v="1"/>
    <x v="1"/>
    <n v="57"/>
  </r>
  <r>
    <x v="1034"/>
    <n v="1"/>
    <x v="1"/>
    <n v="68"/>
  </r>
  <r>
    <x v="1035"/>
    <n v="1"/>
    <x v="1"/>
    <n v="42"/>
  </r>
  <r>
    <x v="1036"/>
    <n v="1"/>
    <x v="1"/>
    <n v="56"/>
  </r>
  <r>
    <x v="1037"/>
    <n v="1"/>
    <x v="1"/>
    <n v="65"/>
  </r>
  <r>
    <x v="1038"/>
    <n v="1"/>
    <x v="1"/>
    <n v="54"/>
  </r>
  <r>
    <x v="1039"/>
    <n v="1"/>
    <x v="1"/>
    <n v="67"/>
  </r>
  <r>
    <x v="1040"/>
    <n v="1"/>
    <x v="1"/>
    <n v="55"/>
  </r>
  <r>
    <x v="1041"/>
    <n v="1"/>
    <x v="1"/>
    <n v="68"/>
  </r>
  <r>
    <x v="1042"/>
    <n v="1"/>
    <x v="1"/>
    <n v="35"/>
  </r>
  <r>
    <x v="1043"/>
    <n v="1"/>
    <x v="1"/>
    <n v="53"/>
  </r>
  <r>
    <x v="1044"/>
    <n v="1"/>
    <x v="1"/>
    <n v="58"/>
  </r>
  <r>
    <x v="1045"/>
    <n v="1"/>
    <x v="1"/>
    <n v="55"/>
  </r>
  <r>
    <x v="1046"/>
    <n v="1"/>
    <x v="1"/>
    <n v="54"/>
  </r>
  <r>
    <x v="1047"/>
    <n v="1"/>
    <x v="1"/>
    <n v="51"/>
  </r>
  <r>
    <x v="1048"/>
    <n v="1"/>
    <x v="1"/>
    <n v="68"/>
  </r>
  <r>
    <x v="1049"/>
    <n v="1"/>
    <x v="1"/>
    <n v="47"/>
  </r>
  <r>
    <x v="1050"/>
    <n v="1"/>
    <x v="1"/>
    <n v="52"/>
  </r>
  <r>
    <x v="1051"/>
    <n v="1"/>
    <x v="1"/>
    <n v="62"/>
  </r>
  <r>
    <x v="1052"/>
    <n v="1"/>
    <x v="1"/>
    <n v="67"/>
  </r>
  <r>
    <x v="1053"/>
    <n v="1"/>
    <x v="1"/>
    <n v="51"/>
  </r>
  <r>
    <x v="1054"/>
    <n v="1"/>
    <x v="1"/>
    <n v="54"/>
  </r>
  <r>
    <x v="1055"/>
    <n v="1"/>
    <x v="1"/>
    <n v="66"/>
  </r>
  <r>
    <x v="1056"/>
    <n v="1"/>
    <x v="1"/>
    <n v="44"/>
  </r>
  <r>
    <x v="1057"/>
    <n v="1"/>
    <x v="1"/>
    <n v="53"/>
  </r>
  <r>
    <x v="1058"/>
    <n v="1"/>
    <x v="1"/>
    <n v="50"/>
  </r>
  <r>
    <x v="1059"/>
    <n v="1"/>
    <x v="1"/>
    <n v="60"/>
  </r>
  <r>
    <x v="1060"/>
    <n v="1"/>
    <x v="1"/>
    <n v="55"/>
  </r>
  <r>
    <x v="1061"/>
    <n v="1"/>
    <x v="1"/>
    <n v="69"/>
  </r>
  <r>
    <x v="1062"/>
    <n v="1"/>
    <x v="1"/>
    <n v="62"/>
  </r>
  <r>
    <x v="1063"/>
    <n v="1"/>
    <x v="1"/>
    <n v="39"/>
  </r>
  <r>
    <x v="1064"/>
    <n v="1"/>
    <x v="1"/>
    <n v="42"/>
  </r>
  <r>
    <x v="1065"/>
    <n v="1"/>
    <x v="1"/>
    <n v="32"/>
  </r>
  <r>
    <x v="1066"/>
    <n v="1"/>
    <x v="1"/>
    <n v="43"/>
  </r>
  <r>
    <x v="1067"/>
    <n v="1"/>
    <x v="1"/>
    <n v="42"/>
  </r>
  <r>
    <x v="1068"/>
    <n v="1"/>
    <x v="1"/>
    <n v="50"/>
  </r>
  <r>
    <x v="1069"/>
    <n v="1"/>
    <x v="1"/>
    <n v="54"/>
  </r>
  <r>
    <x v="1070"/>
    <n v="1"/>
    <x v="1"/>
    <n v="34"/>
  </r>
  <r>
    <x v="1071"/>
    <n v="1"/>
    <x v="1"/>
    <n v="38"/>
  </r>
  <r>
    <x v="1072"/>
    <n v="1"/>
    <x v="1"/>
    <n v="33"/>
  </r>
  <r>
    <x v="1073"/>
    <n v="1"/>
    <x v="1"/>
    <n v="43"/>
  </r>
  <r>
    <x v="1074"/>
    <n v="1"/>
    <x v="1"/>
    <n v="37"/>
  </r>
  <r>
    <x v="1075"/>
    <n v="1"/>
    <x v="1"/>
    <n v="38"/>
  </r>
  <r>
    <x v="1076"/>
    <n v="1"/>
    <x v="1"/>
    <n v="46"/>
  </r>
  <r>
    <x v="1077"/>
    <n v="1"/>
    <x v="1"/>
    <n v="23"/>
  </r>
  <r>
    <x v="1078"/>
    <n v="1"/>
    <x v="1"/>
    <n v="36"/>
  </r>
  <r>
    <x v="1079"/>
    <n v="1"/>
    <x v="1"/>
    <n v="42"/>
  </r>
  <r>
    <x v="1080"/>
    <n v="1"/>
    <x v="1"/>
    <n v="37"/>
  </r>
  <r>
    <x v="1081"/>
    <n v="1"/>
    <x v="1"/>
    <n v="36"/>
  </r>
  <r>
    <x v="1082"/>
    <n v="1"/>
    <x v="1"/>
    <n v="48"/>
  </r>
  <r>
    <x v="1083"/>
    <n v="1"/>
    <x v="1"/>
    <n v="47"/>
  </r>
  <r>
    <x v="1084"/>
    <n v="1"/>
    <x v="1"/>
    <n v="33"/>
  </r>
  <r>
    <x v="1085"/>
    <n v="1"/>
    <x v="1"/>
    <n v="22"/>
  </r>
  <r>
    <x v="1086"/>
    <n v="1"/>
    <x v="1"/>
    <n v="41"/>
  </r>
  <r>
    <x v="1087"/>
    <n v="1"/>
    <x v="1"/>
    <n v="31"/>
  </r>
  <r>
    <x v="1088"/>
    <n v="1"/>
    <x v="1"/>
    <n v="37"/>
  </r>
  <r>
    <x v="1089"/>
    <n v="1"/>
    <x v="1"/>
    <n v="59"/>
  </r>
  <r>
    <x v="1090"/>
    <n v="1"/>
    <x v="1"/>
    <n v="55"/>
  </r>
  <r>
    <x v="1091"/>
    <n v="1"/>
    <x v="1"/>
    <n v="35"/>
  </r>
  <r>
    <x v="1092"/>
    <n v="1"/>
    <x v="1"/>
    <n v="43"/>
  </r>
  <r>
    <x v="1093"/>
    <n v="1"/>
    <x v="1"/>
    <n v="34"/>
  </r>
  <r>
    <x v="1094"/>
    <n v="1"/>
    <x v="1"/>
    <n v="36"/>
  </r>
  <r>
    <x v="1095"/>
    <n v="1"/>
    <x v="1"/>
    <n v="32"/>
  </r>
  <r>
    <x v="1096"/>
    <n v="1"/>
    <x v="1"/>
    <n v="43"/>
  </r>
  <r>
    <x v="1097"/>
    <n v="1"/>
    <x v="1"/>
    <n v="47"/>
  </r>
  <r>
    <x v="1098"/>
    <n v="1"/>
    <x v="1"/>
    <n v="22"/>
  </r>
  <r>
    <x v="1099"/>
    <n v="1"/>
    <x v="1"/>
    <n v="34"/>
  </r>
  <r>
    <x v="1100"/>
    <n v="1"/>
    <x v="1"/>
    <n v="38"/>
  </r>
  <r>
    <x v="1101"/>
    <n v="1"/>
    <x v="1"/>
    <n v="45"/>
  </r>
  <r>
    <x v="1102"/>
    <n v="1"/>
    <x v="1"/>
    <n v="34"/>
  </r>
  <r>
    <x v="1103"/>
    <n v="1"/>
    <x v="1"/>
    <n v="52"/>
  </r>
  <r>
    <x v="1104"/>
    <n v="1"/>
    <x v="1"/>
    <n v="44"/>
  </r>
  <r>
    <x v="1105"/>
    <n v="1"/>
    <x v="1"/>
    <n v="33"/>
  </r>
  <r>
    <x v="1106"/>
    <n v="1"/>
    <x v="1"/>
    <n v="52"/>
  </r>
  <r>
    <x v="1107"/>
    <n v="1"/>
    <x v="1"/>
    <n v="36"/>
  </r>
  <r>
    <x v="1108"/>
    <n v="1"/>
    <x v="1"/>
    <n v="45"/>
  </r>
  <r>
    <x v="1109"/>
    <n v="1"/>
    <x v="1"/>
    <n v="48"/>
  </r>
  <r>
    <x v="1110"/>
    <n v="1"/>
    <x v="1"/>
    <n v="35"/>
  </r>
  <r>
    <x v="1111"/>
    <n v="1"/>
    <x v="1"/>
    <n v="54"/>
  </r>
  <r>
    <x v="1112"/>
    <n v="1"/>
    <x v="1"/>
    <n v="30"/>
  </r>
  <r>
    <x v="1113"/>
    <n v="1"/>
    <x v="1"/>
    <n v="23"/>
  </r>
  <r>
    <x v="1114"/>
    <n v="1"/>
    <x v="1"/>
    <n v="41"/>
  </r>
  <r>
    <x v="1115"/>
    <n v="1"/>
    <x v="1"/>
    <n v="48"/>
  </r>
  <r>
    <x v="1116"/>
    <n v="1"/>
    <x v="1"/>
    <n v="48"/>
  </r>
  <r>
    <x v="1117"/>
    <n v="1"/>
    <x v="1"/>
    <n v="48"/>
  </r>
  <r>
    <x v="1118"/>
    <n v="1"/>
    <x v="1"/>
    <n v="48"/>
  </r>
  <r>
    <x v="1119"/>
    <n v="1"/>
    <x v="1"/>
    <n v="38"/>
  </r>
  <r>
    <x v="1120"/>
    <n v="1"/>
    <x v="1"/>
    <n v="38"/>
  </r>
  <r>
    <x v="1121"/>
    <n v="1"/>
    <x v="1"/>
    <n v="31"/>
  </r>
  <r>
    <x v="1122"/>
    <n v="1"/>
    <x v="1"/>
    <n v="35"/>
  </r>
  <r>
    <x v="1123"/>
    <n v="1"/>
    <x v="1"/>
    <n v="40"/>
  </r>
  <r>
    <x v="1124"/>
    <n v="1"/>
    <x v="1"/>
    <n v="42"/>
  </r>
  <r>
    <x v="1125"/>
    <n v="1"/>
    <x v="1"/>
    <n v="44"/>
  </r>
  <r>
    <x v="1126"/>
    <n v="1"/>
    <x v="1"/>
    <n v="53"/>
  </r>
  <r>
    <x v="1127"/>
    <n v="1"/>
    <x v="1"/>
    <n v="34"/>
  </r>
  <r>
    <x v="1128"/>
    <n v="1"/>
    <x v="1"/>
    <n v="52"/>
  </r>
  <r>
    <x v="1129"/>
    <n v="1"/>
    <x v="1"/>
    <n v="45"/>
  </r>
  <r>
    <x v="1130"/>
    <n v="1"/>
    <x v="1"/>
    <n v="49"/>
  </r>
  <r>
    <x v="1131"/>
    <n v="1"/>
    <x v="1"/>
    <n v="48"/>
  </r>
  <r>
    <x v="1132"/>
    <n v="1"/>
    <x v="1"/>
    <n v="55"/>
  </r>
  <r>
    <x v="1133"/>
    <n v="1"/>
    <x v="1"/>
    <n v="30"/>
  </r>
  <r>
    <x v="1134"/>
    <n v="1"/>
    <x v="1"/>
    <n v="45"/>
  </r>
  <r>
    <x v="1135"/>
    <n v="1"/>
    <x v="1"/>
    <n v="41"/>
  </r>
  <r>
    <x v="1136"/>
    <n v="1"/>
    <x v="1"/>
    <n v="52"/>
  </r>
  <r>
    <x v="1137"/>
    <n v="1"/>
    <x v="1"/>
    <n v="46"/>
  </r>
  <r>
    <x v="1138"/>
    <n v="1"/>
    <x v="1"/>
    <n v="44"/>
  </r>
  <r>
    <x v="1139"/>
    <n v="1"/>
    <x v="1"/>
    <n v="44"/>
  </r>
  <r>
    <x v="1140"/>
    <n v="1"/>
    <x v="1"/>
    <n v="33"/>
  </r>
  <r>
    <x v="1141"/>
    <n v="1"/>
    <x v="1"/>
    <n v="39"/>
  </r>
  <r>
    <x v="1142"/>
    <n v="1"/>
    <x v="1"/>
    <n v="45"/>
  </r>
  <r>
    <x v="1143"/>
    <n v="1"/>
    <x v="1"/>
    <n v="56"/>
  </r>
  <r>
    <x v="1144"/>
    <n v="1"/>
    <x v="1"/>
    <n v="46"/>
  </r>
  <r>
    <x v="1145"/>
    <n v="1"/>
    <x v="1"/>
    <n v="43"/>
  </r>
  <r>
    <x v="1146"/>
    <n v="1"/>
    <x v="1"/>
    <n v="49"/>
  </r>
  <r>
    <x v="1147"/>
    <n v="1"/>
    <x v="1"/>
    <n v="41"/>
  </r>
  <r>
    <x v="1148"/>
    <n v="1"/>
    <x v="1"/>
    <n v="44"/>
  </r>
  <r>
    <x v="1149"/>
    <n v="1"/>
    <x v="1"/>
    <n v="28"/>
  </r>
  <r>
    <x v="1150"/>
    <n v="1"/>
    <x v="1"/>
    <n v="48"/>
  </r>
  <r>
    <x v="1151"/>
    <n v="1"/>
    <x v="1"/>
    <n v="41"/>
  </r>
  <r>
    <x v="1152"/>
    <n v="1"/>
    <x v="1"/>
    <n v="43"/>
  </r>
  <r>
    <x v="1153"/>
    <n v="1"/>
    <x v="1"/>
    <n v="41"/>
  </r>
  <r>
    <x v="1154"/>
    <n v="1"/>
    <x v="1"/>
    <n v="35"/>
  </r>
  <r>
    <x v="1155"/>
    <n v="1"/>
    <x v="1"/>
    <n v="57"/>
  </r>
  <r>
    <x v="1156"/>
    <n v="1"/>
    <x v="1"/>
    <n v="45"/>
  </r>
  <r>
    <x v="1157"/>
    <n v="1"/>
    <x v="1"/>
    <n v="58"/>
  </r>
  <r>
    <x v="1158"/>
    <n v="1"/>
    <x v="1"/>
    <n v="61"/>
  </r>
  <r>
    <x v="1159"/>
    <n v="1"/>
    <x v="1"/>
    <n v="71"/>
  </r>
  <r>
    <x v="1160"/>
    <n v="1"/>
    <x v="1"/>
    <n v="66"/>
  </r>
  <r>
    <x v="1161"/>
    <n v="1"/>
    <x v="1"/>
    <n v="44"/>
  </r>
  <r>
    <x v="1162"/>
    <n v="1"/>
    <x v="1"/>
    <n v="35"/>
  </r>
  <r>
    <x v="1163"/>
    <n v="1"/>
    <x v="1"/>
    <n v="54"/>
  </r>
  <r>
    <x v="1164"/>
    <n v="1"/>
    <x v="1"/>
    <n v="42"/>
  </r>
  <r>
    <x v="1165"/>
    <n v="1"/>
    <x v="1"/>
    <n v="44"/>
  </r>
  <r>
    <x v="1166"/>
    <n v="1"/>
    <x v="1"/>
    <n v="61"/>
  </r>
  <r>
    <x v="1167"/>
    <n v="1"/>
    <x v="1"/>
    <n v="59"/>
  </r>
  <r>
    <x v="1168"/>
    <n v="1"/>
    <x v="1"/>
    <n v="43"/>
  </r>
  <r>
    <x v="1169"/>
    <n v="1"/>
    <x v="1"/>
    <n v="44"/>
  </r>
  <r>
    <x v="1170"/>
    <n v="1"/>
    <x v="1"/>
    <n v="46"/>
  </r>
  <r>
    <x v="1171"/>
    <n v="1"/>
    <x v="1"/>
    <n v="54"/>
  </r>
  <r>
    <x v="1172"/>
    <n v="1"/>
    <x v="1"/>
    <n v="62"/>
  </r>
  <r>
    <x v="1173"/>
    <n v="1"/>
    <x v="1"/>
    <n v="53"/>
  </r>
  <r>
    <x v="1174"/>
    <n v="1"/>
    <x v="1"/>
    <n v="63"/>
  </r>
  <r>
    <x v="1175"/>
    <n v="1"/>
    <x v="1"/>
    <n v="39"/>
  </r>
  <r>
    <x v="1176"/>
    <n v="1"/>
    <x v="1"/>
    <n v="52"/>
  </r>
  <r>
    <x v="1177"/>
    <n v="1"/>
    <x v="1"/>
    <n v="49"/>
  </r>
  <r>
    <x v="1178"/>
    <n v="1"/>
    <x v="1"/>
    <n v="54"/>
  </r>
  <r>
    <x v="1179"/>
    <n v="1"/>
    <x v="1"/>
    <n v="61"/>
  </r>
  <r>
    <x v="1180"/>
    <n v="1"/>
    <x v="1"/>
    <n v="53"/>
  </r>
  <r>
    <x v="1181"/>
    <n v="1"/>
    <x v="1"/>
    <n v="66"/>
  </r>
  <r>
    <x v="1182"/>
    <n v="1"/>
    <x v="1"/>
    <n v="39"/>
  </r>
  <r>
    <x v="1183"/>
    <n v="1"/>
    <x v="1"/>
    <n v="47"/>
  </r>
  <r>
    <x v="1184"/>
    <n v="1"/>
    <x v="1"/>
    <n v="49"/>
  </r>
  <r>
    <x v="1185"/>
    <n v="1"/>
    <x v="1"/>
    <n v="57"/>
  </r>
  <r>
    <x v="1186"/>
    <n v="1"/>
    <x v="1"/>
    <n v="73"/>
  </r>
  <r>
    <x v="1187"/>
    <n v="1"/>
    <x v="1"/>
    <n v="58"/>
  </r>
  <r>
    <x v="1188"/>
    <n v="1"/>
    <x v="1"/>
    <n v="85"/>
  </r>
  <r>
    <x v="1189"/>
    <n v="1"/>
    <x v="1"/>
    <n v="48"/>
  </r>
  <r>
    <x v="1190"/>
    <n v="1"/>
    <x v="1"/>
    <n v="52"/>
  </r>
  <r>
    <x v="1191"/>
    <n v="1"/>
    <x v="1"/>
    <n v="67"/>
  </r>
  <r>
    <x v="1192"/>
    <n v="1"/>
    <x v="1"/>
    <n v="54"/>
  </r>
  <r>
    <x v="1193"/>
    <n v="1"/>
    <x v="1"/>
    <n v="71"/>
  </r>
  <r>
    <x v="1194"/>
    <n v="1"/>
    <x v="1"/>
    <n v="68"/>
  </r>
  <r>
    <x v="1195"/>
    <n v="1"/>
    <x v="1"/>
    <n v="74"/>
  </r>
  <r>
    <x v="1196"/>
    <n v="1"/>
    <x v="1"/>
    <n v="36"/>
  </r>
  <r>
    <x v="1197"/>
    <n v="1"/>
    <x v="1"/>
    <n v="55"/>
  </r>
  <r>
    <x v="1198"/>
    <n v="1"/>
    <x v="1"/>
    <n v="56"/>
  </r>
  <r>
    <x v="1199"/>
    <n v="1"/>
    <x v="1"/>
    <n v="71"/>
  </r>
  <r>
    <x v="1200"/>
    <n v="1"/>
    <x v="1"/>
    <n v="60"/>
  </r>
  <r>
    <x v="1201"/>
    <n v="1"/>
    <x v="1"/>
    <n v="66"/>
  </r>
  <r>
    <x v="1202"/>
    <n v="1"/>
    <x v="1"/>
    <n v="60"/>
  </r>
  <r>
    <x v="1203"/>
    <n v="1"/>
    <x v="1"/>
    <n v="45"/>
  </r>
  <r>
    <x v="1204"/>
    <n v="1"/>
    <x v="1"/>
    <n v="50"/>
  </r>
  <r>
    <x v="1205"/>
    <n v="1"/>
    <x v="1"/>
    <n v="57"/>
  </r>
  <r>
    <x v="1206"/>
    <n v="1"/>
    <x v="1"/>
    <n v="60"/>
  </r>
  <r>
    <x v="1207"/>
    <n v="1"/>
    <x v="1"/>
    <n v="65"/>
  </r>
  <r>
    <x v="1208"/>
    <n v="1"/>
    <x v="1"/>
    <n v="71"/>
  </r>
  <r>
    <x v="1209"/>
    <n v="1"/>
    <x v="1"/>
    <n v="56"/>
  </r>
  <r>
    <x v="1210"/>
    <n v="1"/>
    <x v="1"/>
    <n v="36"/>
  </r>
  <r>
    <x v="1211"/>
    <n v="1"/>
    <x v="1"/>
    <n v="59"/>
  </r>
  <r>
    <x v="1212"/>
    <n v="1"/>
    <x v="1"/>
    <n v="62"/>
  </r>
  <r>
    <x v="1213"/>
    <n v="1"/>
    <x v="1"/>
    <n v="59"/>
  </r>
  <r>
    <x v="1214"/>
    <n v="1"/>
    <x v="1"/>
    <n v="52"/>
  </r>
  <r>
    <x v="1215"/>
    <n v="1"/>
    <x v="1"/>
    <n v="65"/>
  </r>
  <r>
    <x v="1216"/>
    <n v="1"/>
    <x v="1"/>
    <n v="87"/>
  </r>
  <r>
    <x v="1217"/>
    <n v="1"/>
    <x v="1"/>
    <n v="54"/>
  </r>
  <r>
    <x v="1218"/>
    <n v="1"/>
    <x v="1"/>
    <n v="67"/>
  </r>
  <r>
    <x v="1219"/>
    <n v="1"/>
    <x v="1"/>
    <n v="57"/>
  </r>
  <r>
    <x v="1220"/>
    <n v="1"/>
    <x v="1"/>
    <n v="50"/>
  </r>
  <r>
    <x v="1221"/>
    <n v="1"/>
    <x v="1"/>
    <n v="85"/>
  </r>
  <r>
    <x v="1222"/>
    <n v="1"/>
    <x v="1"/>
    <n v="82"/>
  </r>
  <r>
    <x v="1223"/>
    <n v="1"/>
    <x v="1"/>
    <n v="64"/>
  </r>
  <r>
    <x v="1224"/>
    <n v="1"/>
    <x v="1"/>
    <n v="49"/>
  </r>
  <r>
    <x v="1225"/>
    <n v="1"/>
    <x v="1"/>
    <n v="58"/>
  </r>
  <r>
    <x v="1226"/>
    <n v="1"/>
    <x v="1"/>
    <n v="71"/>
  </r>
  <r>
    <x v="1227"/>
    <n v="1"/>
    <x v="1"/>
    <n v="68"/>
  </r>
  <r>
    <x v="1228"/>
    <n v="1"/>
    <x v="1"/>
    <n v="61"/>
  </r>
  <r>
    <x v="1229"/>
    <n v="1"/>
    <x v="1"/>
    <n v="74"/>
  </r>
  <r>
    <x v="1230"/>
    <n v="1"/>
    <x v="1"/>
    <n v="65"/>
  </r>
  <r>
    <x v="1231"/>
    <n v="1"/>
    <x v="1"/>
    <n v="50"/>
  </r>
  <r>
    <x v="1232"/>
    <n v="1"/>
    <x v="1"/>
    <n v="61"/>
  </r>
  <r>
    <x v="1233"/>
    <n v="1"/>
    <x v="1"/>
    <n v="51"/>
  </r>
  <r>
    <x v="1234"/>
    <n v="1"/>
    <x v="1"/>
    <n v="69"/>
  </r>
  <r>
    <x v="1235"/>
    <n v="1"/>
    <x v="1"/>
    <n v="78"/>
  </r>
  <r>
    <x v="1236"/>
    <n v="1"/>
    <x v="1"/>
    <n v="65"/>
  </r>
  <r>
    <x v="1237"/>
    <n v="1"/>
    <x v="1"/>
    <n v="76"/>
  </r>
  <r>
    <x v="1238"/>
    <n v="1"/>
    <x v="1"/>
    <n v="50"/>
  </r>
  <r>
    <x v="1239"/>
    <n v="1"/>
    <x v="1"/>
    <n v="62"/>
  </r>
  <r>
    <x v="1240"/>
    <n v="1"/>
    <x v="1"/>
    <n v="54"/>
  </r>
  <r>
    <x v="1241"/>
    <n v="1"/>
    <x v="1"/>
    <n v="65"/>
  </r>
  <r>
    <x v="1242"/>
    <n v="1"/>
    <x v="1"/>
    <n v="60"/>
  </r>
  <r>
    <x v="1243"/>
    <n v="1"/>
    <x v="1"/>
    <n v="81"/>
  </r>
  <r>
    <x v="1244"/>
    <n v="1"/>
    <x v="1"/>
    <n v="79"/>
  </r>
  <r>
    <x v="1245"/>
    <n v="1"/>
    <x v="1"/>
    <n v="48"/>
  </r>
  <r>
    <x v="1246"/>
    <n v="1"/>
    <x v="1"/>
    <n v="62"/>
  </r>
  <r>
    <x v="1247"/>
    <n v="1"/>
    <x v="1"/>
    <n v="68"/>
  </r>
  <r>
    <x v="1248"/>
    <n v="1"/>
    <x v="1"/>
    <n v="60"/>
  </r>
  <r>
    <x v="1249"/>
    <n v="1"/>
    <x v="1"/>
    <n v="77"/>
  </r>
  <r>
    <x v="1250"/>
    <n v="1"/>
    <x v="1"/>
    <n v="103"/>
  </r>
  <r>
    <x v="1251"/>
    <n v="1"/>
    <x v="1"/>
    <n v="66"/>
  </r>
  <r>
    <x v="1252"/>
    <n v="1"/>
    <x v="1"/>
    <n v="52"/>
  </r>
  <r>
    <x v="1253"/>
    <n v="1"/>
    <x v="1"/>
    <n v="63"/>
  </r>
  <r>
    <x v="1254"/>
    <n v="1"/>
    <x v="1"/>
    <n v="61"/>
  </r>
  <r>
    <x v="1255"/>
    <n v="1"/>
    <x v="1"/>
    <n v="62"/>
  </r>
  <r>
    <x v="1256"/>
    <n v="1"/>
    <x v="1"/>
    <n v="51"/>
  </r>
  <r>
    <x v="1257"/>
    <n v="1"/>
    <x v="1"/>
    <n v="84"/>
  </r>
  <r>
    <x v="1258"/>
    <n v="1"/>
    <x v="1"/>
    <n v="77"/>
  </r>
  <r>
    <x v="1259"/>
    <n v="1"/>
    <x v="1"/>
    <n v="51"/>
  </r>
  <r>
    <x v="1260"/>
    <n v="1"/>
    <x v="1"/>
    <n v="70"/>
  </r>
  <r>
    <x v="1261"/>
    <n v="1"/>
    <x v="1"/>
    <n v="56"/>
  </r>
  <r>
    <x v="1262"/>
    <n v="1"/>
    <x v="1"/>
    <n v="61"/>
  </r>
  <r>
    <x v="1263"/>
    <n v="1"/>
    <x v="1"/>
    <n v="71"/>
  </r>
  <r>
    <x v="1264"/>
    <n v="1"/>
    <x v="1"/>
    <n v="97"/>
  </r>
  <r>
    <x v="1265"/>
    <n v="1"/>
    <x v="1"/>
    <n v="96"/>
  </r>
  <r>
    <x v="1266"/>
    <n v="1"/>
    <x v="1"/>
    <n v="54"/>
  </r>
  <r>
    <x v="1267"/>
    <n v="1"/>
    <x v="1"/>
    <n v="62"/>
  </r>
  <r>
    <x v="1268"/>
    <n v="1"/>
    <x v="1"/>
    <n v="69"/>
  </r>
  <r>
    <x v="1269"/>
    <n v="1"/>
    <x v="1"/>
    <n v="80"/>
  </r>
  <r>
    <x v="1270"/>
    <n v="1"/>
    <x v="1"/>
    <n v="66"/>
  </r>
  <r>
    <x v="1271"/>
    <n v="1"/>
    <x v="1"/>
    <n v="82"/>
  </r>
  <r>
    <x v="1272"/>
    <n v="1"/>
    <x v="1"/>
    <n v="70"/>
  </r>
  <r>
    <x v="1273"/>
    <n v="1"/>
    <x v="1"/>
    <n v="57"/>
  </r>
  <r>
    <x v="1274"/>
    <n v="1"/>
    <x v="1"/>
    <n v="60"/>
  </r>
  <r>
    <x v="1275"/>
    <n v="1"/>
    <x v="1"/>
    <n v="65"/>
  </r>
  <r>
    <x v="1276"/>
    <n v="1"/>
    <x v="1"/>
    <n v="71"/>
  </r>
  <r>
    <x v="1277"/>
    <n v="1"/>
    <x v="1"/>
    <n v="85"/>
  </r>
  <r>
    <x v="1278"/>
    <n v="1"/>
    <x v="1"/>
    <n v="95"/>
  </r>
  <r>
    <x v="1279"/>
    <n v="1"/>
    <x v="1"/>
    <n v="90"/>
  </r>
  <r>
    <x v="1280"/>
    <n v="1"/>
    <x v="1"/>
    <n v="63"/>
  </r>
  <r>
    <x v="1281"/>
    <n v="1"/>
    <x v="1"/>
    <n v="74"/>
  </r>
  <r>
    <x v="1282"/>
    <n v="1"/>
    <x v="1"/>
    <n v="75"/>
  </r>
  <r>
    <x v="1283"/>
    <n v="1"/>
    <x v="1"/>
    <n v="82"/>
  </r>
  <r>
    <x v="1284"/>
    <n v="1"/>
    <x v="1"/>
    <n v="90"/>
  </r>
  <r>
    <x v="1285"/>
    <n v="1"/>
    <x v="1"/>
    <n v="74"/>
  </r>
  <r>
    <x v="1286"/>
    <n v="1"/>
    <x v="1"/>
    <n v="89"/>
  </r>
  <r>
    <x v="1287"/>
    <n v="1"/>
    <x v="1"/>
    <n v="61"/>
  </r>
  <r>
    <x v="1288"/>
    <n v="1"/>
    <x v="1"/>
    <n v="75"/>
  </r>
  <r>
    <x v="1289"/>
    <n v="1"/>
    <x v="1"/>
    <n v="61"/>
  </r>
  <r>
    <x v="1290"/>
    <n v="1"/>
    <x v="1"/>
    <n v="79"/>
  </r>
  <r>
    <x v="1291"/>
    <n v="1"/>
    <x v="1"/>
    <n v="66"/>
  </r>
  <r>
    <x v="1292"/>
    <n v="1"/>
    <x v="1"/>
    <n v="84"/>
  </r>
  <r>
    <x v="1293"/>
    <n v="1"/>
    <x v="1"/>
    <n v="104"/>
  </r>
  <r>
    <x v="1294"/>
    <n v="1"/>
    <x v="1"/>
    <n v="74"/>
  </r>
  <r>
    <x v="1295"/>
    <n v="1"/>
    <x v="1"/>
    <n v="59"/>
  </r>
  <r>
    <x v="1296"/>
    <n v="1"/>
    <x v="1"/>
    <n v="63"/>
  </r>
  <r>
    <x v="1297"/>
    <n v="1"/>
    <x v="1"/>
    <n v="74"/>
  </r>
  <r>
    <x v="1298"/>
    <n v="1"/>
    <x v="1"/>
    <n v="75"/>
  </r>
  <r>
    <x v="1299"/>
    <n v="1"/>
    <x v="1"/>
    <n v="79"/>
  </r>
  <r>
    <x v="1300"/>
    <n v="1"/>
    <x v="1"/>
    <n v="80"/>
  </r>
  <r>
    <x v="1301"/>
    <n v="1"/>
    <x v="1"/>
    <n v="62"/>
  </r>
  <r>
    <x v="1302"/>
    <n v="1"/>
    <x v="1"/>
    <n v="66"/>
  </r>
  <r>
    <x v="1303"/>
    <n v="1"/>
    <x v="1"/>
    <n v="70"/>
  </r>
  <r>
    <x v="1304"/>
    <n v="1"/>
    <x v="1"/>
    <n v="71"/>
  </r>
  <r>
    <x v="1305"/>
    <n v="1"/>
    <x v="1"/>
    <n v="84"/>
  </r>
  <r>
    <x v="1306"/>
    <n v="1"/>
    <x v="1"/>
    <n v="89"/>
  </r>
  <r>
    <x v="1307"/>
    <n v="1"/>
    <x v="1"/>
    <n v="94"/>
  </r>
  <r>
    <x v="1308"/>
    <n v="1"/>
    <x v="1"/>
    <n v="60"/>
  </r>
  <r>
    <x v="1309"/>
    <n v="1"/>
    <x v="1"/>
    <n v="53"/>
  </r>
  <r>
    <x v="1310"/>
    <n v="1"/>
    <x v="1"/>
    <n v="58"/>
  </r>
  <r>
    <x v="1311"/>
    <n v="1"/>
    <x v="1"/>
    <n v="56"/>
  </r>
  <r>
    <x v="1312"/>
    <n v="1"/>
    <x v="1"/>
    <n v="61"/>
  </r>
  <r>
    <x v="1313"/>
    <n v="1"/>
    <x v="1"/>
    <n v="65"/>
  </r>
  <r>
    <x v="1314"/>
    <n v="1"/>
    <x v="1"/>
    <n v="84"/>
  </r>
  <r>
    <x v="1315"/>
    <n v="1"/>
    <x v="1"/>
    <n v="48"/>
  </r>
  <r>
    <x v="1316"/>
    <n v="1"/>
    <x v="1"/>
    <n v="65"/>
  </r>
  <r>
    <x v="1317"/>
    <n v="1"/>
    <x v="1"/>
    <n v="55"/>
  </r>
  <r>
    <x v="1318"/>
    <n v="1"/>
    <x v="1"/>
    <n v="64"/>
  </r>
  <r>
    <x v="1319"/>
    <n v="1"/>
    <x v="1"/>
    <n v="76"/>
  </r>
  <r>
    <x v="1320"/>
    <n v="1"/>
    <x v="1"/>
    <n v="65"/>
  </r>
  <r>
    <x v="1321"/>
    <n v="1"/>
    <x v="1"/>
    <n v="100"/>
  </r>
  <r>
    <x v="1322"/>
    <n v="1"/>
    <x v="1"/>
    <n v="55"/>
  </r>
  <r>
    <x v="1323"/>
    <n v="1"/>
    <x v="1"/>
    <n v="52"/>
  </r>
  <r>
    <x v="1324"/>
    <n v="1"/>
    <x v="1"/>
    <n v="57"/>
  </r>
  <r>
    <x v="1325"/>
    <n v="1"/>
    <x v="1"/>
    <n v="67"/>
  </r>
  <r>
    <x v="1326"/>
    <n v="1"/>
    <x v="1"/>
    <n v="60"/>
  </r>
  <r>
    <x v="1327"/>
    <n v="1"/>
    <x v="1"/>
    <n v="66"/>
  </r>
  <r>
    <x v="1328"/>
    <n v="1"/>
    <x v="1"/>
    <n v="88"/>
  </r>
  <r>
    <x v="1329"/>
    <n v="1"/>
    <x v="1"/>
    <n v="47"/>
  </r>
  <r>
    <x v="1330"/>
    <n v="1"/>
    <x v="1"/>
    <n v="58"/>
  </r>
  <r>
    <x v="1331"/>
    <n v="1"/>
    <x v="1"/>
    <n v="71"/>
  </r>
  <r>
    <x v="1332"/>
    <n v="1"/>
    <x v="1"/>
    <n v="60"/>
  </r>
  <r>
    <x v="1333"/>
    <n v="1"/>
    <x v="1"/>
    <n v="82"/>
  </r>
  <r>
    <x v="1334"/>
    <n v="1"/>
    <x v="1"/>
    <n v="81"/>
  </r>
  <r>
    <x v="1335"/>
    <n v="1"/>
    <x v="1"/>
    <n v="89"/>
  </r>
  <r>
    <x v="1336"/>
    <n v="1"/>
    <x v="1"/>
    <n v="60"/>
  </r>
  <r>
    <x v="1337"/>
    <n v="1"/>
    <x v="1"/>
    <n v="50"/>
  </r>
  <r>
    <x v="1338"/>
    <n v="1"/>
    <x v="1"/>
    <n v="63"/>
  </r>
  <r>
    <x v="1339"/>
    <n v="1"/>
    <x v="1"/>
    <n v="53"/>
  </r>
  <r>
    <x v="1340"/>
    <n v="1"/>
    <x v="1"/>
    <n v="74"/>
  </r>
  <r>
    <x v="1341"/>
    <n v="1"/>
    <x v="1"/>
    <n v="84"/>
  </r>
  <r>
    <x v="1342"/>
    <n v="1"/>
    <x v="1"/>
    <n v="77"/>
  </r>
  <r>
    <x v="1343"/>
    <n v="1"/>
    <x v="1"/>
    <n v="47"/>
  </r>
  <r>
    <x v="1344"/>
    <n v="1"/>
    <x v="1"/>
    <n v="55"/>
  </r>
  <r>
    <x v="1345"/>
    <n v="1"/>
    <x v="1"/>
    <n v="59"/>
  </r>
  <r>
    <x v="1346"/>
    <n v="1"/>
    <x v="1"/>
    <n v="56"/>
  </r>
  <r>
    <x v="1347"/>
    <n v="1"/>
    <x v="1"/>
    <n v="51"/>
  </r>
  <r>
    <x v="1348"/>
    <n v="1"/>
    <x v="1"/>
    <n v="59"/>
  </r>
  <r>
    <x v="1349"/>
    <n v="1"/>
    <x v="1"/>
    <n v="62"/>
  </r>
  <r>
    <x v="1350"/>
    <n v="1"/>
    <x v="1"/>
    <n v="46"/>
  </r>
  <r>
    <x v="1351"/>
    <n v="1"/>
    <x v="1"/>
    <n v="51"/>
  </r>
  <r>
    <x v="1352"/>
    <n v="1"/>
    <x v="1"/>
    <n v="67"/>
  </r>
  <r>
    <x v="1353"/>
    <n v="1"/>
    <x v="1"/>
    <n v="52"/>
  </r>
  <r>
    <x v="1354"/>
    <n v="1"/>
    <x v="1"/>
    <n v="47"/>
  </r>
  <r>
    <x v="1355"/>
    <n v="1"/>
    <x v="1"/>
    <n v="66"/>
  </r>
  <r>
    <x v="1356"/>
    <n v="1"/>
    <x v="1"/>
    <n v="71"/>
  </r>
  <r>
    <x v="1357"/>
    <n v="1"/>
    <x v="1"/>
    <n v="52"/>
  </r>
  <r>
    <x v="1358"/>
    <n v="1"/>
    <x v="1"/>
    <n v="52"/>
  </r>
  <r>
    <x v="1359"/>
    <n v="1"/>
    <x v="1"/>
    <n v="64"/>
  </r>
  <r>
    <x v="1360"/>
    <n v="1"/>
    <x v="1"/>
    <n v="56"/>
  </r>
  <r>
    <x v="1361"/>
    <n v="1"/>
    <x v="1"/>
    <n v="60"/>
  </r>
  <r>
    <x v="1362"/>
    <n v="1"/>
    <x v="1"/>
    <n v="76"/>
  </r>
  <r>
    <x v="1363"/>
    <n v="1"/>
    <x v="1"/>
    <n v="91"/>
  </r>
  <r>
    <x v="1364"/>
    <n v="1"/>
    <x v="1"/>
    <n v="51"/>
  </r>
  <r>
    <x v="1365"/>
    <n v="1"/>
    <x v="1"/>
    <n v="45"/>
  </r>
  <r>
    <x v="1366"/>
    <n v="1"/>
    <x v="1"/>
    <n v="57"/>
  </r>
  <r>
    <x v="1367"/>
    <n v="1"/>
    <x v="1"/>
    <n v="59"/>
  </r>
  <r>
    <x v="1368"/>
    <n v="1"/>
    <x v="1"/>
    <n v="67"/>
  </r>
  <r>
    <x v="1369"/>
    <n v="1"/>
    <x v="1"/>
    <n v="69"/>
  </r>
  <r>
    <x v="1370"/>
    <n v="1"/>
    <x v="1"/>
    <n v="64"/>
  </r>
  <r>
    <x v="1371"/>
    <n v="1"/>
    <x v="1"/>
    <n v="39"/>
  </r>
  <r>
    <x v="1372"/>
    <n v="1"/>
    <x v="1"/>
    <n v="51"/>
  </r>
  <r>
    <x v="1373"/>
    <n v="1"/>
    <x v="1"/>
    <n v="56"/>
  </r>
  <r>
    <x v="1374"/>
    <n v="1"/>
    <x v="1"/>
    <n v="61"/>
  </r>
  <r>
    <x v="1375"/>
    <n v="1"/>
    <x v="1"/>
    <n v="56"/>
  </r>
  <r>
    <x v="1376"/>
    <n v="1"/>
    <x v="1"/>
    <n v="70"/>
  </r>
  <r>
    <x v="1377"/>
    <n v="1"/>
    <x v="1"/>
    <n v="66"/>
  </r>
  <r>
    <x v="1378"/>
    <n v="1"/>
    <x v="1"/>
    <n v="51"/>
  </r>
  <r>
    <x v="1379"/>
    <n v="1"/>
    <x v="1"/>
    <n v="54"/>
  </r>
  <r>
    <x v="1380"/>
    <n v="1"/>
    <x v="1"/>
    <n v="51"/>
  </r>
  <r>
    <x v="1381"/>
    <n v="1"/>
    <x v="1"/>
    <n v="67"/>
  </r>
  <r>
    <x v="1382"/>
    <n v="1"/>
    <x v="1"/>
    <n v="80"/>
  </r>
  <r>
    <x v="1383"/>
    <n v="1"/>
    <x v="1"/>
    <n v="62"/>
  </r>
  <r>
    <x v="1384"/>
    <n v="1"/>
    <x v="1"/>
    <n v="66"/>
  </r>
  <r>
    <x v="1385"/>
    <n v="1"/>
    <x v="1"/>
    <n v="46"/>
  </r>
  <r>
    <x v="1386"/>
    <n v="1"/>
    <x v="1"/>
    <n v="50"/>
  </r>
  <r>
    <x v="1387"/>
    <n v="1"/>
    <x v="1"/>
    <n v="59"/>
  </r>
  <r>
    <x v="1388"/>
    <n v="1"/>
    <x v="1"/>
    <n v="62"/>
  </r>
  <r>
    <x v="1389"/>
    <n v="1"/>
    <x v="1"/>
    <n v="51"/>
  </r>
  <r>
    <x v="1390"/>
    <n v="1"/>
    <x v="1"/>
    <n v="70"/>
  </r>
  <r>
    <x v="1391"/>
    <n v="1"/>
    <x v="1"/>
    <n v="69"/>
  </r>
  <r>
    <x v="1392"/>
    <n v="1"/>
    <x v="1"/>
    <n v="49"/>
  </r>
  <r>
    <x v="1393"/>
    <n v="1"/>
    <x v="1"/>
    <n v="58"/>
  </r>
  <r>
    <x v="1394"/>
    <n v="1"/>
    <x v="1"/>
    <n v="49"/>
  </r>
  <r>
    <x v="1395"/>
    <n v="1"/>
    <x v="1"/>
    <n v="52"/>
  </r>
  <r>
    <x v="1396"/>
    <n v="1"/>
    <x v="1"/>
    <n v="67"/>
  </r>
  <r>
    <x v="1397"/>
    <n v="1"/>
    <x v="1"/>
    <n v="59"/>
  </r>
  <r>
    <x v="1398"/>
    <n v="1"/>
    <x v="1"/>
    <n v="58"/>
  </r>
  <r>
    <x v="1399"/>
    <n v="1"/>
    <x v="1"/>
    <n v="44"/>
  </r>
  <r>
    <x v="1400"/>
    <n v="1"/>
    <x v="1"/>
    <n v="50"/>
  </r>
  <r>
    <x v="1401"/>
    <n v="1"/>
    <x v="1"/>
    <n v="67"/>
  </r>
  <r>
    <x v="1402"/>
    <n v="1"/>
    <x v="1"/>
    <n v="55"/>
  </r>
  <r>
    <x v="1403"/>
    <n v="1"/>
    <x v="1"/>
    <n v="79"/>
  </r>
  <r>
    <x v="1404"/>
    <n v="1"/>
    <x v="1"/>
    <n v="57"/>
  </r>
  <r>
    <x v="1405"/>
    <n v="1"/>
    <x v="1"/>
    <n v="66"/>
  </r>
  <r>
    <x v="1406"/>
    <n v="1"/>
    <x v="1"/>
    <n v="43"/>
  </r>
  <r>
    <x v="1407"/>
    <n v="1"/>
    <x v="1"/>
    <n v="54"/>
  </r>
  <r>
    <x v="1408"/>
    <n v="1"/>
    <x v="1"/>
    <n v="68"/>
  </r>
  <r>
    <x v="1409"/>
    <n v="1"/>
    <x v="1"/>
    <n v="76"/>
  </r>
  <r>
    <x v="1410"/>
    <n v="1"/>
    <x v="1"/>
    <n v="69"/>
  </r>
  <r>
    <x v="1411"/>
    <n v="1"/>
    <x v="1"/>
    <n v="64"/>
  </r>
  <r>
    <x v="1412"/>
    <n v="1"/>
    <x v="1"/>
    <n v="76"/>
  </r>
  <r>
    <x v="1413"/>
    <n v="1"/>
    <x v="1"/>
    <n v="49"/>
  </r>
  <r>
    <x v="1414"/>
    <n v="1"/>
    <x v="1"/>
    <n v="57"/>
  </r>
  <r>
    <x v="1415"/>
    <n v="1"/>
    <x v="1"/>
    <n v="50"/>
  </r>
  <r>
    <x v="1416"/>
    <n v="1"/>
    <x v="1"/>
    <n v="53"/>
  </r>
  <r>
    <x v="1417"/>
    <n v="1"/>
    <x v="1"/>
    <n v="61"/>
  </r>
  <r>
    <x v="1418"/>
    <n v="1"/>
    <x v="1"/>
    <n v="72"/>
  </r>
  <r>
    <x v="1419"/>
    <n v="1"/>
    <x v="1"/>
    <n v="79"/>
  </r>
  <r>
    <x v="1420"/>
    <n v="1"/>
    <x v="1"/>
    <n v="47"/>
  </r>
  <r>
    <x v="1421"/>
    <n v="1"/>
    <x v="1"/>
    <n v="49"/>
  </r>
  <r>
    <x v="1422"/>
    <n v="1"/>
    <x v="1"/>
    <n v="50"/>
  </r>
  <r>
    <x v="1423"/>
    <n v="1"/>
    <x v="1"/>
    <n v="49"/>
  </r>
  <r>
    <x v="1424"/>
    <n v="1"/>
    <x v="1"/>
    <n v="58"/>
  </r>
  <r>
    <x v="1425"/>
    <n v="1"/>
    <x v="1"/>
    <n v="62"/>
  </r>
  <r>
    <x v="1426"/>
    <n v="1"/>
    <x v="1"/>
    <n v="78"/>
  </r>
  <r>
    <x v="1427"/>
    <n v="1"/>
    <x v="1"/>
    <n v="50"/>
  </r>
  <r>
    <x v="1428"/>
    <n v="1"/>
    <x v="1"/>
    <n v="49"/>
  </r>
  <r>
    <x v="1429"/>
    <n v="1"/>
    <x v="1"/>
    <n v="52"/>
  </r>
  <r>
    <x v="1430"/>
    <n v="1"/>
    <x v="1"/>
    <n v="43"/>
  </r>
  <r>
    <x v="1431"/>
    <n v="1"/>
    <x v="1"/>
    <n v="44"/>
  </r>
  <r>
    <x v="1432"/>
    <n v="1"/>
    <x v="1"/>
    <n v="40"/>
  </r>
  <r>
    <x v="1433"/>
    <n v="1"/>
    <x v="1"/>
    <n v="51"/>
  </r>
  <r>
    <x v="1434"/>
    <n v="1"/>
    <x v="1"/>
    <n v="29"/>
  </r>
  <r>
    <x v="1435"/>
    <n v="1"/>
    <x v="1"/>
    <n v="45"/>
  </r>
  <r>
    <x v="1436"/>
    <n v="1"/>
    <x v="1"/>
    <n v="39"/>
  </r>
  <r>
    <x v="1437"/>
    <n v="1"/>
    <x v="1"/>
    <n v="35"/>
  </r>
  <r>
    <x v="1438"/>
    <n v="1"/>
    <x v="1"/>
    <n v="41"/>
  </r>
  <r>
    <x v="1439"/>
    <n v="1"/>
    <x v="1"/>
    <n v="47"/>
  </r>
  <r>
    <x v="1440"/>
    <n v="1"/>
    <x v="1"/>
    <n v="53"/>
  </r>
  <r>
    <x v="1441"/>
    <n v="1"/>
    <x v="1"/>
    <n v="36"/>
  </r>
  <r>
    <x v="1442"/>
    <n v="1"/>
    <x v="1"/>
    <n v="45"/>
  </r>
  <r>
    <x v="1443"/>
    <n v="1"/>
    <x v="1"/>
    <n v="41"/>
  </r>
  <r>
    <x v="1444"/>
    <n v="1"/>
    <x v="1"/>
    <n v="52"/>
  </r>
  <r>
    <x v="1445"/>
    <n v="1"/>
    <x v="1"/>
    <n v="42"/>
  </r>
  <r>
    <x v="1446"/>
    <n v="1"/>
    <x v="1"/>
    <n v="55"/>
  </r>
  <r>
    <x v="1447"/>
    <n v="1"/>
    <x v="1"/>
    <n v="40"/>
  </r>
  <r>
    <x v="1448"/>
    <n v="1"/>
    <x v="1"/>
    <n v="33"/>
  </r>
  <r>
    <x v="1449"/>
    <n v="1"/>
    <x v="1"/>
    <n v="47"/>
  </r>
  <r>
    <x v="1450"/>
    <n v="1"/>
    <x v="1"/>
    <n v="46"/>
  </r>
  <r>
    <x v="1451"/>
    <n v="1"/>
    <x v="1"/>
    <n v="35"/>
  </r>
  <r>
    <x v="1452"/>
    <n v="1"/>
    <x v="1"/>
    <n v="64"/>
  </r>
  <r>
    <x v="1453"/>
    <n v="1"/>
    <x v="1"/>
    <n v="47"/>
  </r>
  <r>
    <x v="1454"/>
    <n v="1"/>
    <x v="1"/>
    <n v="39"/>
  </r>
  <r>
    <x v="1455"/>
    <n v="1"/>
    <x v="1"/>
    <n v="30"/>
  </r>
  <r>
    <x v="1456"/>
    <n v="1"/>
    <x v="1"/>
    <n v="41"/>
  </r>
  <r>
    <x v="1457"/>
    <n v="1"/>
    <x v="1"/>
    <n v="38"/>
  </r>
  <r>
    <x v="1458"/>
    <n v="1"/>
    <x v="1"/>
    <n v="56"/>
  </r>
  <r>
    <x v="1459"/>
    <n v="1"/>
    <x v="1"/>
    <n v="37"/>
  </r>
  <r>
    <x v="1460"/>
    <n v="1"/>
    <x v="1"/>
    <n v="47"/>
  </r>
  <r>
    <x v="1461"/>
    <n v="1"/>
    <x v="1"/>
    <n v="40"/>
  </r>
  <r>
    <x v="1462"/>
    <n v="1"/>
    <x v="1"/>
    <n v="26"/>
  </r>
  <r>
    <x v="1463"/>
    <n v="1"/>
    <x v="1"/>
    <n v="33"/>
  </r>
  <r>
    <x v="1464"/>
    <n v="1"/>
    <x v="1"/>
    <n v="41"/>
  </r>
  <r>
    <x v="1465"/>
    <n v="1"/>
    <x v="1"/>
    <n v="39"/>
  </r>
  <r>
    <x v="1466"/>
    <n v="1"/>
    <x v="1"/>
    <n v="43"/>
  </r>
  <r>
    <x v="1467"/>
    <n v="1"/>
    <x v="1"/>
    <n v="46"/>
  </r>
  <r>
    <x v="1468"/>
    <n v="1"/>
    <x v="1"/>
    <n v="58"/>
  </r>
  <r>
    <x v="1469"/>
    <n v="1"/>
    <x v="1"/>
    <n v="31"/>
  </r>
  <r>
    <x v="1470"/>
    <n v="1"/>
    <x v="1"/>
    <n v="36"/>
  </r>
  <r>
    <x v="1471"/>
    <n v="1"/>
    <x v="1"/>
    <n v="42"/>
  </r>
  <r>
    <x v="1472"/>
    <n v="1"/>
    <x v="1"/>
    <n v="39"/>
  </r>
  <r>
    <x v="1473"/>
    <n v="1"/>
    <x v="1"/>
    <n v="34"/>
  </r>
  <r>
    <x v="1474"/>
    <n v="1"/>
    <x v="1"/>
    <n v="29"/>
  </r>
  <r>
    <x v="1475"/>
    <n v="1"/>
    <x v="1"/>
    <n v="47"/>
  </r>
  <r>
    <x v="1476"/>
    <n v="1"/>
    <x v="1"/>
    <n v="21"/>
  </r>
  <r>
    <x v="1477"/>
    <n v="1"/>
    <x v="1"/>
    <n v="37"/>
  </r>
  <r>
    <x v="1478"/>
    <n v="1"/>
    <x v="1"/>
    <n v="41"/>
  </r>
  <r>
    <x v="1479"/>
    <n v="1"/>
    <x v="1"/>
    <n v="51"/>
  </r>
  <r>
    <x v="1480"/>
    <n v="1"/>
    <x v="1"/>
    <n v="48"/>
  </r>
  <r>
    <x v="1481"/>
    <n v="1"/>
    <x v="1"/>
    <n v="42"/>
  </r>
  <r>
    <x v="1482"/>
    <n v="1"/>
    <x v="1"/>
    <n v="49"/>
  </r>
  <r>
    <x v="1483"/>
    <n v="1"/>
    <x v="1"/>
    <n v="25"/>
  </r>
  <r>
    <x v="1484"/>
    <n v="1"/>
    <x v="1"/>
    <n v="44"/>
  </r>
  <r>
    <x v="1485"/>
    <n v="1"/>
    <x v="1"/>
    <n v="38"/>
  </r>
  <r>
    <x v="1486"/>
    <n v="1"/>
    <x v="1"/>
    <n v="30"/>
  </r>
  <r>
    <x v="1487"/>
    <n v="1"/>
    <x v="1"/>
    <n v="32"/>
  </r>
  <r>
    <x v="1488"/>
    <n v="1"/>
    <x v="1"/>
    <n v="48"/>
  </r>
  <r>
    <x v="1489"/>
    <n v="1"/>
    <x v="1"/>
    <n v="47"/>
  </r>
  <r>
    <x v="1490"/>
    <n v="1"/>
    <x v="1"/>
    <n v="28"/>
  </r>
  <r>
    <x v="1491"/>
    <n v="1"/>
    <x v="1"/>
    <n v="37"/>
  </r>
  <r>
    <x v="1492"/>
    <n v="1"/>
    <x v="1"/>
    <n v="34"/>
  </r>
  <r>
    <x v="1493"/>
    <n v="1"/>
    <x v="1"/>
    <n v="47"/>
  </r>
  <r>
    <x v="1494"/>
    <n v="1"/>
    <x v="1"/>
    <n v="45"/>
  </r>
  <r>
    <x v="1495"/>
    <n v="1"/>
    <x v="1"/>
    <n v="42"/>
  </r>
  <r>
    <x v="1496"/>
    <n v="1"/>
    <x v="1"/>
    <n v="38"/>
  </r>
  <r>
    <x v="1497"/>
    <n v="1"/>
    <x v="1"/>
    <n v="38"/>
  </r>
  <r>
    <x v="1498"/>
    <n v="1"/>
    <x v="1"/>
    <n v="33"/>
  </r>
  <r>
    <x v="1499"/>
    <n v="1"/>
    <x v="1"/>
    <n v="37"/>
  </r>
  <r>
    <x v="1500"/>
    <n v="1"/>
    <x v="1"/>
    <n v="39"/>
  </r>
  <r>
    <x v="1501"/>
    <n v="1"/>
    <x v="1"/>
    <n v="38"/>
  </r>
  <r>
    <x v="1502"/>
    <n v="1"/>
    <x v="1"/>
    <n v="52"/>
  </r>
  <r>
    <x v="1503"/>
    <n v="1"/>
    <x v="1"/>
    <n v="47"/>
  </r>
  <r>
    <x v="1504"/>
    <n v="1"/>
    <x v="1"/>
    <n v="45"/>
  </r>
  <r>
    <x v="1505"/>
    <n v="1"/>
    <x v="1"/>
    <n v="46"/>
  </r>
  <r>
    <x v="1506"/>
    <n v="1"/>
    <x v="1"/>
    <n v="38"/>
  </r>
  <r>
    <x v="1507"/>
    <n v="1"/>
    <x v="1"/>
    <n v="46"/>
  </r>
  <r>
    <x v="1508"/>
    <n v="1"/>
    <x v="1"/>
    <n v="59"/>
  </r>
  <r>
    <x v="1509"/>
    <n v="1"/>
    <x v="1"/>
    <n v="47"/>
  </r>
  <r>
    <x v="1510"/>
    <n v="1"/>
    <x v="1"/>
    <n v="55"/>
  </r>
  <r>
    <x v="1511"/>
    <n v="1"/>
    <x v="1"/>
    <n v="32"/>
  </r>
  <r>
    <x v="1512"/>
    <n v="1"/>
    <x v="1"/>
    <n v="26"/>
  </r>
  <r>
    <x v="1513"/>
    <n v="1"/>
    <x v="1"/>
    <n v="45"/>
  </r>
  <r>
    <x v="1514"/>
    <n v="1"/>
    <x v="1"/>
    <n v="50"/>
  </r>
  <r>
    <x v="1515"/>
    <n v="1"/>
    <x v="1"/>
    <n v="49"/>
  </r>
  <r>
    <x v="1516"/>
    <n v="1"/>
    <x v="1"/>
    <n v="46"/>
  </r>
  <r>
    <x v="1517"/>
    <n v="1"/>
    <x v="1"/>
    <n v="41"/>
  </r>
  <r>
    <x v="1518"/>
    <n v="1"/>
    <x v="1"/>
    <n v="44"/>
  </r>
  <r>
    <x v="1519"/>
    <n v="1"/>
    <x v="1"/>
    <n v="37"/>
  </r>
  <r>
    <x v="1520"/>
    <n v="1"/>
    <x v="1"/>
    <n v="48"/>
  </r>
  <r>
    <x v="1521"/>
    <n v="1"/>
    <x v="1"/>
    <n v="54"/>
  </r>
  <r>
    <x v="1522"/>
    <n v="1"/>
    <x v="1"/>
    <n v="47"/>
  </r>
  <r>
    <x v="1523"/>
    <n v="1"/>
    <x v="1"/>
    <n v="70"/>
  </r>
  <r>
    <x v="1524"/>
    <n v="1"/>
    <x v="1"/>
    <n v="57"/>
  </r>
  <r>
    <x v="1525"/>
    <n v="1"/>
    <x v="1"/>
    <n v="36"/>
  </r>
  <r>
    <x v="1526"/>
    <n v="1"/>
    <x v="1"/>
    <n v="57"/>
  </r>
  <r>
    <x v="1527"/>
    <n v="1"/>
    <x v="1"/>
    <n v="51"/>
  </r>
  <r>
    <x v="1528"/>
    <n v="1"/>
    <x v="1"/>
    <n v="43"/>
  </r>
  <r>
    <x v="1529"/>
    <n v="1"/>
    <x v="1"/>
    <n v="53"/>
  </r>
  <r>
    <x v="1530"/>
    <n v="1"/>
    <x v="1"/>
    <n v="54"/>
  </r>
  <r>
    <x v="1531"/>
    <n v="1"/>
    <x v="1"/>
    <n v="63"/>
  </r>
  <r>
    <x v="1532"/>
    <n v="1"/>
    <x v="1"/>
    <n v="52"/>
  </r>
  <r>
    <x v="1533"/>
    <n v="1"/>
    <x v="1"/>
    <n v="56"/>
  </r>
  <r>
    <x v="1534"/>
    <n v="1"/>
    <x v="1"/>
    <n v="59"/>
  </r>
  <r>
    <x v="1535"/>
    <n v="1"/>
    <x v="1"/>
    <n v="52"/>
  </r>
  <r>
    <x v="1536"/>
    <n v="1"/>
    <x v="1"/>
    <n v="52"/>
  </r>
  <r>
    <x v="1537"/>
    <n v="1"/>
    <x v="1"/>
    <n v="55"/>
  </r>
  <r>
    <x v="1538"/>
    <n v="1"/>
    <x v="1"/>
    <n v="65"/>
  </r>
  <r>
    <x v="1539"/>
    <n v="1"/>
    <x v="1"/>
    <n v="34"/>
  </r>
  <r>
    <x v="1540"/>
    <n v="1"/>
    <x v="1"/>
    <n v="47"/>
  </r>
  <r>
    <x v="1541"/>
    <n v="1"/>
    <x v="1"/>
    <n v="33"/>
  </r>
  <r>
    <x v="1542"/>
    <n v="1"/>
    <x v="1"/>
    <n v="51"/>
  </r>
  <r>
    <x v="1543"/>
    <n v="1"/>
    <x v="1"/>
    <n v="62"/>
  </r>
  <r>
    <x v="1544"/>
    <n v="1"/>
    <x v="1"/>
    <n v="55"/>
  </r>
  <r>
    <x v="1545"/>
    <n v="1"/>
    <x v="1"/>
    <n v="55"/>
  </r>
  <r>
    <x v="1546"/>
    <n v="1"/>
    <x v="1"/>
    <n v="40"/>
  </r>
  <r>
    <x v="1547"/>
    <n v="1"/>
    <x v="1"/>
    <n v="45"/>
  </r>
  <r>
    <x v="1548"/>
    <n v="1"/>
    <x v="1"/>
    <n v="45"/>
  </r>
  <r>
    <x v="1549"/>
    <n v="1"/>
    <x v="1"/>
    <n v="44"/>
  </r>
  <r>
    <x v="1550"/>
    <n v="1"/>
    <x v="1"/>
    <n v="57"/>
  </r>
  <r>
    <x v="1551"/>
    <n v="1"/>
    <x v="1"/>
    <n v="61"/>
  </r>
  <r>
    <x v="1552"/>
    <n v="1"/>
    <x v="1"/>
    <n v="66"/>
  </r>
  <r>
    <x v="1553"/>
    <n v="1"/>
    <x v="1"/>
    <n v="43"/>
  </r>
  <r>
    <x v="1554"/>
    <n v="1"/>
    <x v="1"/>
    <n v="53"/>
  </r>
  <r>
    <x v="1555"/>
    <n v="1"/>
    <x v="1"/>
    <n v="76"/>
  </r>
  <r>
    <x v="1556"/>
    <n v="1"/>
    <x v="1"/>
    <n v="62"/>
  </r>
  <r>
    <x v="1557"/>
    <n v="1"/>
    <x v="1"/>
    <n v="62"/>
  </r>
  <r>
    <x v="1558"/>
    <n v="1"/>
    <x v="1"/>
    <n v="77"/>
  </r>
  <r>
    <x v="1559"/>
    <n v="1"/>
    <x v="1"/>
    <n v="86"/>
  </r>
  <r>
    <x v="1560"/>
    <n v="1"/>
    <x v="1"/>
    <n v="52"/>
  </r>
  <r>
    <x v="1561"/>
    <n v="1"/>
    <x v="1"/>
    <n v="68"/>
  </r>
  <r>
    <x v="1562"/>
    <n v="1"/>
    <x v="1"/>
    <n v="59"/>
  </r>
  <r>
    <x v="1563"/>
    <n v="1"/>
    <x v="1"/>
    <n v="71"/>
  </r>
  <r>
    <x v="1564"/>
    <n v="1"/>
    <x v="1"/>
    <n v="78"/>
  </r>
  <r>
    <x v="1565"/>
    <n v="1"/>
    <x v="1"/>
    <n v="79"/>
  </r>
  <r>
    <x v="1566"/>
    <n v="1"/>
    <x v="1"/>
    <n v="60"/>
  </r>
  <r>
    <x v="1567"/>
    <n v="1"/>
    <x v="1"/>
    <n v="58"/>
  </r>
  <r>
    <x v="1568"/>
    <n v="1"/>
    <x v="1"/>
    <n v="51"/>
  </r>
  <r>
    <x v="1569"/>
    <n v="1"/>
    <x v="1"/>
    <n v="64"/>
  </r>
  <r>
    <x v="1570"/>
    <n v="1"/>
    <x v="1"/>
    <n v="48"/>
  </r>
  <r>
    <x v="1571"/>
    <n v="1"/>
    <x v="1"/>
    <n v="61"/>
  </r>
  <r>
    <x v="1572"/>
    <n v="1"/>
    <x v="1"/>
    <n v="71"/>
  </r>
  <r>
    <x v="1573"/>
    <n v="1"/>
    <x v="1"/>
    <n v="88"/>
  </r>
  <r>
    <x v="1574"/>
    <n v="1"/>
    <x v="1"/>
    <n v="54"/>
  </r>
  <r>
    <x v="1575"/>
    <n v="1"/>
    <x v="1"/>
    <n v="61"/>
  </r>
  <r>
    <x v="1576"/>
    <n v="1"/>
    <x v="1"/>
    <n v="59"/>
  </r>
  <r>
    <x v="1577"/>
    <n v="1"/>
    <x v="1"/>
    <n v="58"/>
  </r>
  <r>
    <x v="1578"/>
    <n v="1"/>
    <x v="1"/>
    <n v="61"/>
  </r>
  <r>
    <x v="1579"/>
    <n v="1"/>
    <x v="1"/>
    <n v="84"/>
  </r>
  <r>
    <x v="1580"/>
    <n v="1"/>
    <x v="1"/>
    <n v="80"/>
  </r>
  <r>
    <x v="1581"/>
    <n v="1"/>
    <x v="1"/>
    <n v="60"/>
  </r>
  <r>
    <x v="1582"/>
    <n v="1"/>
    <x v="1"/>
    <n v="66"/>
  </r>
  <r>
    <x v="1583"/>
    <n v="1"/>
    <x v="1"/>
    <n v="51"/>
  </r>
  <r>
    <x v="1584"/>
    <n v="1"/>
    <x v="1"/>
    <n v="63"/>
  </r>
  <r>
    <x v="1585"/>
    <n v="1"/>
    <x v="1"/>
    <n v="79"/>
  </r>
  <r>
    <x v="1586"/>
    <n v="1"/>
    <x v="1"/>
    <n v="76"/>
  </r>
  <r>
    <x v="1587"/>
    <n v="1"/>
    <x v="1"/>
    <n v="67"/>
  </r>
  <r>
    <x v="1588"/>
    <n v="1"/>
    <x v="1"/>
    <n v="64"/>
  </r>
  <r>
    <x v="1589"/>
    <n v="1"/>
    <x v="1"/>
    <n v="73"/>
  </r>
  <r>
    <x v="1590"/>
    <n v="1"/>
    <x v="1"/>
    <n v="55"/>
  </r>
  <r>
    <x v="1591"/>
    <n v="1"/>
    <x v="1"/>
    <n v="83"/>
  </r>
  <r>
    <x v="1592"/>
    <n v="1"/>
    <x v="1"/>
    <n v="82"/>
  </r>
  <r>
    <x v="1593"/>
    <n v="1"/>
    <x v="1"/>
    <n v="85"/>
  </r>
  <r>
    <x v="1594"/>
    <n v="1"/>
    <x v="1"/>
    <n v="85"/>
  </r>
  <r>
    <x v="1595"/>
    <n v="1"/>
    <x v="1"/>
    <n v="54"/>
  </r>
  <r>
    <x v="1596"/>
    <n v="1"/>
    <x v="1"/>
    <n v="61"/>
  </r>
  <r>
    <x v="1597"/>
    <n v="1"/>
    <x v="1"/>
    <n v="68"/>
  </r>
  <r>
    <x v="1598"/>
    <n v="1"/>
    <x v="1"/>
    <n v="76"/>
  </r>
  <r>
    <x v="1599"/>
    <n v="1"/>
    <x v="1"/>
    <n v="72"/>
  </r>
  <r>
    <x v="1600"/>
    <n v="1"/>
    <x v="1"/>
    <n v="89"/>
  </r>
  <r>
    <x v="1601"/>
    <n v="1"/>
    <x v="1"/>
    <n v="91"/>
  </r>
  <r>
    <x v="1602"/>
    <n v="1"/>
    <x v="1"/>
    <n v="48"/>
  </r>
  <r>
    <x v="1603"/>
    <n v="1"/>
    <x v="1"/>
    <n v="62"/>
  </r>
  <r>
    <x v="1604"/>
    <n v="1"/>
    <x v="1"/>
    <n v="73"/>
  </r>
  <r>
    <x v="1605"/>
    <n v="1"/>
    <x v="1"/>
    <n v="66"/>
  </r>
  <r>
    <x v="1606"/>
    <n v="1"/>
    <x v="1"/>
    <n v="66"/>
  </r>
  <r>
    <x v="1607"/>
    <n v="1"/>
    <x v="1"/>
    <n v="82"/>
  </r>
  <r>
    <x v="1608"/>
    <n v="1"/>
    <x v="1"/>
    <n v="48"/>
  </r>
  <r>
    <x v="1609"/>
    <n v="1"/>
    <x v="1"/>
    <n v="39"/>
  </r>
  <r>
    <x v="1610"/>
    <n v="1"/>
    <x v="1"/>
    <n v="57"/>
  </r>
  <r>
    <x v="1611"/>
    <n v="1"/>
    <x v="1"/>
    <n v="60"/>
  </r>
  <r>
    <x v="1612"/>
    <n v="1"/>
    <x v="1"/>
    <n v="83"/>
  </r>
  <r>
    <x v="1613"/>
    <n v="1"/>
    <x v="1"/>
    <n v="85"/>
  </r>
  <r>
    <x v="1614"/>
    <n v="1"/>
    <x v="1"/>
    <n v="106"/>
  </r>
  <r>
    <x v="1615"/>
    <n v="1"/>
    <x v="1"/>
    <n v="103"/>
  </r>
  <r>
    <x v="1616"/>
    <n v="1"/>
    <x v="1"/>
    <n v="54"/>
  </r>
  <r>
    <x v="1617"/>
    <n v="1"/>
    <x v="1"/>
    <n v="67"/>
  </r>
  <r>
    <x v="1618"/>
    <n v="1"/>
    <x v="1"/>
    <n v="67"/>
  </r>
  <r>
    <x v="1619"/>
    <n v="1"/>
    <x v="1"/>
    <n v="68"/>
  </r>
  <r>
    <x v="1620"/>
    <n v="1"/>
    <x v="1"/>
    <n v="75"/>
  </r>
  <r>
    <x v="1621"/>
    <n v="1"/>
    <x v="1"/>
    <n v="85"/>
  </r>
  <r>
    <x v="1622"/>
    <n v="1"/>
    <x v="1"/>
    <n v="87"/>
  </r>
  <r>
    <x v="1623"/>
    <n v="1"/>
    <x v="1"/>
    <n v="66"/>
  </r>
  <r>
    <x v="1624"/>
    <n v="1"/>
    <x v="1"/>
    <n v="79"/>
  </r>
  <r>
    <x v="1625"/>
    <n v="1"/>
    <x v="1"/>
    <n v="63"/>
  </r>
  <r>
    <x v="1626"/>
    <n v="1"/>
    <x v="1"/>
    <n v="77"/>
  </r>
  <r>
    <x v="1627"/>
    <n v="1"/>
    <x v="1"/>
    <n v="76"/>
  </r>
  <r>
    <x v="1628"/>
    <n v="1"/>
    <x v="1"/>
    <n v="82"/>
  </r>
  <r>
    <x v="1629"/>
    <n v="1"/>
    <x v="1"/>
    <n v="77"/>
  </r>
  <r>
    <x v="1630"/>
    <n v="1"/>
    <x v="1"/>
    <n v="54"/>
  </r>
  <r>
    <x v="1631"/>
    <n v="1"/>
    <x v="1"/>
    <n v="66"/>
  </r>
  <r>
    <x v="1632"/>
    <n v="1"/>
    <x v="1"/>
    <n v="56"/>
  </r>
  <r>
    <x v="1633"/>
    <n v="1"/>
    <x v="1"/>
    <n v="64"/>
  </r>
  <r>
    <x v="1634"/>
    <n v="1"/>
    <x v="1"/>
    <n v="75"/>
  </r>
  <r>
    <x v="1635"/>
    <n v="1"/>
    <x v="1"/>
    <n v="88"/>
  </r>
  <r>
    <x v="1636"/>
    <n v="1"/>
    <x v="1"/>
    <n v="101"/>
  </r>
  <r>
    <x v="1637"/>
    <n v="1"/>
    <x v="1"/>
    <n v="48"/>
  </r>
  <r>
    <x v="1638"/>
    <n v="1"/>
    <x v="1"/>
    <n v="53"/>
  </r>
  <r>
    <x v="1639"/>
    <n v="1"/>
    <x v="1"/>
    <n v="63"/>
  </r>
  <r>
    <x v="1640"/>
    <n v="1"/>
    <x v="1"/>
    <n v="64"/>
  </r>
  <r>
    <x v="1641"/>
    <n v="1"/>
    <x v="1"/>
    <n v="82"/>
  </r>
  <r>
    <x v="1642"/>
    <n v="1"/>
    <x v="1"/>
    <n v="83"/>
  </r>
  <r>
    <x v="1643"/>
    <n v="1"/>
    <x v="1"/>
    <n v="98"/>
  </r>
  <r>
    <x v="1644"/>
    <n v="1"/>
    <x v="1"/>
    <n v="52"/>
  </r>
  <r>
    <x v="1645"/>
    <n v="1"/>
    <x v="1"/>
    <n v="66"/>
  </r>
  <r>
    <x v="1646"/>
    <n v="1"/>
    <x v="1"/>
    <n v="67"/>
  </r>
  <r>
    <x v="1647"/>
    <n v="1"/>
    <x v="1"/>
    <n v="67"/>
  </r>
  <r>
    <x v="1648"/>
    <n v="1"/>
    <x v="1"/>
    <n v="80"/>
  </r>
  <r>
    <x v="1649"/>
    <n v="1"/>
    <x v="1"/>
    <n v="94"/>
  </r>
  <r>
    <x v="1650"/>
    <n v="1"/>
    <x v="1"/>
    <n v="97"/>
  </r>
  <r>
    <x v="1651"/>
    <n v="1"/>
    <x v="1"/>
    <n v="49"/>
  </r>
  <r>
    <x v="1652"/>
    <n v="1"/>
    <x v="1"/>
    <n v="65"/>
  </r>
  <r>
    <x v="1653"/>
    <n v="1"/>
    <x v="1"/>
    <n v="76"/>
  </r>
  <r>
    <x v="1654"/>
    <n v="1"/>
    <x v="1"/>
    <n v="63"/>
  </r>
  <r>
    <x v="1655"/>
    <n v="1"/>
    <x v="1"/>
    <n v="84"/>
  </r>
  <r>
    <x v="1656"/>
    <n v="1"/>
    <x v="1"/>
    <n v="86"/>
  </r>
  <r>
    <x v="1657"/>
    <n v="1"/>
    <x v="1"/>
    <n v="115"/>
  </r>
  <r>
    <x v="1658"/>
    <n v="1"/>
    <x v="1"/>
    <n v="64"/>
  </r>
  <r>
    <x v="1659"/>
    <n v="1"/>
    <x v="1"/>
    <n v="76"/>
  </r>
  <r>
    <x v="1660"/>
    <n v="1"/>
    <x v="1"/>
    <n v="81"/>
  </r>
  <r>
    <x v="1661"/>
    <n v="1"/>
    <x v="1"/>
    <n v="76"/>
  </r>
  <r>
    <x v="1662"/>
    <n v="1"/>
    <x v="1"/>
    <n v="81"/>
  </r>
  <r>
    <x v="1663"/>
    <n v="1"/>
    <x v="1"/>
    <n v="94"/>
  </r>
  <r>
    <x v="1664"/>
    <n v="1"/>
    <x v="1"/>
    <n v="89"/>
  </r>
  <r>
    <x v="1665"/>
    <n v="1"/>
    <x v="1"/>
    <n v="53"/>
  </r>
  <r>
    <x v="1666"/>
    <n v="1"/>
    <x v="1"/>
    <n v="70"/>
  </r>
  <r>
    <x v="1667"/>
    <n v="1"/>
    <x v="1"/>
    <n v="67"/>
  </r>
  <r>
    <x v="1668"/>
    <n v="1"/>
    <x v="1"/>
    <n v="73"/>
  </r>
  <r>
    <x v="1669"/>
    <n v="1"/>
    <x v="1"/>
    <n v="73"/>
  </r>
  <r>
    <x v="1670"/>
    <n v="1"/>
    <x v="1"/>
    <n v="86"/>
  </r>
  <r>
    <x v="1671"/>
    <n v="1"/>
    <x v="1"/>
    <n v="86"/>
  </r>
  <r>
    <x v="1672"/>
    <n v="1"/>
    <x v="1"/>
    <n v="59"/>
  </r>
  <r>
    <x v="1673"/>
    <n v="1"/>
    <x v="1"/>
    <n v="58"/>
  </r>
  <r>
    <x v="1674"/>
    <n v="1"/>
    <x v="1"/>
    <n v="59"/>
  </r>
  <r>
    <x v="1675"/>
    <n v="1"/>
    <x v="1"/>
    <n v="72"/>
  </r>
  <r>
    <x v="1676"/>
    <n v="1"/>
    <x v="1"/>
    <n v="77"/>
  </r>
  <r>
    <x v="1677"/>
    <n v="1"/>
    <x v="1"/>
    <n v="65"/>
  </r>
  <r>
    <x v="1678"/>
    <n v="1"/>
    <x v="1"/>
    <n v="89"/>
  </r>
  <r>
    <x v="1679"/>
    <n v="1"/>
    <x v="1"/>
    <n v="54"/>
  </r>
  <r>
    <x v="1680"/>
    <n v="1"/>
    <x v="1"/>
    <n v="81"/>
  </r>
  <r>
    <x v="1681"/>
    <n v="1"/>
    <x v="1"/>
    <n v="58"/>
  </r>
  <r>
    <x v="1682"/>
    <n v="1"/>
    <x v="1"/>
    <n v="72"/>
  </r>
  <r>
    <x v="1683"/>
    <n v="1"/>
    <x v="1"/>
    <n v="74"/>
  </r>
  <r>
    <x v="1684"/>
    <n v="1"/>
    <x v="1"/>
    <n v="67"/>
  </r>
  <r>
    <x v="1685"/>
    <n v="1"/>
    <x v="1"/>
    <n v="78"/>
  </r>
  <r>
    <x v="1686"/>
    <n v="1"/>
    <x v="1"/>
    <n v="50"/>
  </r>
  <r>
    <x v="1687"/>
    <n v="1"/>
    <x v="1"/>
    <n v="59"/>
  </r>
  <r>
    <x v="1688"/>
    <n v="1"/>
    <x v="1"/>
    <n v="48"/>
  </r>
  <r>
    <x v="1689"/>
    <n v="1"/>
    <x v="1"/>
    <n v="64"/>
  </r>
  <r>
    <x v="1690"/>
    <n v="1"/>
    <x v="1"/>
    <n v="70"/>
  </r>
  <r>
    <x v="1691"/>
    <n v="1"/>
    <x v="1"/>
    <n v="78"/>
  </r>
  <r>
    <x v="1692"/>
    <n v="1"/>
    <x v="1"/>
    <n v="90"/>
  </r>
  <r>
    <x v="1693"/>
    <n v="1"/>
    <x v="1"/>
    <n v="46"/>
  </r>
  <r>
    <x v="1694"/>
    <n v="1"/>
    <x v="1"/>
    <n v="62"/>
  </r>
  <r>
    <x v="1695"/>
    <n v="1"/>
    <x v="1"/>
    <n v="65"/>
  </r>
  <r>
    <x v="1696"/>
    <n v="1"/>
    <x v="1"/>
    <n v="69"/>
  </r>
  <r>
    <x v="1697"/>
    <n v="1"/>
    <x v="1"/>
    <n v="91"/>
  </r>
  <r>
    <x v="1698"/>
    <n v="1"/>
    <x v="1"/>
    <n v="70"/>
  </r>
  <r>
    <x v="1699"/>
    <n v="1"/>
    <x v="1"/>
    <n v="94"/>
  </r>
  <r>
    <x v="1700"/>
    <n v="1"/>
    <x v="1"/>
    <n v="55"/>
  </r>
  <r>
    <x v="1701"/>
    <n v="1"/>
    <x v="1"/>
    <n v="42"/>
  </r>
  <r>
    <x v="1702"/>
    <n v="1"/>
    <x v="1"/>
    <n v="77"/>
  </r>
  <r>
    <x v="1703"/>
    <n v="1"/>
    <x v="1"/>
    <n v="55"/>
  </r>
  <r>
    <x v="1704"/>
    <n v="1"/>
    <x v="1"/>
    <n v="67"/>
  </r>
  <r>
    <x v="1705"/>
    <n v="1"/>
    <x v="1"/>
    <n v="78"/>
  </r>
  <r>
    <x v="1706"/>
    <n v="1"/>
    <x v="1"/>
    <n v="87"/>
  </r>
  <r>
    <x v="1707"/>
    <n v="1"/>
    <x v="1"/>
    <n v="51"/>
  </r>
  <r>
    <x v="1708"/>
    <n v="1"/>
    <x v="1"/>
    <n v="54"/>
  </r>
  <r>
    <x v="1709"/>
    <n v="1"/>
    <x v="1"/>
    <n v="69"/>
  </r>
  <r>
    <x v="1710"/>
    <n v="1"/>
    <x v="1"/>
    <n v="59"/>
  </r>
  <r>
    <x v="1711"/>
    <n v="1"/>
    <x v="1"/>
    <n v="65"/>
  </r>
  <r>
    <x v="1712"/>
    <n v="1"/>
    <x v="1"/>
    <n v="71"/>
  </r>
  <r>
    <x v="1713"/>
    <n v="1"/>
    <x v="1"/>
    <n v="64"/>
  </r>
  <r>
    <x v="1714"/>
    <n v="1"/>
    <x v="1"/>
    <n v="44"/>
  </r>
  <r>
    <x v="1715"/>
    <n v="1"/>
    <x v="1"/>
    <n v="58"/>
  </r>
  <r>
    <x v="1716"/>
    <n v="1"/>
    <x v="1"/>
    <n v="57"/>
  </r>
  <r>
    <x v="1717"/>
    <n v="1"/>
    <x v="1"/>
    <n v="71"/>
  </r>
  <r>
    <x v="1718"/>
    <n v="1"/>
    <x v="1"/>
    <n v="60"/>
  </r>
  <r>
    <x v="1719"/>
    <n v="1"/>
    <x v="1"/>
    <n v="75"/>
  </r>
  <r>
    <x v="1720"/>
    <n v="1"/>
    <x v="1"/>
    <n v="58"/>
  </r>
  <r>
    <x v="1721"/>
    <n v="1"/>
    <x v="1"/>
    <n v="47"/>
  </r>
  <r>
    <x v="1722"/>
    <n v="1"/>
    <x v="1"/>
    <n v="66"/>
  </r>
  <r>
    <x v="1723"/>
    <n v="1"/>
    <x v="1"/>
    <n v="61"/>
  </r>
  <r>
    <x v="1724"/>
    <n v="1"/>
    <x v="1"/>
    <n v="66"/>
  </r>
  <r>
    <x v="1725"/>
    <n v="1"/>
    <x v="1"/>
    <n v="70"/>
  </r>
  <r>
    <x v="1726"/>
    <n v="1"/>
    <x v="1"/>
    <n v="85"/>
  </r>
  <r>
    <x v="1727"/>
    <n v="1"/>
    <x v="1"/>
    <n v="73"/>
  </r>
  <r>
    <x v="1728"/>
    <n v="1"/>
    <x v="1"/>
    <n v="49"/>
  </r>
  <r>
    <x v="1729"/>
    <n v="1"/>
    <x v="1"/>
    <n v="61"/>
  </r>
  <r>
    <x v="1730"/>
    <n v="1"/>
    <x v="1"/>
    <n v="57"/>
  </r>
  <r>
    <x v="1731"/>
    <n v="1"/>
    <x v="1"/>
    <n v="55"/>
  </r>
  <r>
    <x v="1732"/>
    <n v="1"/>
    <x v="1"/>
    <n v="66"/>
  </r>
  <r>
    <x v="1733"/>
    <n v="1"/>
    <x v="1"/>
    <n v="79"/>
  </r>
  <r>
    <x v="1734"/>
    <n v="1"/>
    <x v="1"/>
    <n v="60"/>
  </r>
  <r>
    <x v="1735"/>
    <n v="1"/>
    <x v="1"/>
    <n v="56"/>
  </r>
  <r>
    <x v="1736"/>
    <n v="1"/>
    <x v="1"/>
    <n v="55"/>
  </r>
  <r>
    <x v="1737"/>
    <n v="1"/>
    <x v="1"/>
    <n v="55"/>
  </r>
  <r>
    <x v="1738"/>
    <n v="1"/>
    <x v="1"/>
    <n v="59"/>
  </r>
  <r>
    <x v="1739"/>
    <n v="1"/>
    <x v="1"/>
    <n v="54"/>
  </r>
  <r>
    <x v="1740"/>
    <n v="1"/>
    <x v="1"/>
    <n v="61"/>
  </r>
  <r>
    <x v="1741"/>
    <n v="1"/>
    <x v="1"/>
    <n v="60"/>
  </r>
  <r>
    <x v="1742"/>
    <n v="1"/>
    <x v="1"/>
    <n v="46"/>
  </r>
  <r>
    <x v="1743"/>
    <n v="1"/>
    <x v="1"/>
    <n v="52"/>
  </r>
  <r>
    <x v="1744"/>
    <n v="1"/>
    <x v="1"/>
    <n v="55"/>
  </r>
  <r>
    <x v="1745"/>
    <n v="1"/>
    <x v="1"/>
    <n v="48"/>
  </r>
  <r>
    <x v="1746"/>
    <n v="1"/>
    <x v="1"/>
    <n v="53"/>
  </r>
  <r>
    <x v="1747"/>
    <n v="1"/>
    <x v="1"/>
    <n v="64"/>
  </r>
  <r>
    <x v="1748"/>
    <n v="1"/>
    <x v="1"/>
    <n v="64"/>
  </r>
  <r>
    <x v="1749"/>
    <n v="1"/>
    <x v="1"/>
    <n v="44"/>
  </r>
  <r>
    <x v="1750"/>
    <n v="1"/>
    <x v="1"/>
    <n v="47"/>
  </r>
  <r>
    <x v="1751"/>
    <n v="1"/>
    <x v="1"/>
    <n v="70"/>
  </r>
  <r>
    <x v="1752"/>
    <n v="1"/>
    <x v="1"/>
    <n v="45"/>
  </r>
  <r>
    <x v="1753"/>
    <n v="1"/>
    <x v="1"/>
    <n v="51"/>
  </r>
  <r>
    <x v="1754"/>
    <n v="1"/>
    <x v="1"/>
    <n v="70"/>
  </r>
  <r>
    <x v="1755"/>
    <n v="1"/>
    <x v="1"/>
    <n v="61"/>
  </r>
  <r>
    <x v="1756"/>
    <n v="1"/>
    <x v="1"/>
    <n v="45"/>
  </r>
  <r>
    <x v="1757"/>
    <n v="1"/>
    <x v="1"/>
    <n v="56"/>
  </r>
  <r>
    <x v="1758"/>
    <n v="1"/>
    <x v="1"/>
    <n v="66"/>
  </r>
  <r>
    <x v="1759"/>
    <n v="1"/>
    <x v="1"/>
    <n v="44"/>
  </r>
  <r>
    <x v="1760"/>
    <n v="1"/>
    <x v="1"/>
    <n v="66"/>
  </r>
  <r>
    <x v="1761"/>
    <n v="1"/>
    <x v="1"/>
    <n v="61"/>
  </r>
  <r>
    <x v="1762"/>
    <n v="1"/>
    <x v="1"/>
    <n v="77"/>
  </r>
  <r>
    <x v="1763"/>
    <n v="1"/>
    <x v="1"/>
    <n v="53"/>
  </r>
  <r>
    <x v="1764"/>
    <n v="1"/>
    <x v="1"/>
    <n v="50"/>
  </r>
  <r>
    <x v="1765"/>
    <n v="1"/>
    <x v="1"/>
    <n v="63"/>
  </r>
  <r>
    <x v="1766"/>
    <n v="1"/>
    <x v="1"/>
    <n v="67"/>
  </r>
  <r>
    <x v="1767"/>
    <n v="1"/>
    <x v="1"/>
    <n v="75"/>
  </r>
  <r>
    <x v="1768"/>
    <n v="1"/>
    <x v="1"/>
    <n v="68"/>
  </r>
  <r>
    <x v="1769"/>
    <n v="1"/>
    <x v="1"/>
    <n v="74"/>
  </r>
  <r>
    <x v="1770"/>
    <n v="1"/>
    <x v="1"/>
    <n v="69"/>
  </r>
  <r>
    <x v="1771"/>
    <n v="1"/>
    <x v="1"/>
    <n v="68"/>
  </r>
  <r>
    <x v="1772"/>
    <n v="1"/>
    <x v="1"/>
    <n v="58"/>
  </r>
  <r>
    <x v="1773"/>
    <n v="1"/>
    <x v="1"/>
    <n v="62"/>
  </r>
  <r>
    <x v="1774"/>
    <n v="1"/>
    <x v="1"/>
    <n v="58"/>
  </r>
  <r>
    <x v="1775"/>
    <n v="1"/>
    <x v="1"/>
    <n v="69"/>
  </r>
  <r>
    <x v="1776"/>
    <n v="1"/>
    <x v="1"/>
    <n v="76"/>
  </r>
  <r>
    <x v="1777"/>
    <n v="1"/>
    <x v="1"/>
    <n v="61"/>
  </r>
  <r>
    <x v="1778"/>
    <n v="1"/>
    <x v="1"/>
    <n v="57"/>
  </r>
  <r>
    <x v="1779"/>
    <n v="1"/>
    <x v="1"/>
    <n v="55"/>
  </r>
  <r>
    <x v="1780"/>
    <n v="1"/>
    <x v="1"/>
    <n v="53"/>
  </r>
  <r>
    <x v="1781"/>
    <n v="1"/>
    <x v="1"/>
    <n v="75"/>
  </r>
  <r>
    <x v="1782"/>
    <n v="1"/>
    <x v="1"/>
    <n v="78"/>
  </r>
  <r>
    <x v="1783"/>
    <n v="1"/>
    <x v="1"/>
    <n v="73"/>
  </r>
  <r>
    <x v="1784"/>
    <n v="1"/>
    <x v="1"/>
    <n v="54"/>
  </r>
  <r>
    <x v="1785"/>
    <n v="1"/>
    <x v="1"/>
    <n v="55"/>
  </r>
  <r>
    <x v="1786"/>
    <n v="1"/>
    <x v="1"/>
    <n v="51"/>
  </r>
  <r>
    <x v="1787"/>
    <n v="1"/>
    <x v="1"/>
    <n v="73"/>
  </r>
  <r>
    <x v="1788"/>
    <n v="1"/>
    <x v="1"/>
    <n v="68"/>
  </r>
  <r>
    <x v="1789"/>
    <n v="1"/>
    <x v="1"/>
    <n v="63"/>
  </r>
  <r>
    <x v="1790"/>
    <n v="1"/>
    <x v="1"/>
    <n v="78"/>
  </r>
  <r>
    <x v="1791"/>
    <n v="1"/>
    <x v="1"/>
    <n v="58"/>
  </r>
  <r>
    <x v="1792"/>
    <n v="1"/>
    <x v="1"/>
    <n v="57"/>
  </r>
  <r>
    <x v="1793"/>
    <n v="1"/>
    <x v="1"/>
    <n v="66"/>
  </r>
  <r>
    <x v="1794"/>
    <n v="1"/>
    <x v="1"/>
    <n v="80"/>
  </r>
  <r>
    <x v="1795"/>
    <n v="1"/>
    <x v="1"/>
    <n v="56"/>
  </r>
  <r>
    <x v="1796"/>
    <n v="1"/>
    <x v="1"/>
    <n v="64"/>
  </r>
  <r>
    <x v="1797"/>
    <n v="1"/>
    <x v="1"/>
    <n v="59"/>
  </r>
  <r>
    <x v="1798"/>
    <n v="1"/>
    <x v="1"/>
    <n v="33"/>
  </r>
  <r>
    <x v="1799"/>
    <n v="1"/>
    <x v="1"/>
    <n v="45"/>
  </r>
  <r>
    <x v="1800"/>
    <n v="1"/>
    <x v="1"/>
    <n v="50"/>
  </r>
  <r>
    <x v="1801"/>
    <n v="1"/>
    <x v="1"/>
    <n v="47"/>
  </r>
  <r>
    <x v="1802"/>
    <n v="1"/>
    <x v="1"/>
    <n v="44"/>
  </r>
  <r>
    <x v="1803"/>
    <n v="1"/>
    <x v="1"/>
    <n v="50"/>
  </r>
  <r>
    <x v="1804"/>
    <n v="1"/>
    <x v="1"/>
    <n v="50"/>
  </r>
  <r>
    <x v="1805"/>
    <n v="1"/>
    <x v="1"/>
    <n v="43"/>
  </r>
  <r>
    <x v="1806"/>
    <n v="1"/>
    <x v="1"/>
    <n v="37"/>
  </r>
  <r>
    <x v="1807"/>
    <n v="1"/>
    <x v="1"/>
    <n v="50"/>
  </r>
  <r>
    <x v="1808"/>
    <n v="1"/>
    <x v="1"/>
    <n v="42"/>
  </r>
  <r>
    <x v="1809"/>
    <n v="1"/>
    <x v="1"/>
    <n v="52"/>
  </r>
  <r>
    <x v="1810"/>
    <n v="1"/>
    <x v="1"/>
    <n v="48"/>
  </r>
  <r>
    <x v="1811"/>
    <n v="1"/>
    <x v="1"/>
    <n v="55"/>
  </r>
  <r>
    <x v="1812"/>
    <n v="1"/>
    <x v="1"/>
    <n v="37"/>
  </r>
  <r>
    <x v="1813"/>
    <n v="1"/>
    <x v="1"/>
    <n v="41"/>
  </r>
  <r>
    <x v="1814"/>
    <n v="1"/>
    <x v="1"/>
    <n v="35"/>
  </r>
  <r>
    <x v="1815"/>
    <n v="1"/>
    <x v="1"/>
    <n v="39"/>
  </r>
  <r>
    <x v="1816"/>
    <n v="1"/>
    <x v="1"/>
    <n v="41"/>
  </r>
  <r>
    <x v="1817"/>
    <n v="1"/>
    <x v="1"/>
    <n v="52"/>
  </r>
  <r>
    <x v="1818"/>
    <n v="1"/>
    <x v="1"/>
    <n v="47"/>
  </r>
  <r>
    <x v="1819"/>
    <n v="1"/>
    <x v="1"/>
    <n v="37"/>
  </r>
  <r>
    <x v="1820"/>
    <n v="1"/>
    <x v="1"/>
    <n v="43"/>
  </r>
  <r>
    <x v="1821"/>
    <n v="1"/>
    <x v="1"/>
    <n v="55"/>
  </r>
  <r>
    <x v="1822"/>
    <n v="1"/>
    <x v="1"/>
    <n v="50"/>
  </r>
  <r>
    <x v="1823"/>
    <n v="1"/>
    <x v="1"/>
    <n v="50"/>
  </r>
  <r>
    <x v="1824"/>
    <n v="1"/>
    <x v="1"/>
    <n v="56"/>
  </r>
  <r>
    <x v="1825"/>
    <n v="1"/>
    <x v="1"/>
    <n v="67"/>
  </r>
  <r>
    <x v="0"/>
    <n v="1"/>
    <x v="2"/>
    <n v="15"/>
  </r>
  <r>
    <x v="1"/>
    <n v="1"/>
    <x v="2"/>
    <n v="30"/>
  </r>
  <r>
    <x v="2"/>
    <n v="1"/>
    <x v="2"/>
    <n v="14"/>
  </r>
  <r>
    <x v="3"/>
    <n v="1"/>
    <x v="2"/>
    <n v="10"/>
  </r>
  <r>
    <x v="4"/>
    <n v="1"/>
    <x v="2"/>
    <n v="23"/>
  </r>
  <r>
    <x v="5"/>
    <n v="1"/>
    <x v="2"/>
    <n v="23"/>
  </r>
  <r>
    <x v="6"/>
    <n v="1"/>
    <x v="2"/>
    <n v="10"/>
  </r>
  <r>
    <x v="7"/>
    <n v="1"/>
    <x v="2"/>
    <n v="13"/>
  </r>
  <r>
    <x v="8"/>
    <n v="1"/>
    <x v="2"/>
    <n v="16"/>
  </r>
  <r>
    <x v="9"/>
    <n v="1"/>
    <x v="2"/>
    <n v="15"/>
  </r>
  <r>
    <x v="10"/>
    <n v="1"/>
    <x v="2"/>
    <n v="24"/>
  </r>
  <r>
    <x v="11"/>
    <n v="1"/>
    <x v="2"/>
    <n v="19"/>
  </r>
  <r>
    <x v="12"/>
    <n v="1"/>
    <x v="2"/>
    <n v="19"/>
  </r>
  <r>
    <x v="13"/>
    <n v="1"/>
    <x v="2"/>
    <n v="15"/>
  </r>
  <r>
    <x v="14"/>
    <n v="1"/>
    <x v="2"/>
    <n v="12"/>
  </r>
  <r>
    <x v="15"/>
    <n v="1"/>
    <x v="2"/>
    <n v="26"/>
  </r>
  <r>
    <x v="16"/>
    <n v="1"/>
    <x v="2"/>
    <n v="14"/>
  </r>
  <r>
    <x v="17"/>
    <n v="1"/>
    <x v="2"/>
    <n v="21"/>
  </r>
  <r>
    <x v="18"/>
    <n v="1"/>
    <x v="2"/>
    <n v="13"/>
  </r>
  <r>
    <x v="19"/>
    <n v="1"/>
    <x v="2"/>
    <n v="21"/>
  </r>
  <r>
    <x v="20"/>
    <n v="1"/>
    <x v="2"/>
    <n v="18"/>
  </r>
  <r>
    <x v="21"/>
    <n v="1"/>
    <x v="2"/>
    <n v="20"/>
  </r>
  <r>
    <x v="22"/>
    <n v="1"/>
    <x v="2"/>
    <n v="14"/>
  </r>
  <r>
    <x v="23"/>
    <n v="1"/>
    <x v="2"/>
    <n v="20"/>
  </r>
  <r>
    <x v="24"/>
    <n v="1"/>
    <x v="2"/>
    <n v="21"/>
  </r>
  <r>
    <x v="25"/>
    <n v="1"/>
    <x v="2"/>
    <n v="17"/>
  </r>
  <r>
    <x v="26"/>
    <n v="1"/>
    <x v="2"/>
    <n v="17"/>
  </r>
  <r>
    <x v="27"/>
    <n v="1"/>
    <x v="2"/>
    <n v="14"/>
  </r>
  <r>
    <x v="28"/>
    <n v="1"/>
    <x v="2"/>
    <n v="15"/>
  </r>
  <r>
    <x v="29"/>
    <n v="1"/>
    <x v="2"/>
    <n v="14"/>
  </r>
  <r>
    <x v="30"/>
    <n v="1"/>
    <x v="2"/>
    <n v="24"/>
  </r>
  <r>
    <x v="31"/>
    <n v="1"/>
    <x v="2"/>
    <n v="22"/>
  </r>
  <r>
    <x v="32"/>
    <n v="1"/>
    <x v="2"/>
    <n v="32"/>
  </r>
  <r>
    <x v="33"/>
    <n v="1"/>
    <x v="2"/>
    <n v="29"/>
  </r>
  <r>
    <x v="34"/>
    <n v="1"/>
    <x v="2"/>
    <n v="21"/>
  </r>
  <r>
    <x v="35"/>
    <n v="1"/>
    <x v="2"/>
    <n v="21"/>
  </r>
  <r>
    <x v="36"/>
    <n v="1"/>
    <x v="2"/>
    <n v="19"/>
  </r>
  <r>
    <x v="37"/>
    <n v="1"/>
    <x v="2"/>
    <n v="15"/>
  </r>
  <r>
    <x v="38"/>
    <n v="1"/>
    <x v="2"/>
    <n v="26"/>
  </r>
  <r>
    <x v="39"/>
    <n v="1"/>
    <x v="2"/>
    <n v="24"/>
  </r>
  <r>
    <x v="40"/>
    <n v="1"/>
    <x v="2"/>
    <n v="24"/>
  </r>
  <r>
    <x v="41"/>
    <n v="1"/>
    <x v="2"/>
    <n v="18"/>
  </r>
  <r>
    <x v="42"/>
    <n v="1"/>
    <x v="2"/>
    <n v="17"/>
  </r>
  <r>
    <x v="43"/>
    <n v="1"/>
    <x v="2"/>
    <n v="21"/>
  </r>
  <r>
    <x v="44"/>
    <n v="1"/>
    <x v="2"/>
    <n v="12"/>
  </r>
  <r>
    <x v="45"/>
    <n v="1"/>
    <x v="2"/>
    <n v="23"/>
  </r>
  <r>
    <x v="46"/>
    <n v="1"/>
    <x v="2"/>
    <n v="23"/>
  </r>
  <r>
    <x v="47"/>
    <n v="1"/>
    <x v="2"/>
    <n v="22"/>
  </r>
  <r>
    <x v="48"/>
    <n v="1"/>
    <x v="2"/>
    <n v="16"/>
  </r>
  <r>
    <x v="49"/>
    <n v="1"/>
    <x v="2"/>
    <n v="19"/>
  </r>
  <r>
    <x v="50"/>
    <n v="1"/>
    <x v="2"/>
    <n v="25"/>
  </r>
  <r>
    <x v="51"/>
    <n v="1"/>
    <x v="2"/>
    <n v="21"/>
  </r>
  <r>
    <x v="52"/>
    <n v="1"/>
    <x v="2"/>
    <n v="24"/>
  </r>
  <r>
    <x v="53"/>
    <n v="1"/>
    <x v="2"/>
    <n v="29"/>
  </r>
  <r>
    <x v="54"/>
    <n v="1"/>
    <x v="2"/>
    <n v="15"/>
  </r>
  <r>
    <x v="55"/>
    <n v="1"/>
    <x v="2"/>
    <n v="19"/>
  </r>
  <r>
    <x v="56"/>
    <n v="1"/>
    <x v="2"/>
    <n v="17"/>
  </r>
  <r>
    <x v="57"/>
    <n v="1"/>
    <x v="2"/>
    <n v="19"/>
  </r>
  <r>
    <x v="58"/>
    <n v="1"/>
    <x v="2"/>
    <n v="24"/>
  </r>
  <r>
    <x v="59"/>
    <n v="1"/>
    <x v="2"/>
    <n v="31"/>
  </r>
  <r>
    <x v="60"/>
    <n v="1"/>
    <x v="2"/>
    <n v="32"/>
  </r>
  <r>
    <x v="61"/>
    <n v="1"/>
    <x v="2"/>
    <n v="27"/>
  </r>
  <r>
    <x v="62"/>
    <n v="1"/>
    <x v="2"/>
    <n v="19"/>
  </r>
  <r>
    <x v="63"/>
    <n v="1"/>
    <x v="2"/>
    <n v="18"/>
  </r>
  <r>
    <x v="64"/>
    <n v="1"/>
    <x v="2"/>
    <n v="19"/>
  </r>
  <r>
    <x v="65"/>
    <n v="1"/>
    <x v="2"/>
    <n v="22"/>
  </r>
  <r>
    <x v="66"/>
    <n v="1"/>
    <x v="2"/>
    <n v="22"/>
  </r>
  <r>
    <x v="67"/>
    <n v="1"/>
    <x v="2"/>
    <n v="35"/>
  </r>
  <r>
    <x v="68"/>
    <n v="1"/>
    <x v="2"/>
    <n v="33"/>
  </r>
  <r>
    <x v="69"/>
    <n v="1"/>
    <x v="2"/>
    <n v="21"/>
  </r>
  <r>
    <x v="70"/>
    <n v="1"/>
    <x v="2"/>
    <n v="27"/>
  </r>
  <r>
    <x v="71"/>
    <n v="1"/>
    <x v="2"/>
    <n v="21"/>
  </r>
  <r>
    <x v="72"/>
    <n v="1"/>
    <x v="2"/>
    <n v="22"/>
  </r>
  <r>
    <x v="73"/>
    <n v="1"/>
    <x v="2"/>
    <n v="23"/>
  </r>
  <r>
    <x v="74"/>
    <n v="1"/>
    <x v="2"/>
    <n v="30"/>
  </r>
  <r>
    <x v="75"/>
    <n v="1"/>
    <x v="2"/>
    <n v="24"/>
  </r>
  <r>
    <x v="76"/>
    <n v="1"/>
    <x v="2"/>
    <n v="19"/>
  </r>
  <r>
    <x v="77"/>
    <n v="1"/>
    <x v="2"/>
    <n v="21"/>
  </r>
  <r>
    <x v="78"/>
    <n v="1"/>
    <x v="2"/>
    <n v="25"/>
  </r>
  <r>
    <x v="79"/>
    <n v="1"/>
    <x v="2"/>
    <n v="24"/>
  </r>
  <r>
    <x v="80"/>
    <n v="1"/>
    <x v="2"/>
    <n v="31"/>
  </r>
  <r>
    <x v="81"/>
    <n v="1"/>
    <x v="2"/>
    <n v="41"/>
  </r>
  <r>
    <x v="82"/>
    <n v="1"/>
    <x v="2"/>
    <n v="27"/>
  </r>
  <r>
    <x v="83"/>
    <n v="1"/>
    <x v="2"/>
    <n v="14"/>
  </r>
  <r>
    <x v="84"/>
    <n v="1"/>
    <x v="2"/>
    <n v="30"/>
  </r>
  <r>
    <x v="85"/>
    <n v="1"/>
    <x v="2"/>
    <n v="23"/>
  </r>
  <r>
    <x v="86"/>
    <n v="1"/>
    <x v="2"/>
    <n v="23"/>
  </r>
  <r>
    <x v="87"/>
    <n v="1"/>
    <x v="2"/>
    <n v="21"/>
  </r>
  <r>
    <x v="88"/>
    <n v="1"/>
    <x v="2"/>
    <n v="30"/>
  </r>
  <r>
    <x v="89"/>
    <n v="1"/>
    <x v="2"/>
    <n v="34"/>
  </r>
  <r>
    <x v="90"/>
    <n v="1"/>
    <x v="2"/>
    <n v="23"/>
  </r>
  <r>
    <x v="91"/>
    <n v="1"/>
    <x v="2"/>
    <n v="25"/>
  </r>
  <r>
    <x v="92"/>
    <n v="1"/>
    <x v="2"/>
    <n v="18"/>
  </r>
  <r>
    <x v="93"/>
    <n v="1"/>
    <x v="2"/>
    <n v="31"/>
  </r>
  <r>
    <x v="94"/>
    <n v="1"/>
    <x v="2"/>
    <n v="43"/>
  </r>
  <r>
    <x v="95"/>
    <n v="1"/>
    <x v="2"/>
    <n v="34"/>
  </r>
  <r>
    <x v="96"/>
    <n v="1"/>
    <x v="2"/>
    <n v="37"/>
  </r>
  <r>
    <x v="97"/>
    <n v="1"/>
    <x v="2"/>
    <n v="19"/>
  </r>
  <r>
    <x v="98"/>
    <n v="1"/>
    <x v="2"/>
    <n v="17"/>
  </r>
  <r>
    <x v="99"/>
    <n v="1"/>
    <x v="2"/>
    <n v="24"/>
  </r>
  <r>
    <x v="100"/>
    <n v="1"/>
    <x v="2"/>
    <n v="34"/>
  </r>
  <r>
    <x v="101"/>
    <n v="1"/>
    <x v="2"/>
    <n v="37"/>
  </r>
  <r>
    <x v="102"/>
    <n v="1"/>
    <x v="2"/>
    <n v="31"/>
  </r>
  <r>
    <x v="103"/>
    <n v="1"/>
    <x v="2"/>
    <n v="39"/>
  </r>
  <r>
    <x v="104"/>
    <n v="1"/>
    <x v="2"/>
    <n v="24"/>
  </r>
  <r>
    <x v="105"/>
    <n v="1"/>
    <x v="2"/>
    <n v="13"/>
  </r>
  <r>
    <x v="106"/>
    <n v="1"/>
    <x v="2"/>
    <n v="25"/>
  </r>
  <r>
    <x v="107"/>
    <n v="1"/>
    <x v="2"/>
    <n v="21"/>
  </r>
  <r>
    <x v="108"/>
    <n v="1"/>
    <x v="2"/>
    <n v="40"/>
  </r>
  <r>
    <x v="109"/>
    <n v="1"/>
    <x v="2"/>
    <n v="29"/>
  </r>
  <r>
    <x v="110"/>
    <n v="1"/>
    <x v="2"/>
    <n v="35"/>
  </r>
  <r>
    <x v="111"/>
    <n v="1"/>
    <x v="2"/>
    <n v="33"/>
  </r>
  <r>
    <x v="112"/>
    <n v="1"/>
    <x v="2"/>
    <n v="32"/>
  </r>
  <r>
    <x v="113"/>
    <n v="1"/>
    <x v="2"/>
    <n v="33"/>
  </r>
  <r>
    <x v="114"/>
    <n v="1"/>
    <x v="2"/>
    <n v="31"/>
  </r>
  <r>
    <x v="115"/>
    <n v="1"/>
    <x v="2"/>
    <n v="21"/>
  </r>
  <r>
    <x v="116"/>
    <n v="1"/>
    <x v="2"/>
    <n v="32"/>
  </r>
  <r>
    <x v="117"/>
    <n v="1"/>
    <x v="2"/>
    <n v="28"/>
  </r>
  <r>
    <x v="118"/>
    <n v="1"/>
    <x v="2"/>
    <n v="16"/>
  </r>
  <r>
    <x v="119"/>
    <n v="1"/>
    <x v="2"/>
    <n v="28"/>
  </r>
  <r>
    <x v="120"/>
    <n v="1"/>
    <x v="2"/>
    <n v="38"/>
  </r>
  <r>
    <x v="121"/>
    <n v="1"/>
    <x v="2"/>
    <n v="26"/>
  </r>
  <r>
    <x v="122"/>
    <n v="1"/>
    <x v="2"/>
    <n v="41"/>
  </r>
  <r>
    <x v="123"/>
    <n v="1"/>
    <x v="2"/>
    <n v="40"/>
  </r>
  <r>
    <x v="124"/>
    <n v="1"/>
    <x v="2"/>
    <n v="33"/>
  </r>
  <r>
    <x v="125"/>
    <n v="1"/>
    <x v="2"/>
    <n v="23"/>
  </r>
  <r>
    <x v="126"/>
    <n v="1"/>
    <x v="2"/>
    <n v="29"/>
  </r>
  <r>
    <x v="127"/>
    <n v="1"/>
    <x v="2"/>
    <n v="17"/>
  </r>
  <r>
    <x v="128"/>
    <n v="1"/>
    <x v="2"/>
    <n v="23"/>
  </r>
  <r>
    <x v="129"/>
    <n v="1"/>
    <x v="2"/>
    <n v="42"/>
  </r>
  <r>
    <x v="130"/>
    <n v="1"/>
    <x v="2"/>
    <n v="34"/>
  </r>
  <r>
    <x v="131"/>
    <n v="1"/>
    <x v="2"/>
    <n v="38"/>
  </r>
  <r>
    <x v="132"/>
    <n v="1"/>
    <x v="2"/>
    <n v="17"/>
  </r>
  <r>
    <x v="133"/>
    <n v="1"/>
    <x v="2"/>
    <n v="26"/>
  </r>
  <r>
    <x v="134"/>
    <n v="1"/>
    <x v="2"/>
    <n v="34"/>
  </r>
  <r>
    <x v="135"/>
    <n v="1"/>
    <x v="2"/>
    <n v="34"/>
  </r>
  <r>
    <x v="136"/>
    <n v="1"/>
    <x v="2"/>
    <n v="34"/>
  </r>
  <r>
    <x v="137"/>
    <n v="1"/>
    <x v="2"/>
    <n v="36"/>
  </r>
  <r>
    <x v="138"/>
    <n v="1"/>
    <x v="2"/>
    <n v="41"/>
  </r>
  <r>
    <x v="139"/>
    <n v="1"/>
    <x v="2"/>
    <n v="16"/>
  </r>
  <r>
    <x v="140"/>
    <n v="1"/>
    <x v="2"/>
    <n v="35"/>
  </r>
  <r>
    <x v="141"/>
    <n v="1"/>
    <x v="2"/>
    <n v="24"/>
  </r>
  <r>
    <x v="142"/>
    <n v="1"/>
    <x v="2"/>
    <n v="39"/>
  </r>
  <r>
    <x v="143"/>
    <n v="1"/>
    <x v="2"/>
    <n v="43"/>
  </r>
  <r>
    <x v="144"/>
    <n v="1"/>
    <x v="2"/>
    <n v="34"/>
  </r>
  <r>
    <x v="145"/>
    <n v="1"/>
    <x v="2"/>
    <n v="34"/>
  </r>
  <r>
    <x v="146"/>
    <n v="1"/>
    <x v="2"/>
    <n v="26"/>
  </r>
  <r>
    <x v="147"/>
    <n v="1"/>
    <x v="2"/>
    <n v="29"/>
  </r>
  <r>
    <x v="148"/>
    <n v="1"/>
    <x v="2"/>
    <n v="33"/>
  </r>
  <r>
    <x v="149"/>
    <n v="1"/>
    <x v="2"/>
    <n v="38"/>
  </r>
  <r>
    <x v="150"/>
    <n v="1"/>
    <x v="2"/>
    <n v="36"/>
  </r>
  <r>
    <x v="151"/>
    <n v="1"/>
    <x v="2"/>
    <n v="34"/>
  </r>
  <r>
    <x v="152"/>
    <n v="1"/>
    <x v="2"/>
    <n v="34"/>
  </r>
  <r>
    <x v="153"/>
    <n v="1"/>
    <x v="2"/>
    <n v="26"/>
  </r>
  <r>
    <x v="154"/>
    <n v="1"/>
    <x v="2"/>
    <n v="32"/>
  </r>
  <r>
    <x v="155"/>
    <n v="1"/>
    <x v="2"/>
    <n v="29"/>
  </r>
  <r>
    <x v="156"/>
    <n v="1"/>
    <x v="2"/>
    <n v="29"/>
  </r>
  <r>
    <x v="157"/>
    <n v="1"/>
    <x v="2"/>
    <n v="38"/>
  </r>
  <r>
    <x v="158"/>
    <n v="1"/>
    <x v="2"/>
    <n v="36"/>
  </r>
  <r>
    <x v="159"/>
    <n v="1"/>
    <x v="2"/>
    <n v="42"/>
  </r>
  <r>
    <x v="160"/>
    <n v="1"/>
    <x v="2"/>
    <n v="27"/>
  </r>
  <r>
    <x v="161"/>
    <n v="1"/>
    <x v="2"/>
    <n v="38"/>
  </r>
  <r>
    <x v="162"/>
    <n v="1"/>
    <x v="2"/>
    <n v="30"/>
  </r>
  <r>
    <x v="163"/>
    <n v="1"/>
    <x v="2"/>
    <n v="26"/>
  </r>
  <r>
    <x v="164"/>
    <n v="1"/>
    <x v="2"/>
    <n v="25"/>
  </r>
  <r>
    <x v="165"/>
    <n v="1"/>
    <x v="2"/>
    <n v="42"/>
  </r>
  <r>
    <x v="166"/>
    <n v="1"/>
    <x v="2"/>
    <n v="46"/>
  </r>
  <r>
    <x v="167"/>
    <n v="1"/>
    <x v="2"/>
    <n v="33"/>
  </r>
  <r>
    <x v="168"/>
    <n v="1"/>
    <x v="2"/>
    <n v="27"/>
  </r>
  <r>
    <x v="169"/>
    <n v="1"/>
    <x v="2"/>
    <n v="30"/>
  </r>
  <r>
    <x v="170"/>
    <n v="1"/>
    <x v="2"/>
    <n v="35"/>
  </r>
  <r>
    <x v="171"/>
    <n v="1"/>
    <x v="2"/>
    <n v="39"/>
  </r>
  <r>
    <x v="172"/>
    <n v="1"/>
    <x v="2"/>
    <n v="23"/>
  </r>
  <r>
    <x v="173"/>
    <n v="1"/>
    <x v="2"/>
    <n v="33"/>
  </r>
  <r>
    <x v="174"/>
    <n v="1"/>
    <x v="2"/>
    <n v="27"/>
  </r>
  <r>
    <x v="175"/>
    <n v="1"/>
    <x v="2"/>
    <n v="37"/>
  </r>
  <r>
    <x v="176"/>
    <n v="1"/>
    <x v="2"/>
    <n v="29"/>
  </r>
  <r>
    <x v="177"/>
    <n v="1"/>
    <x v="2"/>
    <n v="36"/>
  </r>
  <r>
    <x v="178"/>
    <n v="1"/>
    <x v="2"/>
    <n v="33"/>
  </r>
  <r>
    <x v="179"/>
    <n v="1"/>
    <x v="2"/>
    <n v="39"/>
  </r>
  <r>
    <x v="180"/>
    <n v="1"/>
    <x v="2"/>
    <n v="41"/>
  </r>
  <r>
    <x v="181"/>
    <n v="1"/>
    <x v="2"/>
    <n v="32"/>
  </r>
  <r>
    <x v="182"/>
    <n v="1"/>
    <x v="2"/>
    <n v="33"/>
  </r>
  <r>
    <x v="183"/>
    <n v="1"/>
    <x v="2"/>
    <n v="43"/>
  </r>
  <r>
    <x v="184"/>
    <n v="1"/>
    <x v="2"/>
    <n v="37"/>
  </r>
  <r>
    <x v="185"/>
    <n v="1"/>
    <x v="2"/>
    <n v="29"/>
  </r>
  <r>
    <x v="186"/>
    <n v="1"/>
    <x v="2"/>
    <n v="27"/>
  </r>
  <r>
    <x v="187"/>
    <n v="1"/>
    <x v="2"/>
    <n v="39"/>
  </r>
  <r>
    <x v="188"/>
    <n v="1"/>
    <x v="2"/>
    <n v="27"/>
  </r>
  <r>
    <x v="189"/>
    <n v="1"/>
    <x v="2"/>
    <n v="24"/>
  </r>
  <r>
    <x v="190"/>
    <n v="1"/>
    <x v="2"/>
    <n v="36"/>
  </r>
  <r>
    <x v="191"/>
    <n v="1"/>
    <x v="2"/>
    <n v="38"/>
  </r>
  <r>
    <x v="192"/>
    <n v="1"/>
    <x v="2"/>
    <n v="47"/>
  </r>
  <r>
    <x v="193"/>
    <n v="1"/>
    <x v="2"/>
    <n v="33"/>
  </r>
  <r>
    <x v="194"/>
    <n v="1"/>
    <x v="2"/>
    <n v="45"/>
  </r>
  <r>
    <x v="195"/>
    <n v="1"/>
    <x v="2"/>
    <n v="28"/>
  </r>
  <r>
    <x v="196"/>
    <n v="1"/>
    <x v="2"/>
    <n v="41"/>
  </r>
  <r>
    <x v="197"/>
    <n v="1"/>
    <x v="2"/>
    <n v="29"/>
  </r>
  <r>
    <x v="198"/>
    <n v="1"/>
    <x v="2"/>
    <n v="37"/>
  </r>
  <r>
    <x v="199"/>
    <n v="1"/>
    <x v="2"/>
    <n v="29"/>
  </r>
  <r>
    <x v="200"/>
    <n v="1"/>
    <x v="2"/>
    <n v="43"/>
  </r>
  <r>
    <x v="201"/>
    <n v="1"/>
    <x v="2"/>
    <n v="45"/>
  </r>
  <r>
    <x v="202"/>
    <n v="1"/>
    <x v="2"/>
    <n v="22"/>
  </r>
  <r>
    <x v="203"/>
    <n v="1"/>
    <x v="2"/>
    <n v="45"/>
  </r>
  <r>
    <x v="204"/>
    <n v="1"/>
    <x v="2"/>
    <n v="43"/>
  </r>
  <r>
    <x v="205"/>
    <n v="1"/>
    <x v="2"/>
    <n v="34"/>
  </r>
  <r>
    <x v="206"/>
    <n v="1"/>
    <x v="2"/>
    <n v="42"/>
  </r>
  <r>
    <x v="207"/>
    <n v="1"/>
    <x v="2"/>
    <n v="31"/>
  </r>
  <r>
    <x v="208"/>
    <n v="1"/>
    <x v="2"/>
    <n v="50"/>
  </r>
  <r>
    <x v="209"/>
    <n v="1"/>
    <x v="2"/>
    <n v="21"/>
  </r>
  <r>
    <x v="210"/>
    <n v="1"/>
    <x v="2"/>
    <n v="38"/>
  </r>
  <r>
    <x v="211"/>
    <n v="1"/>
    <x v="2"/>
    <n v="37"/>
  </r>
  <r>
    <x v="212"/>
    <n v="1"/>
    <x v="2"/>
    <n v="28"/>
  </r>
  <r>
    <x v="213"/>
    <n v="1"/>
    <x v="2"/>
    <n v="35"/>
  </r>
  <r>
    <x v="214"/>
    <n v="1"/>
    <x v="2"/>
    <n v="36"/>
  </r>
  <r>
    <x v="215"/>
    <n v="1"/>
    <x v="2"/>
    <n v="24"/>
  </r>
  <r>
    <x v="216"/>
    <n v="1"/>
    <x v="2"/>
    <n v="18"/>
  </r>
  <r>
    <x v="217"/>
    <n v="1"/>
    <x v="2"/>
    <n v="42"/>
  </r>
  <r>
    <x v="218"/>
    <n v="1"/>
    <x v="2"/>
    <n v="27"/>
  </r>
  <r>
    <x v="219"/>
    <n v="1"/>
    <x v="2"/>
    <n v="35"/>
  </r>
  <r>
    <x v="220"/>
    <n v="1"/>
    <x v="2"/>
    <n v="39"/>
  </r>
  <r>
    <x v="221"/>
    <n v="1"/>
    <x v="2"/>
    <n v="43"/>
  </r>
  <r>
    <x v="222"/>
    <n v="1"/>
    <x v="2"/>
    <n v="30"/>
  </r>
  <r>
    <x v="223"/>
    <n v="1"/>
    <x v="2"/>
    <n v="21"/>
  </r>
  <r>
    <x v="224"/>
    <n v="1"/>
    <x v="2"/>
    <n v="34"/>
  </r>
  <r>
    <x v="225"/>
    <n v="1"/>
    <x v="2"/>
    <n v="28"/>
  </r>
  <r>
    <x v="226"/>
    <n v="1"/>
    <x v="2"/>
    <n v="36"/>
  </r>
  <r>
    <x v="227"/>
    <n v="1"/>
    <x v="2"/>
    <n v="37"/>
  </r>
  <r>
    <x v="228"/>
    <n v="1"/>
    <x v="2"/>
    <n v="29"/>
  </r>
  <r>
    <x v="229"/>
    <n v="1"/>
    <x v="2"/>
    <n v="34"/>
  </r>
  <r>
    <x v="230"/>
    <n v="1"/>
    <x v="2"/>
    <n v="36"/>
  </r>
  <r>
    <x v="231"/>
    <n v="1"/>
    <x v="2"/>
    <n v="31"/>
  </r>
  <r>
    <x v="232"/>
    <n v="1"/>
    <x v="2"/>
    <n v="22"/>
  </r>
  <r>
    <x v="233"/>
    <n v="1"/>
    <x v="2"/>
    <n v="30"/>
  </r>
  <r>
    <x v="234"/>
    <n v="1"/>
    <x v="2"/>
    <n v="38"/>
  </r>
  <r>
    <x v="235"/>
    <n v="1"/>
    <x v="2"/>
    <n v="46"/>
  </r>
  <r>
    <x v="236"/>
    <n v="1"/>
    <x v="2"/>
    <n v="34"/>
  </r>
  <r>
    <x v="237"/>
    <n v="1"/>
    <x v="2"/>
    <n v="22"/>
  </r>
  <r>
    <x v="238"/>
    <n v="1"/>
    <x v="2"/>
    <n v="29"/>
  </r>
  <r>
    <x v="239"/>
    <n v="1"/>
    <x v="2"/>
    <n v="28"/>
  </r>
  <r>
    <x v="240"/>
    <n v="1"/>
    <x v="2"/>
    <n v="26"/>
  </r>
  <r>
    <x v="241"/>
    <n v="1"/>
    <x v="2"/>
    <n v="44"/>
  </r>
  <r>
    <x v="242"/>
    <n v="1"/>
    <x v="2"/>
    <n v="34"/>
  </r>
  <r>
    <x v="243"/>
    <n v="1"/>
    <x v="2"/>
    <n v="42"/>
  </r>
  <r>
    <x v="244"/>
    <n v="1"/>
    <x v="2"/>
    <n v="28"/>
  </r>
  <r>
    <x v="245"/>
    <n v="1"/>
    <x v="2"/>
    <n v="29"/>
  </r>
  <r>
    <x v="246"/>
    <n v="1"/>
    <x v="2"/>
    <n v="21"/>
  </r>
  <r>
    <x v="247"/>
    <n v="1"/>
    <x v="2"/>
    <n v="30"/>
  </r>
  <r>
    <x v="248"/>
    <n v="1"/>
    <x v="2"/>
    <n v="31"/>
  </r>
  <r>
    <x v="249"/>
    <n v="1"/>
    <x v="2"/>
    <n v="37"/>
  </r>
  <r>
    <x v="250"/>
    <n v="1"/>
    <x v="2"/>
    <n v="40"/>
  </r>
  <r>
    <x v="251"/>
    <n v="1"/>
    <x v="2"/>
    <n v="18"/>
  </r>
  <r>
    <x v="252"/>
    <n v="1"/>
    <x v="2"/>
    <n v="34"/>
  </r>
  <r>
    <x v="253"/>
    <n v="1"/>
    <x v="2"/>
    <n v="27"/>
  </r>
  <r>
    <x v="254"/>
    <n v="1"/>
    <x v="2"/>
    <n v="32"/>
  </r>
  <r>
    <x v="255"/>
    <n v="1"/>
    <x v="2"/>
    <n v="29"/>
  </r>
  <r>
    <x v="256"/>
    <n v="1"/>
    <x v="2"/>
    <n v="34"/>
  </r>
  <r>
    <x v="257"/>
    <n v="1"/>
    <x v="2"/>
    <n v="28"/>
  </r>
  <r>
    <x v="258"/>
    <n v="1"/>
    <x v="2"/>
    <n v="20"/>
  </r>
  <r>
    <x v="259"/>
    <n v="1"/>
    <x v="2"/>
    <n v="25"/>
  </r>
  <r>
    <x v="260"/>
    <n v="1"/>
    <x v="2"/>
    <n v="31"/>
  </r>
  <r>
    <x v="261"/>
    <n v="1"/>
    <x v="2"/>
    <n v="33"/>
  </r>
  <r>
    <x v="262"/>
    <n v="1"/>
    <x v="2"/>
    <n v="27"/>
  </r>
  <r>
    <x v="263"/>
    <n v="1"/>
    <x v="2"/>
    <n v="33"/>
  </r>
  <r>
    <x v="264"/>
    <n v="1"/>
    <x v="2"/>
    <n v="37"/>
  </r>
  <r>
    <x v="265"/>
    <n v="1"/>
    <x v="2"/>
    <n v="13"/>
  </r>
  <r>
    <x v="266"/>
    <n v="1"/>
    <x v="2"/>
    <n v="34"/>
  </r>
  <r>
    <x v="267"/>
    <n v="1"/>
    <x v="2"/>
    <n v="25"/>
  </r>
  <r>
    <x v="268"/>
    <n v="1"/>
    <x v="2"/>
    <n v="30"/>
  </r>
  <r>
    <x v="269"/>
    <n v="1"/>
    <x v="2"/>
    <n v="34"/>
  </r>
  <r>
    <x v="270"/>
    <n v="1"/>
    <x v="2"/>
    <n v="36"/>
  </r>
  <r>
    <x v="271"/>
    <n v="1"/>
    <x v="2"/>
    <n v="32"/>
  </r>
  <r>
    <x v="272"/>
    <n v="1"/>
    <x v="2"/>
    <n v="21"/>
  </r>
  <r>
    <x v="273"/>
    <n v="1"/>
    <x v="2"/>
    <n v="21"/>
  </r>
  <r>
    <x v="274"/>
    <n v="1"/>
    <x v="2"/>
    <n v="32"/>
  </r>
  <r>
    <x v="275"/>
    <n v="1"/>
    <x v="2"/>
    <n v="32"/>
  </r>
  <r>
    <x v="276"/>
    <n v="1"/>
    <x v="2"/>
    <n v="30"/>
  </r>
  <r>
    <x v="277"/>
    <n v="1"/>
    <x v="2"/>
    <n v="26"/>
  </r>
  <r>
    <x v="278"/>
    <n v="1"/>
    <x v="2"/>
    <n v="30"/>
  </r>
  <r>
    <x v="279"/>
    <n v="1"/>
    <x v="2"/>
    <n v="16"/>
  </r>
  <r>
    <x v="280"/>
    <n v="1"/>
    <x v="2"/>
    <n v="21"/>
  </r>
  <r>
    <x v="281"/>
    <n v="1"/>
    <x v="2"/>
    <n v="21"/>
  </r>
  <r>
    <x v="282"/>
    <n v="1"/>
    <x v="2"/>
    <n v="32"/>
  </r>
  <r>
    <x v="283"/>
    <n v="1"/>
    <x v="2"/>
    <n v="19"/>
  </r>
  <r>
    <x v="284"/>
    <n v="1"/>
    <x v="2"/>
    <n v="23"/>
  </r>
  <r>
    <x v="285"/>
    <n v="1"/>
    <x v="2"/>
    <n v="23"/>
  </r>
  <r>
    <x v="286"/>
    <n v="1"/>
    <x v="2"/>
    <n v="19"/>
  </r>
  <r>
    <x v="287"/>
    <n v="1"/>
    <x v="2"/>
    <n v="29"/>
  </r>
  <r>
    <x v="288"/>
    <n v="1"/>
    <x v="2"/>
    <n v="23"/>
  </r>
  <r>
    <x v="289"/>
    <n v="1"/>
    <x v="2"/>
    <n v="27"/>
  </r>
  <r>
    <x v="290"/>
    <n v="1"/>
    <x v="2"/>
    <n v="21"/>
  </r>
  <r>
    <x v="291"/>
    <n v="1"/>
    <x v="2"/>
    <n v="23"/>
  </r>
  <r>
    <x v="292"/>
    <n v="1"/>
    <x v="2"/>
    <n v="37"/>
  </r>
  <r>
    <x v="293"/>
    <n v="1"/>
    <x v="2"/>
    <n v="19"/>
  </r>
  <r>
    <x v="294"/>
    <n v="1"/>
    <x v="2"/>
    <n v="22"/>
  </r>
  <r>
    <x v="295"/>
    <n v="1"/>
    <x v="2"/>
    <n v="22"/>
  </r>
  <r>
    <x v="296"/>
    <n v="1"/>
    <x v="2"/>
    <n v="28"/>
  </r>
  <r>
    <x v="297"/>
    <n v="1"/>
    <x v="2"/>
    <n v="28"/>
  </r>
  <r>
    <x v="298"/>
    <n v="1"/>
    <x v="2"/>
    <n v="31"/>
  </r>
  <r>
    <x v="299"/>
    <n v="1"/>
    <x v="2"/>
    <n v="31"/>
  </r>
  <r>
    <x v="300"/>
    <n v="1"/>
    <x v="2"/>
    <n v="16"/>
  </r>
  <r>
    <x v="301"/>
    <n v="1"/>
    <x v="2"/>
    <n v="23"/>
  </r>
  <r>
    <x v="302"/>
    <n v="1"/>
    <x v="2"/>
    <n v="23"/>
  </r>
  <r>
    <x v="303"/>
    <n v="1"/>
    <x v="2"/>
    <n v="28"/>
  </r>
  <r>
    <x v="304"/>
    <n v="1"/>
    <x v="2"/>
    <n v="38"/>
  </r>
  <r>
    <x v="305"/>
    <n v="1"/>
    <x v="2"/>
    <n v="24"/>
  </r>
  <r>
    <x v="306"/>
    <n v="1"/>
    <x v="2"/>
    <n v="33"/>
  </r>
  <r>
    <x v="307"/>
    <n v="1"/>
    <x v="2"/>
    <n v="33"/>
  </r>
  <r>
    <x v="308"/>
    <n v="1"/>
    <x v="2"/>
    <n v="27"/>
  </r>
  <r>
    <x v="309"/>
    <n v="1"/>
    <x v="2"/>
    <n v="19"/>
  </r>
  <r>
    <x v="310"/>
    <n v="1"/>
    <x v="2"/>
    <n v="30"/>
  </r>
  <r>
    <x v="311"/>
    <n v="1"/>
    <x v="2"/>
    <n v="37"/>
  </r>
  <r>
    <x v="312"/>
    <n v="1"/>
    <x v="2"/>
    <n v="31"/>
  </r>
  <r>
    <x v="313"/>
    <n v="1"/>
    <x v="2"/>
    <n v="30"/>
  </r>
  <r>
    <x v="314"/>
    <n v="1"/>
    <x v="2"/>
    <n v="22"/>
  </r>
  <r>
    <x v="315"/>
    <n v="1"/>
    <x v="2"/>
    <n v="26"/>
  </r>
  <r>
    <x v="316"/>
    <n v="1"/>
    <x v="2"/>
    <n v="14"/>
  </r>
  <r>
    <x v="317"/>
    <n v="1"/>
    <x v="2"/>
    <n v="26"/>
  </r>
  <r>
    <x v="318"/>
    <n v="1"/>
    <x v="2"/>
    <n v="35"/>
  </r>
  <r>
    <x v="319"/>
    <n v="1"/>
    <x v="2"/>
    <n v="33"/>
  </r>
  <r>
    <x v="320"/>
    <n v="1"/>
    <x v="2"/>
    <n v="37"/>
  </r>
  <r>
    <x v="321"/>
    <n v="1"/>
    <x v="2"/>
    <n v="32"/>
  </r>
  <r>
    <x v="322"/>
    <n v="1"/>
    <x v="2"/>
    <n v="34"/>
  </r>
  <r>
    <x v="323"/>
    <n v="1"/>
    <x v="2"/>
    <n v="22"/>
  </r>
  <r>
    <x v="324"/>
    <n v="1"/>
    <x v="2"/>
    <n v="34"/>
  </r>
  <r>
    <x v="325"/>
    <n v="1"/>
    <x v="2"/>
    <n v="30"/>
  </r>
  <r>
    <x v="326"/>
    <n v="1"/>
    <x v="2"/>
    <n v="32"/>
  </r>
  <r>
    <x v="327"/>
    <n v="1"/>
    <x v="2"/>
    <n v="29"/>
  </r>
  <r>
    <x v="328"/>
    <n v="1"/>
    <x v="2"/>
    <n v="25"/>
  </r>
  <r>
    <x v="329"/>
    <n v="1"/>
    <x v="2"/>
    <n v="36"/>
  </r>
  <r>
    <x v="330"/>
    <n v="1"/>
    <x v="2"/>
    <n v="31"/>
  </r>
  <r>
    <x v="331"/>
    <n v="1"/>
    <x v="2"/>
    <n v="28"/>
  </r>
  <r>
    <x v="332"/>
    <n v="1"/>
    <x v="2"/>
    <n v="36"/>
  </r>
  <r>
    <x v="333"/>
    <n v="1"/>
    <x v="2"/>
    <n v="36"/>
  </r>
  <r>
    <x v="334"/>
    <n v="1"/>
    <x v="2"/>
    <n v="20"/>
  </r>
  <r>
    <x v="335"/>
    <n v="1"/>
    <x v="2"/>
    <n v="20"/>
  </r>
  <r>
    <x v="336"/>
    <n v="1"/>
    <x v="2"/>
    <n v="21"/>
  </r>
  <r>
    <x v="337"/>
    <n v="1"/>
    <x v="2"/>
    <n v="16"/>
  </r>
  <r>
    <x v="338"/>
    <n v="1"/>
    <x v="2"/>
    <n v="22"/>
  </r>
  <r>
    <x v="339"/>
    <n v="1"/>
    <x v="2"/>
    <n v="19"/>
  </r>
  <r>
    <x v="340"/>
    <n v="1"/>
    <x v="2"/>
    <n v="21"/>
  </r>
  <r>
    <x v="341"/>
    <n v="1"/>
    <x v="2"/>
    <n v="26"/>
  </r>
  <r>
    <x v="342"/>
    <n v="1"/>
    <x v="2"/>
    <n v="19"/>
  </r>
  <r>
    <x v="343"/>
    <n v="1"/>
    <x v="2"/>
    <n v="19"/>
  </r>
  <r>
    <x v="344"/>
    <n v="1"/>
    <x v="2"/>
    <n v="19"/>
  </r>
  <r>
    <x v="345"/>
    <n v="1"/>
    <x v="2"/>
    <n v="28"/>
  </r>
  <r>
    <x v="346"/>
    <n v="1"/>
    <x v="2"/>
    <n v="21"/>
  </r>
  <r>
    <x v="347"/>
    <n v="1"/>
    <x v="2"/>
    <n v="35"/>
  </r>
  <r>
    <x v="348"/>
    <n v="1"/>
    <x v="2"/>
    <n v="26"/>
  </r>
  <r>
    <x v="349"/>
    <n v="1"/>
    <x v="2"/>
    <n v="20"/>
  </r>
  <r>
    <x v="350"/>
    <n v="1"/>
    <x v="2"/>
    <n v="19"/>
  </r>
  <r>
    <x v="351"/>
    <n v="1"/>
    <x v="2"/>
    <n v="18"/>
  </r>
  <r>
    <x v="352"/>
    <n v="1"/>
    <x v="2"/>
    <n v="19"/>
  </r>
  <r>
    <x v="353"/>
    <n v="1"/>
    <x v="2"/>
    <n v="23"/>
  </r>
  <r>
    <x v="354"/>
    <n v="1"/>
    <x v="2"/>
    <n v="23"/>
  </r>
  <r>
    <x v="355"/>
    <n v="1"/>
    <x v="2"/>
    <n v="33"/>
  </r>
  <r>
    <x v="356"/>
    <n v="1"/>
    <x v="2"/>
    <n v="18"/>
  </r>
  <r>
    <x v="357"/>
    <n v="1"/>
    <x v="2"/>
    <n v="19"/>
  </r>
  <r>
    <x v="358"/>
    <n v="1"/>
    <x v="2"/>
    <n v="27"/>
  </r>
  <r>
    <x v="359"/>
    <n v="1"/>
    <x v="2"/>
    <n v="15"/>
  </r>
  <r>
    <x v="360"/>
    <n v="1"/>
    <x v="2"/>
    <n v="19"/>
  </r>
  <r>
    <x v="361"/>
    <n v="1"/>
    <x v="2"/>
    <n v="17"/>
  </r>
  <r>
    <x v="362"/>
    <n v="1"/>
    <x v="2"/>
    <n v="23"/>
  </r>
  <r>
    <x v="363"/>
    <n v="1"/>
    <x v="2"/>
    <n v="14"/>
  </r>
  <r>
    <x v="364"/>
    <n v="1"/>
    <x v="2"/>
    <n v="18"/>
  </r>
  <r>
    <x v="365"/>
    <n v="1"/>
    <x v="2"/>
    <n v="21"/>
  </r>
  <r>
    <x v="366"/>
    <n v="1"/>
    <x v="2"/>
    <n v="24"/>
  </r>
  <r>
    <x v="367"/>
    <n v="1"/>
    <x v="2"/>
    <n v="20"/>
  </r>
  <r>
    <x v="368"/>
    <n v="1"/>
    <x v="2"/>
    <n v="19"/>
  </r>
  <r>
    <x v="369"/>
    <n v="1"/>
    <x v="2"/>
    <n v="24"/>
  </r>
  <r>
    <x v="370"/>
    <n v="1"/>
    <x v="2"/>
    <n v="15"/>
  </r>
  <r>
    <x v="371"/>
    <n v="1"/>
    <x v="2"/>
    <n v="20"/>
  </r>
  <r>
    <x v="372"/>
    <n v="1"/>
    <x v="2"/>
    <n v="22"/>
  </r>
  <r>
    <x v="373"/>
    <n v="1"/>
    <x v="2"/>
    <n v="25"/>
  </r>
  <r>
    <x v="374"/>
    <n v="1"/>
    <x v="2"/>
    <n v="27"/>
  </r>
  <r>
    <x v="375"/>
    <n v="1"/>
    <x v="2"/>
    <n v="24"/>
  </r>
  <r>
    <x v="376"/>
    <n v="1"/>
    <x v="2"/>
    <n v="24"/>
  </r>
  <r>
    <x v="377"/>
    <n v="1"/>
    <x v="2"/>
    <n v="24"/>
  </r>
  <r>
    <x v="378"/>
    <n v="1"/>
    <x v="2"/>
    <n v="19"/>
  </r>
  <r>
    <x v="379"/>
    <n v="1"/>
    <x v="2"/>
    <n v="14"/>
  </r>
  <r>
    <x v="380"/>
    <n v="1"/>
    <x v="2"/>
    <n v="22"/>
  </r>
  <r>
    <x v="381"/>
    <n v="1"/>
    <x v="2"/>
    <n v="20"/>
  </r>
  <r>
    <x v="382"/>
    <n v="1"/>
    <x v="2"/>
    <n v="29"/>
  </r>
  <r>
    <x v="383"/>
    <n v="1"/>
    <x v="2"/>
    <n v="21"/>
  </r>
  <r>
    <x v="384"/>
    <n v="1"/>
    <x v="2"/>
    <n v="21"/>
  </r>
  <r>
    <x v="385"/>
    <n v="1"/>
    <x v="2"/>
    <n v="19"/>
  </r>
  <r>
    <x v="386"/>
    <n v="1"/>
    <x v="2"/>
    <n v="20"/>
  </r>
  <r>
    <x v="387"/>
    <n v="1"/>
    <x v="2"/>
    <n v="22"/>
  </r>
  <r>
    <x v="388"/>
    <n v="1"/>
    <x v="2"/>
    <n v="22"/>
  </r>
  <r>
    <x v="389"/>
    <n v="1"/>
    <x v="2"/>
    <n v="17"/>
  </r>
  <r>
    <x v="390"/>
    <n v="1"/>
    <x v="2"/>
    <n v="24"/>
  </r>
  <r>
    <x v="391"/>
    <n v="1"/>
    <x v="2"/>
    <n v="14"/>
  </r>
  <r>
    <x v="392"/>
    <n v="1"/>
    <x v="2"/>
    <n v="31"/>
  </r>
  <r>
    <x v="393"/>
    <n v="1"/>
    <x v="2"/>
    <n v="17"/>
  </r>
  <r>
    <x v="394"/>
    <n v="1"/>
    <x v="2"/>
    <n v="16"/>
  </r>
  <r>
    <x v="395"/>
    <n v="1"/>
    <x v="2"/>
    <n v="17"/>
  </r>
  <r>
    <x v="396"/>
    <n v="1"/>
    <x v="2"/>
    <n v="27"/>
  </r>
  <r>
    <x v="397"/>
    <n v="1"/>
    <x v="2"/>
    <n v="28"/>
  </r>
  <r>
    <x v="398"/>
    <n v="1"/>
    <x v="2"/>
    <n v="13"/>
  </r>
  <r>
    <x v="399"/>
    <n v="1"/>
    <x v="2"/>
    <n v="22"/>
  </r>
  <r>
    <x v="400"/>
    <n v="1"/>
    <x v="2"/>
    <n v="25"/>
  </r>
  <r>
    <x v="401"/>
    <n v="1"/>
    <x v="2"/>
    <n v="23"/>
  </r>
  <r>
    <x v="402"/>
    <n v="1"/>
    <x v="2"/>
    <n v="38"/>
  </r>
  <r>
    <x v="403"/>
    <n v="1"/>
    <x v="2"/>
    <n v="33"/>
  </r>
  <r>
    <x v="404"/>
    <n v="1"/>
    <x v="2"/>
    <n v="34"/>
  </r>
  <r>
    <x v="405"/>
    <n v="1"/>
    <x v="2"/>
    <n v="27"/>
  </r>
  <r>
    <x v="406"/>
    <n v="1"/>
    <x v="2"/>
    <n v="19"/>
  </r>
  <r>
    <x v="407"/>
    <n v="1"/>
    <x v="2"/>
    <n v="21"/>
  </r>
  <r>
    <x v="408"/>
    <n v="1"/>
    <x v="2"/>
    <n v="26"/>
  </r>
  <r>
    <x v="409"/>
    <n v="1"/>
    <x v="2"/>
    <n v="25"/>
  </r>
  <r>
    <x v="410"/>
    <n v="1"/>
    <x v="2"/>
    <n v="26"/>
  </r>
  <r>
    <x v="411"/>
    <n v="1"/>
    <x v="2"/>
    <n v="28"/>
  </r>
  <r>
    <x v="412"/>
    <n v="1"/>
    <x v="2"/>
    <n v="17"/>
  </r>
  <r>
    <x v="413"/>
    <n v="1"/>
    <x v="2"/>
    <n v="25"/>
  </r>
  <r>
    <x v="414"/>
    <n v="1"/>
    <x v="2"/>
    <n v="18"/>
  </r>
  <r>
    <x v="415"/>
    <n v="1"/>
    <x v="2"/>
    <n v="27"/>
  </r>
  <r>
    <x v="416"/>
    <n v="1"/>
    <x v="2"/>
    <n v="21"/>
  </r>
  <r>
    <x v="417"/>
    <n v="1"/>
    <x v="2"/>
    <n v="26"/>
  </r>
  <r>
    <x v="418"/>
    <n v="1"/>
    <x v="2"/>
    <n v="24"/>
  </r>
  <r>
    <x v="419"/>
    <n v="1"/>
    <x v="2"/>
    <n v="22"/>
  </r>
  <r>
    <x v="420"/>
    <n v="1"/>
    <x v="2"/>
    <n v="20"/>
  </r>
  <r>
    <x v="421"/>
    <n v="1"/>
    <x v="2"/>
    <n v="25"/>
  </r>
  <r>
    <x v="422"/>
    <n v="1"/>
    <x v="2"/>
    <n v="15"/>
  </r>
  <r>
    <x v="423"/>
    <n v="1"/>
    <x v="2"/>
    <n v="19"/>
  </r>
  <r>
    <x v="424"/>
    <n v="1"/>
    <x v="2"/>
    <n v="29"/>
  </r>
  <r>
    <x v="425"/>
    <n v="1"/>
    <x v="2"/>
    <n v="36"/>
  </r>
  <r>
    <x v="426"/>
    <n v="1"/>
    <x v="2"/>
    <n v="28"/>
  </r>
  <r>
    <x v="427"/>
    <n v="1"/>
    <x v="2"/>
    <n v="20"/>
  </r>
  <r>
    <x v="428"/>
    <n v="1"/>
    <x v="2"/>
    <n v="18"/>
  </r>
  <r>
    <x v="429"/>
    <n v="1"/>
    <x v="2"/>
    <n v="23"/>
  </r>
  <r>
    <x v="430"/>
    <n v="1"/>
    <x v="2"/>
    <n v="31"/>
  </r>
  <r>
    <x v="431"/>
    <n v="1"/>
    <x v="2"/>
    <n v="32"/>
  </r>
  <r>
    <x v="432"/>
    <n v="1"/>
    <x v="2"/>
    <n v="33"/>
  </r>
  <r>
    <x v="433"/>
    <n v="1"/>
    <x v="2"/>
    <n v="17"/>
  </r>
  <r>
    <x v="434"/>
    <n v="1"/>
    <x v="2"/>
    <n v="26"/>
  </r>
  <r>
    <x v="435"/>
    <n v="1"/>
    <x v="2"/>
    <n v="25"/>
  </r>
  <r>
    <x v="436"/>
    <n v="1"/>
    <x v="2"/>
    <n v="32"/>
  </r>
  <r>
    <x v="437"/>
    <n v="1"/>
    <x v="2"/>
    <n v="30"/>
  </r>
  <r>
    <x v="438"/>
    <n v="1"/>
    <x v="2"/>
    <n v="33"/>
  </r>
  <r>
    <x v="439"/>
    <n v="1"/>
    <x v="2"/>
    <n v="32"/>
  </r>
  <r>
    <x v="440"/>
    <n v="1"/>
    <x v="2"/>
    <n v="27"/>
  </r>
  <r>
    <x v="441"/>
    <n v="1"/>
    <x v="2"/>
    <n v="19"/>
  </r>
  <r>
    <x v="442"/>
    <n v="1"/>
    <x v="2"/>
    <n v="30"/>
  </r>
  <r>
    <x v="443"/>
    <n v="1"/>
    <x v="2"/>
    <n v="26"/>
  </r>
  <r>
    <x v="444"/>
    <n v="1"/>
    <x v="2"/>
    <n v="30"/>
  </r>
  <r>
    <x v="445"/>
    <n v="1"/>
    <x v="2"/>
    <n v="33"/>
  </r>
  <r>
    <x v="446"/>
    <n v="1"/>
    <x v="2"/>
    <n v="25"/>
  </r>
  <r>
    <x v="447"/>
    <n v="1"/>
    <x v="2"/>
    <n v="23"/>
  </r>
  <r>
    <x v="448"/>
    <n v="1"/>
    <x v="2"/>
    <n v="24"/>
  </r>
  <r>
    <x v="449"/>
    <n v="1"/>
    <x v="2"/>
    <n v="23"/>
  </r>
  <r>
    <x v="450"/>
    <n v="1"/>
    <x v="2"/>
    <n v="36"/>
  </r>
  <r>
    <x v="451"/>
    <n v="1"/>
    <x v="2"/>
    <n v="35"/>
  </r>
  <r>
    <x v="452"/>
    <n v="1"/>
    <x v="2"/>
    <n v="37"/>
  </r>
  <r>
    <x v="453"/>
    <n v="1"/>
    <x v="2"/>
    <n v="47"/>
  </r>
  <r>
    <x v="454"/>
    <n v="1"/>
    <x v="2"/>
    <n v="25"/>
  </r>
  <r>
    <x v="455"/>
    <n v="1"/>
    <x v="2"/>
    <n v="27"/>
  </r>
  <r>
    <x v="456"/>
    <n v="1"/>
    <x v="2"/>
    <n v="40"/>
  </r>
  <r>
    <x v="457"/>
    <n v="1"/>
    <x v="2"/>
    <n v="34"/>
  </r>
  <r>
    <x v="458"/>
    <n v="1"/>
    <x v="2"/>
    <n v="40"/>
  </r>
  <r>
    <x v="459"/>
    <n v="1"/>
    <x v="2"/>
    <n v="35"/>
  </r>
  <r>
    <x v="460"/>
    <n v="1"/>
    <x v="2"/>
    <n v="30"/>
  </r>
  <r>
    <x v="461"/>
    <n v="1"/>
    <x v="2"/>
    <n v="33"/>
  </r>
  <r>
    <x v="462"/>
    <n v="1"/>
    <x v="2"/>
    <n v="32"/>
  </r>
  <r>
    <x v="463"/>
    <n v="1"/>
    <x v="2"/>
    <n v="31"/>
  </r>
  <r>
    <x v="464"/>
    <n v="1"/>
    <x v="2"/>
    <n v="26"/>
  </r>
  <r>
    <x v="465"/>
    <n v="1"/>
    <x v="2"/>
    <n v="31"/>
  </r>
  <r>
    <x v="466"/>
    <n v="1"/>
    <x v="2"/>
    <n v="28"/>
  </r>
  <r>
    <x v="467"/>
    <n v="1"/>
    <x v="2"/>
    <n v="36"/>
  </r>
  <r>
    <x v="468"/>
    <n v="1"/>
    <x v="2"/>
    <n v="26"/>
  </r>
  <r>
    <x v="469"/>
    <n v="1"/>
    <x v="2"/>
    <n v="26"/>
  </r>
  <r>
    <x v="470"/>
    <n v="1"/>
    <x v="2"/>
    <n v="25"/>
  </r>
  <r>
    <x v="471"/>
    <n v="1"/>
    <x v="2"/>
    <n v="39"/>
  </r>
  <r>
    <x v="472"/>
    <n v="1"/>
    <x v="2"/>
    <n v="37"/>
  </r>
  <r>
    <x v="473"/>
    <n v="1"/>
    <x v="2"/>
    <n v="35"/>
  </r>
  <r>
    <x v="474"/>
    <n v="1"/>
    <x v="2"/>
    <n v="46"/>
  </r>
  <r>
    <x v="475"/>
    <n v="1"/>
    <x v="2"/>
    <n v="37"/>
  </r>
  <r>
    <x v="476"/>
    <n v="1"/>
    <x v="2"/>
    <n v="30"/>
  </r>
  <r>
    <x v="477"/>
    <n v="1"/>
    <x v="2"/>
    <n v="30"/>
  </r>
  <r>
    <x v="478"/>
    <n v="1"/>
    <x v="2"/>
    <n v="28"/>
  </r>
  <r>
    <x v="479"/>
    <n v="1"/>
    <x v="2"/>
    <n v="34"/>
  </r>
  <r>
    <x v="480"/>
    <n v="1"/>
    <x v="2"/>
    <n v="35"/>
  </r>
  <r>
    <x v="481"/>
    <n v="1"/>
    <x v="2"/>
    <n v="29"/>
  </r>
  <r>
    <x v="482"/>
    <n v="1"/>
    <x v="2"/>
    <n v="25"/>
  </r>
  <r>
    <x v="483"/>
    <n v="1"/>
    <x v="2"/>
    <n v="30"/>
  </r>
  <r>
    <x v="484"/>
    <n v="1"/>
    <x v="2"/>
    <n v="38"/>
  </r>
  <r>
    <x v="485"/>
    <n v="1"/>
    <x v="2"/>
    <n v="33"/>
  </r>
  <r>
    <x v="486"/>
    <n v="1"/>
    <x v="2"/>
    <n v="41"/>
  </r>
  <r>
    <x v="487"/>
    <n v="1"/>
    <x v="2"/>
    <n v="46"/>
  </r>
  <r>
    <x v="488"/>
    <n v="1"/>
    <x v="2"/>
    <n v="40"/>
  </r>
  <r>
    <x v="489"/>
    <n v="1"/>
    <x v="2"/>
    <n v="33"/>
  </r>
  <r>
    <x v="490"/>
    <n v="1"/>
    <x v="2"/>
    <n v="23"/>
  </r>
  <r>
    <x v="491"/>
    <n v="1"/>
    <x v="2"/>
    <n v="43"/>
  </r>
  <r>
    <x v="492"/>
    <n v="1"/>
    <x v="2"/>
    <n v="30"/>
  </r>
  <r>
    <x v="493"/>
    <n v="1"/>
    <x v="2"/>
    <n v="35"/>
  </r>
  <r>
    <x v="494"/>
    <n v="1"/>
    <x v="2"/>
    <n v="38"/>
  </r>
  <r>
    <x v="495"/>
    <n v="1"/>
    <x v="2"/>
    <n v="46"/>
  </r>
  <r>
    <x v="496"/>
    <n v="1"/>
    <x v="2"/>
    <n v="27"/>
  </r>
  <r>
    <x v="497"/>
    <n v="1"/>
    <x v="2"/>
    <n v="37"/>
  </r>
  <r>
    <x v="498"/>
    <n v="1"/>
    <x v="2"/>
    <n v="28"/>
  </r>
  <r>
    <x v="499"/>
    <n v="1"/>
    <x v="2"/>
    <n v="42"/>
  </r>
  <r>
    <x v="500"/>
    <n v="1"/>
    <x v="2"/>
    <n v="43"/>
  </r>
  <r>
    <x v="501"/>
    <n v="1"/>
    <x v="2"/>
    <n v="49"/>
  </r>
  <r>
    <x v="502"/>
    <n v="1"/>
    <x v="2"/>
    <n v="49"/>
  </r>
  <r>
    <x v="503"/>
    <n v="1"/>
    <x v="2"/>
    <n v="30"/>
  </r>
  <r>
    <x v="504"/>
    <n v="1"/>
    <x v="2"/>
    <n v="37"/>
  </r>
  <r>
    <x v="505"/>
    <n v="1"/>
    <x v="2"/>
    <n v="41"/>
  </r>
  <r>
    <x v="506"/>
    <n v="1"/>
    <x v="2"/>
    <n v="37"/>
  </r>
  <r>
    <x v="507"/>
    <n v="1"/>
    <x v="2"/>
    <n v="37"/>
  </r>
  <r>
    <x v="508"/>
    <n v="1"/>
    <x v="2"/>
    <n v="38"/>
  </r>
  <r>
    <x v="509"/>
    <n v="1"/>
    <x v="2"/>
    <n v="57"/>
  </r>
  <r>
    <x v="510"/>
    <n v="1"/>
    <x v="2"/>
    <n v="30"/>
  </r>
  <r>
    <x v="511"/>
    <n v="1"/>
    <x v="2"/>
    <n v="37"/>
  </r>
  <r>
    <x v="512"/>
    <n v="1"/>
    <x v="2"/>
    <n v="36"/>
  </r>
  <r>
    <x v="513"/>
    <n v="1"/>
    <x v="2"/>
    <n v="37"/>
  </r>
  <r>
    <x v="514"/>
    <n v="1"/>
    <x v="2"/>
    <n v="31"/>
  </r>
  <r>
    <x v="515"/>
    <n v="1"/>
    <x v="2"/>
    <n v="37"/>
  </r>
  <r>
    <x v="516"/>
    <n v="1"/>
    <x v="2"/>
    <n v="45"/>
  </r>
  <r>
    <x v="517"/>
    <n v="1"/>
    <x v="2"/>
    <n v="44"/>
  </r>
  <r>
    <x v="518"/>
    <n v="1"/>
    <x v="2"/>
    <n v="34"/>
  </r>
  <r>
    <x v="519"/>
    <n v="1"/>
    <x v="2"/>
    <n v="22"/>
  </r>
  <r>
    <x v="520"/>
    <n v="1"/>
    <x v="2"/>
    <n v="31"/>
  </r>
  <r>
    <x v="521"/>
    <n v="1"/>
    <x v="2"/>
    <n v="40"/>
  </r>
  <r>
    <x v="522"/>
    <n v="1"/>
    <x v="2"/>
    <n v="33"/>
  </r>
  <r>
    <x v="523"/>
    <n v="1"/>
    <x v="2"/>
    <n v="52"/>
  </r>
  <r>
    <x v="524"/>
    <n v="1"/>
    <x v="2"/>
    <n v="33"/>
  </r>
  <r>
    <x v="525"/>
    <n v="1"/>
    <x v="2"/>
    <n v="33"/>
  </r>
  <r>
    <x v="526"/>
    <n v="1"/>
    <x v="2"/>
    <n v="42"/>
  </r>
  <r>
    <x v="527"/>
    <n v="1"/>
    <x v="2"/>
    <n v="44"/>
  </r>
  <r>
    <x v="528"/>
    <n v="1"/>
    <x v="2"/>
    <n v="33"/>
  </r>
  <r>
    <x v="529"/>
    <n v="1"/>
    <x v="2"/>
    <n v="48"/>
  </r>
  <r>
    <x v="530"/>
    <n v="1"/>
    <x v="2"/>
    <n v="49"/>
  </r>
  <r>
    <x v="531"/>
    <n v="1"/>
    <x v="2"/>
    <n v="28"/>
  </r>
  <r>
    <x v="532"/>
    <n v="1"/>
    <x v="2"/>
    <n v="31"/>
  </r>
  <r>
    <x v="533"/>
    <n v="1"/>
    <x v="2"/>
    <n v="33"/>
  </r>
  <r>
    <x v="534"/>
    <n v="1"/>
    <x v="2"/>
    <n v="45"/>
  </r>
  <r>
    <x v="535"/>
    <n v="1"/>
    <x v="2"/>
    <n v="33"/>
  </r>
  <r>
    <x v="536"/>
    <n v="1"/>
    <x v="2"/>
    <n v="36"/>
  </r>
  <r>
    <x v="537"/>
    <n v="1"/>
    <x v="2"/>
    <n v="47"/>
  </r>
  <r>
    <x v="538"/>
    <n v="1"/>
    <x v="2"/>
    <n v="30"/>
  </r>
  <r>
    <x v="539"/>
    <n v="1"/>
    <x v="2"/>
    <n v="38"/>
  </r>
  <r>
    <x v="540"/>
    <n v="1"/>
    <x v="2"/>
    <n v="32"/>
  </r>
  <r>
    <x v="541"/>
    <n v="1"/>
    <x v="2"/>
    <n v="43"/>
  </r>
  <r>
    <x v="542"/>
    <n v="1"/>
    <x v="2"/>
    <n v="30"/>
  </r>
  <r>
    <x v="543"/>
    <n v="1"/>
    <x v="2"/>
    <n v="45"/>
  </r>
  <r>
    <x v="544"/>
    <n v="1"/>
    <x v="2"/>
    <n v="53"/>
  </r>
  <r>
    <x v="545"/>
    <n v="1"/>
    <x v="2"/>
    <n v="22"/>
  </r>
  <r>
    <x v="546"/>
    <n v="1"/>
    <x v="2"/>
    <n v="27"/>
  </r>
  <r>
    <x v="547"/>
    <n v="1"/>
    <x v="2"/>
    <n v="35"/>
  </r>
  <r>
    <x v="548"/>
    <n v="1"/>
    <x v="2"/>
    <n v="34"/>
  </r>
  <r>
    <x v="549"/>
    <n v="1"/>
    <x v="2"/>
    <n v="48"/>
  </r>
  <r>
    <x v="550"/>
    <n v="1"/>
    <x v="2"/>
    <n v="53"/>
  </r>
  <r>
    <x v="551"/>
    <n v="1"/>
    <x v="2"/>
    <n v="39"/>
  </r>
  <r>
    <x v="552"/>
    <n v="1"/>
    <x v="2"/>
    <n v="37"/>
  </r>
  <r>
    <x v="553"/>
    <n v="1"/>
    <x v="2"/>
    <n v="37"/>
  </r>
  <r>
    <x v="554"/>
    <n v="1"/>
    <x v="2"/>
    <n v="27"/>
  </r>
  <r>
    <x v="555"/>
    <n v="1"/>
    <x v="2"/>
    <n v="44"/>
  </r>
  <r>
    <x v="556"/>
    <n v="1"/>
    <x v="2"/>
    <n v="46"/>
  </r>
  <r>
    <x v="557"/>
    <n v="1"/>
    <x v="2"/>
    <n v="35"/>
  </r>
  <r>
    <x v="558"/>
    <n v="1"/>
    <x v="2"/>
    <n v="38"/>
  </r>
  <r>
    <x v="559"/>
    <n v="1"/>
    <x v="2"/>
    <n v="36"/>
  </r>
  <r>
    <x v="560"/>
    <n v="1"/>
    <x v="2"/>
    <n v="39"/>
  </r>
  <r>
    <x v="561"/>
    <n v="1"/>
    <x v="2"/>
    <n v="31"/>
  </r>
  <r>
    <x v="562"/>
    <n v="1"/>
    <x v="2"/>
    <n v="28"/>
  </r>
  <r>
    <x v="563"/>
    <n v="1"/>
    <x v="2"/>
    <n v="52"/>
  </r>
  <r>
    <x v="564"/>
    <n v="1"/>
    <x v="2"/>
    <n v="58"/>
  </r>
  <r>
    <x v="565"/>
    <n v="1"/>
    <x v="2"/>
    <n v="65"/>
  </r>
  <r>
    <x v="566"/>
    <n v="1"/>
    <x v="2"/>
    <n v="24"/>
  </r>
  <r>
    <x v="567"/>
    <n v="1"/>
    <x v="2"/>
    <n v="25"/>
  </r>
  <r>
    <x v="568"/>
    <n v="1"/>
    <x v="2"/>
    <n v="43"/>
  </r>
  <r>
    <x v="569"/>
    <n v="1"/>
    <x v="2"/>
    <n v="38"/>
  </r>
  <r>
    <x v="570"/>
    <n v="1"/>
    <x v="2"/>
    <n v="37"/>
  </r>
  <r>
    <x v="571"/>
    <n v="1"/>
    <x v="2"/>
    <n v="51"/>
  </r>
  <r>
    <x v="572"/>
    <n v="1"/>
    <x v="2"/>
    <n v="43"/>
  </r>
  <r>
    <x v="573"/>
    <n v="1"/>
    <x v="2"/>
    <n v="31"/>
  </r>
  <r>
    <x v="574"/>
    <n v="1"/>
    <x v="2"/>
    <n v="36"/>
  </r>
  <r>
    <x v="575"/>
    <n v="1"/>
    <x v="2"/>
    <n v="37"/>
  </r>
  <r>
    <x v="576"/>
    <n v="1"/>
    <x v="2"/>
    <n v="30"/>
  </r>
  <r>
    <x v="577"/>
    <n v="1"/>
    <x v="2"/>
    <n v="34"/>
  </r>
  <r>
    <x v="578"/>
    <n v="1"/>
    <x v="2"/>
    <n v="43"/>
  </r>
  <r>
    <x v="579"/>
    <n v="1"/>
    <x v="2"/>
    <n v="45"/>
  </r>
  <r>
    <x v="580"/>
    <n v="1"/>
    <x v="2"/>
    <n v="40"/>
  </r>
  <r>
    <x v="581"/>
    <n v="1"/>
    <x v="2"/>
    <n v="36"/>
  </r>
  <r>
    <x v="582"/>
    <n v="1"/>
    <x v="2"/>
    <n v="39"/>
  </r>
  <r>
    <x v="583"/>
    <n v="1"/>
    <x v="2"/>
    <n v="34"/>
  </r>
  <r>
    <x v="584"/>
    <n v="1"/>
    <x v="2"/>
    <n v="41"/>
  </r>
  <r>
    <x v="585"/>
    <n v="1"/>
    <x v="2"/>
    <n v="38"/>
  </r>
  <r>
    <x v="586"/>
    <n v="1"/>
    <x v="2"/>
    <n v="50"/>
  </r>
  <r>
    <x v="587"/>
    <n v="1"/>
    <x v="2"/>
    <n v="27"/>
  </r>
  <r>
    <x v="588"/>
    <n v="1"/>
    <x v="2"/>
    <n v="36"/>
  </r>
  <r>
    <x v="589"/>
    <n v="1"/>
    <x v="2"/>
    <n v="34"/>
  </r>
  <r>
    <x v="590"/>
    <n v="1"/>
    <x v="2"/>
    <n v="39"/>
  </r>
  <r>
    <x v="591"/>
    <n v="1"/>
    <x v="2"/>
    <n v="32"/>
  </r>
  <r>
    <x v="592"/>
    <n v="1"/>
    <x v="2"/>
    <n v="34"/>
  </r>
  <r>
    <x v="593"/>
    <n v="1"/>
    <x v="2"/>
    <n v="57"/>
  </r>
  <r>
    <x v="594"/>
    <n v="1"/>
    <x v="2"/>
    <n v="24"/>
  </r>
  <r>
    <x v="595"/>
    <n v="1"/>
    <x v="2"/>
    <n v="25"/>
  </r>
  <r>
    <x v="596"/>
    <n v="1"/>
    <x v="2"/>
    <n v="30"/>
  </r>
  <r>
    <x v="597"/>
    <n v="1"/>
    <x v="2"/>
    <n v="34"/>
  </r>
  <r>
    <x v="598"/>
    <n v="1"/>
    <x v="2"/>
    <n v="39"/>
  </r>
  <r>
    <x v="599"/>
    <n v="1"/>
    <x v="2"/>
    <n v="42"/>
  </r>
  <r>
    <x v="600"/>
    <n v="1"/>
    <x v="2"/>
    <n v="40"/>
  </r>
  <r>
    <x v="601"/>
    <n v="1"/>
    <x v="2"/>
    <n v="30"/>
  </r>
  <r>
    <x v="602"/>
    <n v="1"/>
    <x v="2"/>
    <n v="22"/>
  </r>
  <r>
    <x v="603"/>
    <n v="1"/>
    <x v="2"/>
    <n v="22"/>
  </r>
  <r>
    <x v="604"/>
    <n v="1"/>
    <x v="2"/>
    <n v="40"/>
  </r>
  <r>
    <x v="605"/>
    <n v="1"/>
    <x v="2"/>
    <n v="33"/>
  </r>
  <r>
    <x v="606"/>
    <n v="1"/>
    <x v="2"/>
    <n v="39"/>
  </r>
  <r>
    <x v="607"/>
    <n v="1"/>
    <x v="2"/>
    <n v="37"/>
  </r>
  <r>
    <x v="608"/>
    <n v="1"/>
    <x v="2"/>
    <n v="25"/>
  </r>
  <r>
    <x v="609"/>
    <n v="1"/>
    <x v="2"/>
    <n v="21"/>
  </r>
  <r>
    <x v="610"/>
    <n v="1"/>
    <x v="2"/>
    <n v="34"/>
  </r>
  <r>
    <x v="611"/>
    <n v="1"/>
    <x v="2"/>
    <n v="21"/>
  </r>
  <r>
    <x v="612"/>
    <n v="1"/>
    <x v="2"/>
    <n v="44"/>
  </r>
  <r>
    <x v="613"/>
    <n v="1"/>
    <x v="2"/>
    <n v="34"/>
  </r>
  <r>
    <x v="614"/>
    <n v="1"/>
    <x v="2"/>
    <n v="34"/>
  </r>
  <r>
    <x v="615"/>
    <n v="1"/>
    <x v="2"/>
    <n v="24"/>
  </r>
  <r>
    <x v="616"/>
    <n v="1"/>
    <x v="2"/>
    <n v="27"/>
  </r>
  <r>
    <x v="617"/>
    <n v="1"/>
    <x v="2"/>
    <n v="29"/>
  </r>
  <r>
    <x v="618"/>
    <n v="1"/>
    <x v="2"/>
    <n v="25"/>
  </r>
  <r>
    <x v="619"/>
    <n v="1"/>
    <x v="2"/>
    <n v="44"/>
  </r>
  <r>
    <x v="620"/>
    <n v="1"/>
    <x v="2"/>
    <n v="39"/>
  </r>
  <r>
    <x v="621"/>
    <n v="1"/>
    <x v="2"/>
    <n v="52"/>
  </r>
  <r>
    <x v="622"/>
    <n v="1"/>
    <x v="2"/>
    <n v="29"/>
  </r>
  <r>
    <x v="623"/>
    <n v="1"/>
    <x v="2"/>
    <n v="32"/>
  </r>
  <r>
    <x v="624"/>
    <n v="1"/>
    <x v="2"/>
    <n v="29"/>
  </r>
  <r>
    <x v="625"/>
    <n v="1"/>
    <x v="2"/>
    <n v="38"/>
  </r>
  <r>
    <x v="626"/>
    <n v="1"/>
    <x v="2"/>
    <n v="34"/>
  </r>
  <r>
    <x v="627"/>
    <n v="1"/>
    <x v="2"/>
    <n v="40"/>
  </r>
  <r>
    <x v="628"/>
    <n v="1"/>
    <x v="2"/>
    <n v="41"/>
  </r>
  <r>
    <x v="629"/>
    <n v="1"/>
    <x v="2"/>
    <n v="32"/>
  </r>
  <r>
    <x v="630"/>
    <n v="1"/>
    <x v="2"/>
    <n v="22"/>
  </r>
  <r>
    <x v="631"/>
    <n v="1"/>
    <x v="2"/>
    <n v="34"/>
  </r>
  <r>
    <x v="632"/>
    <n v="1"/>
    <x v="2"/>
    <n v="25"/>
  </r>
  <r>
    <x v="633"/>
    <n v="1"/>
    <x v="2"/>
    <n v="22"/>
  </r>
  <r>
    <x v="634"/>
    <n v="1"/>
    <x v="2"/>
    <n v="39"/>
  </r>
  <r>
    <x v="635"/>
    <n v="1"/>
    <x v="2"/>
    <n v="43"/>
  </r>
  <r>
    <x v="636"/>
    <n v="1"/>
    <x v="2"/>
    <n v="26"/>
  </r>
  <r>
    <x v="637"/>
    <n v="1"/>
    <x v="2"/>
    <n v="32"/>
  </r>
  <r>
    <x v="638"/>
    <n v="1"/>
    <x v="2"/>
    <n v="26"/>
  </r>
  <r>
    <x v="639"/>
    <n v="1"/>
    <x v="2"/>
    <n v="31"/>
  </r>
  <r>
    <x v="640"/>
    <n v="1"/>
    <x v="2"/>
    <n v="34"/>
  </r>
  <r>
    <x v="641"/>
    <n v="1"/>
    <x v="2"/>
    <n v="37"/>
  </r>
  <r>
    <x v="642"/>
    <n v="1"/>
    <x v="2"/>
    <n v="39"/>
  </r>
  <r>
    <x v="643"/>
    <n v="1"/>
    <x v="2"/>
    <n v="28"/>
  </r>
  <r>
    <x v="644"/>
    <n v="1"/>
    <x v="2"/>
    <n v="33"/>
  </r>
  <r>
    <x v="645"/>
    <n v="1"/>
    <x v="2"/>
    <n v="25"/>
  </r>
  <r>
    <x v="646"/>
    <n v="1"/>
    <x v="2"/>
    <n v="28"/>
  </r>
  <r>
    <x v="647"/>
    <n v="1"/>
    <x v="2"/>
    <n v="33"/>
  </r>
  <r>
    <x v="648"/>
    <n v="1"/>
    <x v="2"/>
    <n v="36"/>
  </r>
  <r>
    <x v="649"/>
    <n v="1"/>
    <x v="2"/>
    <n v="54"/>
  </r>
  <r>
    <x v="650"/>
    <n v="1"/>
    <x v="2"/>
    <n v="33"/>
  </r>
  <r>
    <x v="651"/>
    <n v="1"/>
    <x v="2"/>
    <n v="20"/>
  </r>
  <r>
    <x v="652"/>
    <n v="1"/>
    <x v="2"/>
    <n v="20"/>
  </r>
  <r>
    <x v="653"/>
    <n v="1"/>
    <x v="2"/>
    <n v="34"/>
  </r>
  <r>
    <x v="654"/>
    <n v="1"/>
    <x v="2"/>
    <n v="35"/>
  </r>
  <r>
    <x v="655"/>
    <n v="1"/>
    <x v="2"/>
    <n v="38"/>
  </r>
  <r>
    <x v="656"/>
    <n v="1"/>
    <x v="2"/>
    <n v="25"/>
  </r>
  <r>
    <x v="657"/>
    <n v="1"/>
    <x v="2"/>
    <n v="21"/>
  </r>
  <r>
    <x v="658"/>
    <n v="1"/>
    <x v="2"/>
    <n v="35"/>
  </r>
  <r>
    <x v="659"/>
    <n v="1"/>
    <x v="2"/>
    <n v="31"/>
  </r>
  <r>
    <x v="660"/>
    <n v="1"/>
    <x v="2"/>
    <n v="30"/>
  </r>
  <r>
    <x v="661"/>
    <n v="1"/>
    <x v="2"/>
    <n v="28"/>
  </r>
  <r>
    <x v="662"/>
    <n v="1"/>
    <x v="2"/>
    <n v="33"/>
  </r>
  <r>
    <x v="663"/>
    <n v="1"/>
    <x v="2"/>
    <n v="44"/>
  </r>
  <r>
    <x v="664"/>
    <n v="1"/>
    <x v="2"/>
    <n v="25"/>
  </r>
  <r>
    <x v="665"/>
    <n v="1"/>
    <x v="2"/>
    <n v="27"/>
  </r>
  <r>
    <x v="666"/>
    <n v="1"/>
    <x v="2"/>
    <n v="27"/>
  </r>
  <r>
    <x v="667"/>
    <n v="1"/>
    <x v="2"/>
    <n v="39"/>
  </r>
  <r>
    <x v="668"/>
    <n v="1"/>
    <x v="2"/>
    <n v="32"/>
  </r>
  <r>
    <x v="669"/>
    <n v="1"/>
    <x v="2"/>
    <n v="31"/>
  </r>
  <r>
    <x v="670"/>
    <n v="1"/>
    <x v="2"/>
    <n v="52"/>
  </r>
  <r>
    <x v="671"/>
    <n v="1"/>
    <x v="2"/>
    <n v="26"/>
  </r>
  <r>
    <x v="672"/>
    <n v="1"/>
    <x v="2"/>
    <n v="35"/>
  </r>
  <r>
    <x v="673"/>
    <n v="1"/>
    <x v="2"/>
    <n v="25"/>
  </r>
  <r>
    <x v="674"/>
    <n v="1"/>
    <x v="2"/>
    <n v="27"/>
  </r>
  <r>
    <x v="675"/>
    <n v="1"/>
    <x v="2"/>
    <n v="28"/>
  </r>
  <r>
    <x v="676"/>
    <n v="1"/>
    <x v="2"/>
    <n v="38"/>
  </r>
  <r>
    <x v="677"/>
    <n v="1"/>
    <x v="2"/>
    <n v="33"/>
  </r>
  <r>
    <x v="678"/>
    <n v="1"/>
    <x v="2"/>
    <n v="26"/>
  </r>
  <r>
    <x v="679"/>
    <n v="1"/>
    <x v="2"/>
    <n v="39"/>
  </r>
  <r>
    <x v="680"/>
    <n v="1"/>
    <x v="2"/>
    <n v="36"/>
  </r>
  <r>
    <x v="681"/>
    <n v="1"/>
    <x v="2"/>
    <n v="30"/>
  </r>
  <r>
    <x v="682"/>
    <n v="1"/>
    <x v="2"/>
    <n v="43"/>
  </r>
  <r>
    <x v="683"/>
    <n v="1"/>
    <x v="2"/>
    <n v="40"/>
  </r>
  <r>
    <x v="684"/>
    <n v="1"/>
    <x v="2"/>
    <n v="48"/>
  </r>
  <r>
    <x v="685"/>
    <n v="1"/>
    <x v="2"/>
    <n v="21"/>
  </r>
  <r>
    <x v="686"/>
    <n v="1"/>
    <x v="2"/>
    <n v="22"/>
  </r>
  <r>
    <x v="687"/>
    <n v="1"/>
    <x v="2"/>
    <n v="41"/>
  </r>
  <r>
    <x v="688"/>
    <n v="1"/>
    <x v="2"/>
    <n v="41"/>
  </r>
  <r>
    <x v="689"/>
    <n v="1"/>
    <x v="2"/>
    <n v="44"/>
  </r>
  <r>
    <x v="690"/>
    <n v="1"/>
    <x v="2"/>
    <n v="38"/>
  </r>
  <r>
    <x v="691"/>
    <n v="1"/>
    <x v="2"/>
    <n v="41"/>
  </r>
  <r>
    <x v="692"/>
    <n v="1"/>
    <x v="2"/>
    <n v="30"/>
  </r>
  <r>
    <x v="693"/>
    <n v="1"/>
    <x v="2"/>
    <n v="34"/>
  </r>
  <r>
    <x v="694"/>
    <n v="1"/>
    <x v="2"/>
    <n v="25"/>
  </r>
  <r>
    <x v="695"/>
    <n v="1"/>
    <x v="2"/>
    <n v="24"/>
  </r>
  <r>
    <x v="696"/>
    <n v="1"/>
    <x v="2"/>
    <n v="32"/>
  </r>
  <r>
    <x v="697"/>
    <n v="1"/>
    <x v="2"/>
    <n v="31"/>
  </r>
  <r>
    <x v="698"/>
    <n v="1"/>
    <x v="2"/>
    <n v="39"/>
  </r>
  <r>
    <x v="699"/>
    <n v="1"/>
    <x v="2"/>
    <n v="24"/>
  </r>
  <r>
    <x v="700"/>
    <n v="1"/>
    <x v="2"/>
    <n v="22"/>
  </r>
  <r>
    <x v="701"/>
    <n v="1"/>
    <x v="2"/>
    <n v="25"/>
  </r>
  <r>
    <x v="702"/>
    <n v="1"/>
    <x v="2"/>
    <n v="24"/>
  </r>
  <r>
    <x v="703"/>
    <n v="1"/>
    <x v="2"/>
    <n v="27"/>
  </r>
  <r>
    <x v="704"/>
    <n v="1"/>
    <x v="2"/>
    <n v="28"/>
  </r>
  <r>
    <x v="705"/>
    <n v="1"/>
    <x v="2"/>
    <n v="29"/>
  </r>
  <r>
    <x v="706"/>
    <n v="1"/>
    <x v="2"/>
    <n v="25"/>
  </r>
  <r>
    <x v="707"/>
    <n v="1"/>
    <x v="2"/>
    <n v="21"/>
  </r>
  <r>
    <x v="708"/>
    <n v="1"/>
    <x v="2"/>
    <n v="14"/>
  </r>
  <r>
    <x v="709"/>
    <n v="1"/>
    <x v="2"/>
    <n v="19"/>
  </r>
  <r>
    <x v="710"/>
    <n v="1"/>
    <x v="2"/>
    <n v="27"/>
  </r>
  <r>
    <x v="711"/>
    <n v="1"/>
    <x v="2"/>
    <n v="22"/>
  </r>
  <r>
    <x v="712"/>
    <n v="1"/>
    <x v="2"/>
    <n v="32"/>
  </r>
  <r>
    <x v="713"/>
    <n v="1"/>
    <x v="2"/>
    <n v="15"/>
  </r>
  <r>
    <x v="714"/>
    <n v="1"/>
    <x v="2"/>
    <n v="17"/>
  </r>
  <r>
    <x v="715"/>
    <n v="1"/>
    <x v="2"/>
    <n v="25"/>
  </r>
  <r>
    <x v="716"/>
    <n v="1"/>
    <x v="2"/>
    <n v="18"/>
  </r>
  <r>
    <x v="717"/>
    <n v="1"/>
    <x v="2"/>
    <n v="25"/>
  </r>
  <r>
    <x v="718"/>
    <n v="1"/>
    <x v="2"/>
    <n v="27"/>
  </r>
  <r>
    <x v="719"/>
    <n v="1"/>
    <x v="2"/>
    <n v="29"/>
  </r>
  <r>
    <x v="720"/>
    <n v="1"/>
    <x v="2"/>
    <n v="22"/>
  </r>
  <r>
    <x v="721"/>
    <n v="1"/>
    <x v="2"/>
    <n v="22"/>
  </r>
  <r>
    <x v="722"/>
    <n v="1"/>
    <x v="2"/>
    <n v="24"/>
  </r>
  <r>
    <x v="723"/>
    <n v="1"/>
    <x v="2"/>
    <n v="17"/>
  </r>
  <r>
    <x v="724"/>
    <n v="1"/>
    <x v="2"/>
    <n v="25"/>
  </r>
  <r>
    <x v="725"/>
    <n v="1"/>
    <x v="2"/>
    <n v="25"/>
  </r>
  <r>
    <x v="726"/>
    <n v="1"/>
    <x v="2"/>
    <n v="27"/>
  </r>
  <r>
    <x v="727"/>
    <n v="1"/>
    <x v="2"/>
    <n v="25"/>
  </r>
  <r>
    <x v="728"/>
    <n v="1"/>
    <x v="2"/>
    <n v="22"/>
  </r>
  <r>
    <x v="729"/>
    <n v="1"/>
    <x v="2"/>
    <n v="25"/>
  </r>
  <r>
    <x v="730"/>
    <n v="1"/>
    <x v="2"/>
    <n v="18"/>
  </r>
  <r>
    <x v="731"/>
    <n v="1"/>
    <x v="2"/>
    <n v="25"/>
  </r>
  <r>
    <x v="732"/>
    <n v="1"/>
    <x v="2"/>
    <n v="28"/>
  </r>
  <r>
    <x v="733"/>
    <n v="1"/>
    <x v="2"/>
    <n v="28"/>
  </r>
  <r>
    <x v="734"/>
    <n v="1"/>
    <x v="2"/>
    <n v="20"/>
  </r>
  <r>
    <x v="735"/>
    <n v="1"/>
    <x v="2"/>
    <n v="16"/>
  </r>
  <r>
    <x v="736"/>
    <n v="1"/>
    <x v="2"/>
    <n v="19"/>
  </r>
  <r>
    <x v="737"/>
    <n v="1"/>
    <x v="2"/>
    <n v="20"/>
  </r>
  <r>
    <x v="738"/>
    <n v="1"/>
    <x v="2"/>
    <n v="29"/>
  </r>
  <r>
    <x v="739"/>
    <n v="1"/>
    <x v="2"/>
    <n v="19"/>
  </r>
  <r>
    <x v="740"/>
    <n v="1"/>
    <x v="2"/>
    <n v="33"/>
  </r>
  <r>
    <x v="741"/>
    <n v="1"/>
    <x v="2"/>
    <n v="24"/>
  </r>
  <r>
    <x v="742"/>
    <n v="1"/>
    <x v="2"/>
    <n v="24"/>
  </r>
  <r>
    <x v="743"/>
    <n v="1"/>
    <x v="2"/>
    <n v="26"/>
  </r>
  <r>
    <x v="744"/>
    <n v="1"/>
    <x v="2"/>
    <n v="27"/>
  </r>
  <r>
    <x v="745"/>
    <n v="1"/>
    <x v="2"/>
    <n v="28"/>
  </r>
  <r>
    <x v="746"/>
    <n v="1"/>
    <x v="2"/>
    <n v="24"/>
  </r>
  <r>
    <x v="747"/>
    <n v="1"/>
    <x v="2"/>
    <n v="35"/>
  </r>
  <r>
    <x v="748"/>
    <n v="1"/>
    <x v="2"/>
    <n v="19"/>
  </r>
  <r>
    <x v="749"/>
    <n v="1"/>
    <x v="2"/>
    <n v="17"/>
  </r>
  <r>
    <x v="750"/>
    <n v="1"/>
    <x v="2"/>
    <n v="15"/>
  </r>
  <r>
    <x v="751"/>
    <n v="1"/>
    <x v="2"/>
    <n v="22"/>
  </r>
  <r>
    <x v="752"/>
    <n v="1"/>
    <x v="2"/>
    <n v="26"/>
  </r>
  <r>
    <x v="753"/>
    <n v="1"/>
    <x v="2"/>
    <n v="24"/>
  </r>
  <r>
    <x v="754"/>
    <n v="1"/>
    <x v="2"/>
    <n v="30"/>
  </r>
  <r>
    <x v="755"/>
    <n v="1"/>
    <x v="2"/>
    <n v="20"/>
  </r>
  <r>
    <x v="756"/>
    <n v="1"/>
    <x v="2"/>
    <n v="17"/>
  </r>
  <r>
    <x v="757"/>
    <n v="1"/>
    <x v="2"/>
    <n v="25"/>
  </r>
  <r>
    <x v="758"/>
    <n v="1"/>
    <x v="2"/>
    <n v="21"/>
  </r>
  <r>
    <x v="759"/>
    <n v="1"/>
    <x v="2"/>
    <n v="15"/>
  </r>
  <r>
    <x v="760"/>
    <n v="1"/>
    <x v="2"/>
    <n v="25"/>
  </r>
  <r>
    <x v="761"/>
    <n v="1"/>
    <x v="2"/>
    <n v="32"/>
  </r>
  <r>
    <x v="762"/>
    <n v="1"/>
    <x v="2"/>
    <n v="13"/>
  </r>
  <r>
    <x v="763"/>
    <n v="1"/>
    <x v="2"/>
    <n v="15"/>
  </r>
  <r>
    <x v="764"/>
    <n v="1"/>
    <x v="2"/>
    <n v="24"/>
  </r>
  <r>
    <x v="765"/>
    <n v="1"/>
    <x v="2"/>
    <n v="20"/>
  </r>
  <r>
    <x v="766"/>
    <n v="1"/>
    <x v="2"/>
    <n v="20"/>
  </r>
  <r>
    <x v="767"/>
    <n v="1"/>
    <x v="2"/>
    <n v="38"/>
  </r>
  <r>
    <x v="768"/>
    <n v="1"/>
    <x v="2"/>
    <n v="38"/>
  </r>
  <r>
    <x v="769"/>
    <n v="1"/>
    <x v="2"/>
    <n v="19"/>
  </r>
  <r>
    <x v="770"/>
    <n v="1"/>
    <x v="2"/>
    <n v="25"/>
  </r>
  <r>
    <x v="771"/>
    <n v="1"/>
    <x v="2"/>
    <n v="22"/>
  </r>
  <r>
    <x v="772"/>
    <n v="1"/>
    <x v="2"/>
    <n v="19"/>
  </r>
  <r>
    <x v="773"/>
    <n v="1"/>
    <x v="2"/>
    <n v="15"/>
  </r>
  <r>
    <x v="774"/>
    <n v="1"/>
    <x v="2"/>
    <n v="28"/>
  </r>
  <r>
    <x v="775"/>
    <n v="1"/>
    <x v="2"/>
    <n v="35"/>
  </r>
  <r>
    <x v="776"/>
    <n v="1"/>
    <x v="2"/>
    <n v="22"/>
  </r>
  <r>
    <x v="777"/>
    <n v="1"/>
    <x v="2"/>
    <n v="23"/>
  </r>
  <r>
    <x v="778"/>
    <n v="1"/>
    <x v="2"/>
    <n v="22"/>
  </r>
  <r>
    <x v="779"/>
    <n v="1"/>
    <x v="2"/>
    <n v="29"/>
  </r>
  <r>
    <x v="780"/>
    <n v="1"/>
    <x v="2"/>
    <n v="21"/>
  </r>
  <r>
    <x v="781"/>
    <n v="1"/>
    <x v="2"/>
    <n v="27"/>
  </r>
  <r>
    <x v="782"/>
    <n v="1"/>
    <x v="2"/>
    <n v="26"/>
  </r>
  <r>
    <x v="783"/>
    <n v="1"/>
    <x v="2"/>
    <n v="21"/>
  </r>
  <r>
    <x v="784"/>
    <n v="1"/>
    <x v="2"/>
    <n v="19"/>
  </r>
  <r>
    <x v="785"/>
    <n v="1"/>
    <x v="2"/>
    <n v="23"/>
  </r>
  <r>
    <x v="786"/>
    <n v="1"/>
    <x v="2"/>
    <n v="26"/>
  </r>
  <r>
    <x v="787"/>
    <n v="1"/>
    <x v="2"/>
    <n v="30"/>
  </r>
  <r>
    <x v="788"/>
    <n v="1"/>
    <x v="2"/>
    <n v="18"/>
  </r>
  <r>
    <x v="789"/>
    <n v="1"/>
    <x v="2"/>
    <n v="26"/>
  </r>
  <r>
    <x v="790"/>
    <n v="1"/>
    <x v="2"/>
    <n v="26"/>
  </r>
  <r>
    <x v="791"/>
    <n v="1"/>
    <x v="2"/>
    <n v="19"/>
  </r>
  <r>
    <x v="792"/>
    <n v="1"/>
    <x v="2"/>
    <n v="21"/>
  </r>
  <r>
    <x v="793"/>
    <n v="1"/>
    <x v="2"/>
    <n v="34"/>
  </r>
  <r>
    <x v="794"/>
    <n v="1"/>
    <x v="2"/>
    <n v="26"/>
  </r>
  <r>
    <x v="795"/>
    <n v="1"/>
    <x v="2"/>
    <n v="30"/>
  </r>
  <r>
    <x v="796"/>
    <n v="1"/>
    <x v="2"/>
    <n v="36"/>
  </r>
  <r>
    <x v="797"/>
    <n v="1"/>
    <x v="2"/>
    <n v="29"/>
  </r>
  <r>
    <x v="798"/>
    <n v="1"/>
    <x v="2"/>
    <n v="30"/>
  </r>
  <r>
    <x v="799"/>
    <n v="1"/>
    <x v="2"/>
    <n v="24"/>
  </r>
  <r>
    <x v="800"/>
    <n v="1"/>
    <x v="2"/>
    <n v="25"/>
  </r>
  <r>
    <x v="801"/>
    <n v="1"/>
    <x v="2"/>
    <n v="33"/>
  </r>
  <r>
    <x v="802"/>
    <n v="1"/>
    <x v="2"/>
    <n v="35"/>
  </r>
  <r>
    <x v="803"/>
    <n v="1"/>
    <x v="2"/>
    <n v="46"/>
  </r>
  <r>
    <x v="804"/>
    <n v="1"/>
    <x v="2"/>
    <n v="20"/>
  </r>
  <r>
    <x v="805"/>
    <n v="1"/>
    <x v="2"/>
    <n v="23"/>
  </r>
  <r>
    <x v="806"/>
    <n v="1"/>
    <x v="2"/>
    <n v="29"/>
  </r>
  <r>
    <x v="807"/>
    <n v="1"/>
    <x v="2"/>
    <n v="33"/>
  </r>
  <r>
    <x v="808"/>
    <n v="1"/>
    <x v="2"/>
    <n v="44"/>
  </r>
  <r>
    <x v="809"/>
    <n v="1"/>
    <x v="2"/>
    <n v="35"/>
  </r>
  <r>
    <x v="810"/>
    <n v="1"/>
    <x v="2"/>
    <n v="32"/>
  </r>
  <r>
    <x v="811"/>
    <n v="1"/>
    <x v="2"/>
    <n v="28"/>
  </r>
  <r>
    <x v="812"/>
    <n v="1"/>
    <x v="2"/>
    <n v="22"/>
  </r>
  <r>
    <x v="813"/>
    <n v="1"/>
    <x v="2"/>
    <n v="22"/>
  </r>
  <r>
    <x v="814"/>
    <n v="1"/>
    <x v="2"/>
    <n v="30"/>
  </r>
  <r>
    <x v="815"/>
    <n v="1"/>
    <x v="2"/>
    <n v="30"/>
  </r>
  <r>
    <x v="816"/>
    <n v="1"/>
    <x v="2"/>
    <n v="35"/>
  </r>
  <r>
    <x v="817"/>
    <n v="1"/>
    <x v="2"/>
    <n v="31"/>
  </r>
  <r>
    <x v="818"/>
    <n v="1"/>
    <x v="2"/>
    <n v="19"/>
  </r>
  <r>
    <x v="819"/>
    <n v="1"/>
    <x v="2"/>
    <n v="35"/>
  </r>
  <r>
    <x v="820"/>
    <n v="1"/>
    <x v="2"/>
    <n v="38"/>
  </r>
  <r>
    <x v="821"/>
    <n v="1"/>
    <x v="2"/>
    <n v="34"/>
  </r>
  <r>
    <x v="822"/>
    <n v="1"/>
    <x v="2"/>
    <n v="37"/>
  </r>
  <r>
    <x v="823"/>
    <n v="1"/>
    <x v="2"/>
    <n v="38"/>
  </r>
  <r>
    <x v="824"/>
    <n v="1"/>
    <x v="2"/>
    <n v="35"/>
  </r>
  <r>
    <x v="825"/>
    <n v="1"/>
    <x v="2"/>
    <n v="36"/>
  </r>
  <r>
    <x v="826"/>
    <n v="1"/>
    <x v="2"/>
    <n v="45"/>
  </r>
  <r>
    <x v="827"/>
    <n v="1"/>
    <x v="2"/>
    <n v="27"/>
  </r>
  <r>
    <x v="828"/>
    <n v="1"/>
    <x v="2"/>
    <n v="37"/>
  </r>
  <r>
    <x v="829"/>
    <n v="1"/>
    <x v="2"/>
    <n v="39"/>
  </r>
  <r>
    <x v="830"/>
    <n v="1"/>
    <x v="2"/>
    <n v="39"/>
  </r>
  <r>
    <x v="831"/>
    <n v="1"/>
    <x v="2"/>
    <n v="41"/>
  </r>
  <r>
    <x v="832"/>
    <n v="1"/>
    <x v="2"/>
    <n v="24"/>
  </r>
  <r>
    <x v="833"/>
    <n v="1"/>
    <x v="2"/>
    <n v="21"/>
  </r>
  <r>
    <x v="834"/>
    <n v="1"/>
    <x v="2"/>
    <n v="29"/>
  </r>
  <r>
    <x v="835"/>
    <n v="1"/>
    <x v="2"/>
    <n v="33"/>
  </r>
  <r>
    <x v="836"/>
    <n v="1"/>
    <x v="2"/>
    <n v="37"/>
  </r>
  <r>
    <x v="837"/>
    <n v="1"/>
    <x v="2"/>
    <n v="35"/>
  </r>
  <r>
    <x v="838"/>
    <n v="1"/>
    <x v="2"/>
    <n v="54"/>
  </r>
  <r>
    <x v="839"/>
    <n v="1"/>
    <x v="2"/>
    <n v="26"/>
  </r>
  <r>
    <x v="840"/>
    <n v="1"/>
    <x v="2"/>
    <n v="33"/>
  </r>
  <r>
    <x v="841"/>
    <n v="1"/>
    <x v="2"/>
    <n v="35"/>
  </r>
  <r>
    <x v="842"/>
    <n v="1"/>
    <x v="2"/>
    <n v="29"/>
  </r>
  <r>
    <x v="843"/>
    <n v="1"/>
    <x v="2"/>
    <n v="32"/>
  </r>
  <r>
    <x v="844"/>
    <n v="1"/>
    <x v="2"/>
    <n v="57"/>
  </r>
  <r>
    <x v="845"/>
    <n v="1"/>
    <x v="2"/>
    <n v="41"/>
  </r>
  <r>
    <x v="846"/>
    <n v="1"/>
    <x v="2"/>
    <n v="22"/>
  </r>
  <r>
    <x v="847"/>
    <n v="1"/>
    <x v="2"/>
    <n v="30"/>
  </r>
  <r>
    <x v="848"/>
    <n v="1"/>
    <x v="2"/>
    <n v="32"/>
  </r>
  <r>
    <x v="849"/>
    <n v="1"/>
    <x v="2"/>
    <n v="42"/>
  </r>
  <r>
    <x v="850"/>
    <n v="1"/>
    <x v="2"/>
    <n v="49"/>
  </r>
  <r>
    <x v="851"/>
    <n v="1"/>
    <x v="2"/>
    <n v="50"/>
  </r>
  <r>
    <x v="852"/>
    <n v="1"/>
    <x v="2"/>
    <n v="60"/>
  </r>
  <r>
    <x v="853"/>
    <n v="1"/>
    <x v="2"/>
    <n v="36"/>
  </r>
  <r>
    <x v="854"/>
    <n v="1"/>
    <x v="2"/>
    <n v="29"/>
  </r>
  <r>
    <x v="855"/>
    <n v="1"/>
    <x v="2"/>
    <n v="31"/>
  </r>
  <r>
    <x v="856"/>
    <n v="1"/>
    <x v="2"/>
    <n v="39"/>
  </r>
  <r>
    <x v="857"/>
    <n v="1"/>
    <x v="2"/>
    <n v="30"/>
  </r>
  <r>
    <x v="858"/>
    <n v="1"/>
    <x v="2"/>
    <n v="42"/>
  </r>
  <r>
    <x v="859"/>
    <n v="1"/>
    <x v="2"/>
    <n v="50"/>
  </r>
  <r>
    <x v="860"/>
    <n v="1"/>
    <x v="2"/>
    <n v="31"/>
  </r>
  <r>
    <x v="861"/>
    <n v="1"/>
    <x v="2"/>
    <n v="26"/>
  </r>
  <r>
    <x v="862"/>
    <n v="1"/>
    <x v="2"/>
    <n v="41"/>
  </r>
  <r>
    <x v="863"/>
    <n v="1"/>
    <x v="2"/>
    <n v="44"/>
  </r>
  <r>
    <x v="864"/>
    <n v="1"/>
    <x v="2"/>
    <n v="52"/>
  </r>
  <r>
    <x v="865"/>
    <n v="1"/>
    <x v="2"/>
    <n v="41"/>
  </r>
  <r>
    <x v="866"/>
    <n v="1"/>
    <x v="2"/>
    <n v="37"/>
  </r>
  <r>
    <x v="867"/>
    <n v="1"/>
    <x v="2"/>
    <n v="33"/>
  </r>
  <r>
    <x v="868"/>
    <n v="1"/>
    <x v="2"/>
    <n v="33"/>
  </r>
  <r>
    <x v="869"/>
    <n v="1"/>
    <x v="2"/>
    <n v="31"/>
  </r>
  <r>
    <x v="870"/>
    <n v="1"/>
    <x v="2"/>
    <n v="39"/>
  </r>
  <r>
    <x v="871"/>
    <n v="1"/>
    <x v="2"/>
    <n v="40"/>
  </r>
  <r>
    <x v="872"/>
    <n v="1"/>
    <x v="2"/>
    <n v="47"/>
  </r>
  <r>
    <x v="873"/>
    <n v="1"/>
    <x v="2"/>
    <n v="38"/>
  </r>
  <r>
    <x v="874"/>
    <n v="1"/>
    <x v="2"/>
    <n v="34"/>
  </r>
  <r>
    <x v="875"/>
    <n v="1"/>
    <x v="2"/>
    <n v="47"/>
  </r>
  <r>
    <x v="876"/>
    <n v="1"/>
    <x v="2"/>
    <n v="37"/>
  </r>
  <r>
    <x v="877"/>
    <n v="1"/>
    <x v="2"/>
    <n v="43"/>
  </r>
  <r>
    <x v="878"/>
    <n v="1"/>
    <x v="2"/>
    <n v="40"/>
  </r>
  <r>
    <x v="879"/>
    <n v="1"/>
    <x v="2"/>
    <n v="37"/>
  </r>
  <r>
    <x v="880"/>
    <n v="1"/>
    <x v="2"/>
    <n v="49"/>
  </r>
  <r>
    <x v="881"/>
    <n v="1"/>
    <x v="2"/>
    <n v="29"/>
  </r>
  <r>
    <x v="882"/>
    <n v="1"/>
    <x v="2"/>
    <n v="30"/>
  </r>
  <r>
    <x v="883"/>
    <n v="1"/>
    <x v="2"/>
    <n v="40"/>
  </r>
  <r>
    <x v="884"/>
    <n v="1"/>
    <x v="2"/>
    <n v="43"/>
  </r>
  <r>
    <x v="885"/>
    <n v="1"/>
    <x v="2"/>
    <n v="46"/>
  </r>
  <r>
    <x v="886"/>
    <n v="1"/>
    <x v="2"/>
    <n v="49"/>
  </r>
  <r>
    <x v="887"/>
    <n v="1"/>
    <x v="2"/>
    <n v="48"/>
  </r>
  <r>
    <x v="888"/>
    <n v="1"/>
    <x v="2"/>
    <n v="36"/>
  </r>
  <r>
    <x v="889"/>
    <n v="1"/>
    <x v="2"/>
    <n v="43"/>
  </r>
  <r>
    <x v="890"/>
    <n v="1"/>
    <x v="2"/>
    <n v="51"/>
  </r>
  <r>
    <x v="891"/>
    <n v="1"/>
    <x v="2"/>
    <n v="42"/>
  </r>
  <r>
    <x v="892"/>
    <n v="1"/>
    <x v="2"/>
    <n v="45"/>
  </r>
  <r>
    <x v="893"/>
    <n v="1"/>
    <x v="2"/>
    <n v="43"/>
  </r>
  <r>
    <x v="894"/>
    <n v="1"/>
    <x v="2"/>
    <n v="41"/>
  </r>
  <r>
    <x v="895"/>
    <n v="1"/>
    <x v="2"/>
    <n v="38"/>
  </r>
  <r>
    <x v="896"/>
    <n v="1"/>
    <x v="2"/>
    <n v="39"/>
  </r>
  <r>
    <x v="897"/>
    <n v="1"/>
    <x v="2"/>
    <n v="40"/>
  </r>
  <r>
    <x v="898"/>
    <n v="1"/>
    <x v="2"/>
    <n v="42"/>
  </r>
  <r>
    <x v="899"/>
    <n v="1"/>
    <x v="2"/>
    <n v="58"/>
  </r>
  <r>
    <x v="900"/>
    <n v="1"/>
    <x v="2"/>
    <n v="34"/>
  </r>
  <r>
    <x v="901"/>
    <n v="1"/>
    <x v="2"/>
    <n v="44"/>
  </r>
  <r>
    <x v="902"/>
    <n v="1"/>
    <x v="2"/>
    <n v="27"/>
  </r>
  <r>
    <x v="903"/>
    <n v="1"/>
    <x v="2"/>
    <n v="51"/>
  </r>
  <r>
    <x v="904"/>
    <n v="1"/>
    <x v="2"/>
    <n v="48"/>
  </r>
  <r>
    <x v="905"/>
    <n v="1"/>
    <x v="2"/>
    <n v="43"/>
  </r>
  <r>
    <x v="906"/>
    <n v="1"/>
    <x v="2"/>
    <n v="50"/>
  </r>
  <r>
    <x v="907"/>
    <n v="1"/>
    <x v="2"/>
    <n v="34"/>
  </r>
  <r>
    <x v="908"/>
    <n v="1"/>
    <x v="2"/>
    <n v="35"/>
  </r>
  <r>
    <x v="909"/>
    <n v="1"/>
    <x v="2"/>
    <n v="25"/>
  </r>
  <r>
    <x v="910"/>
    <n v="1"/>
    <x v="2"/>
    <n v="21"/>
  </r>
  <r>
    <x v="911"/>
    <n v="1"/>
    <x v="2"/>
    <n v="36"/>
  </r>
  <r>
    <x v="912"/>
    <n v="1"/>
    <x v="2"/>
    <n v="37"/>
  </r>
  <r>
    <x v="913"/>
    <n v="1"/>
    <x v="2"/>
    <n v="35"/>
  </r>
  <r>
    <x v="914"/>
    <n v="1"/>
    <x v="2"/>
    <n v="49"/>
  </r>
  <r>
    <x v="915"/>
    <n v="1"/>
    <x v="2"/>
    <n v="53"/>
  </r>
  <r>
    <x v="916"/>
    <n v="1"/>
    <x v="2"/>
    <n v="27"/>
  </r>
  <r>
    <x v="917"/>
    <n v="1"/>
    <x v="2"/>
    <n v="38"/>
  </r>
  <r>
    <x v="918"/>
    <n v="1"/>
    <x v="2"/>
    <n v="39"/>
  </r>
  <r>
    <x v="919"/>
    <n v="1"/>
    <x v="2"/>
    <n v="26"/>
  </r>
  <r>
    <x v="920"/>
    <n v="1"/>
    <x v="2"/>
    <n v="52"/>
  </r>
  <r>
    <x v="921"/>
    <n v="1"/>
    <x v="2"/>
    <n v="59"/>
  </r>
  <r>
    <x v="922"/>
    <n v="1"/>
    <x v="2"/>
    <n v="61"/>
  </r>
  <r>
    <x v="923"/>
    <n v="1"/>
    <x v="2"/>
    <n v="30"/>
  </r>
  <r>
    <x v="924"/>
    <n v="1"/>
    <x v="2"/>
    <n v="46"/>
  </r>
  <r>
    <x v="925"/>
    <n v="1"/>
    <x v="2"/>
    <n v="34"/>
  </r>
  <r>
    <x v="926"/>
    <n v="1"/>
    <x v="2"/>
    <n v="44"/>
  </r>
  <r>
    <x v="927"/>
    <n v="1"/>
    <x v="2"/>
    <n v="49"/>
  </r>
  <r>
    <x v="928"/>
    <n v="1"/>
    <x v="2"/>
    <n v="54"/>
  </r>
  <r>
    <x v="929"/>
    <n v="1"/>
    <x v="2"/>
    <n v="45"/>
  </r>
  <r>
    <x v="930"/>
    <n v="1"/>
    <x v="2"/>
    <n v="38"/>
  </r>
  <r>
    <x v="931"/>
    <n v="1"/>
    <x v="2"/>
    <n v="43"/>
  </r>
  <r>
    <x v="932"/>
    <n v="1"/>
    <x v="2"/>
    <n v="38"/>
  </r>
  <r>
    <x v="933"/>
    <n v="1"/>
    <x v="2"/>
    <n v="41"/>
  </r>
  <r>
    <x v="934"/>
    <n v="1"/>
    <x v="2"/>
    <n v="53"/>
  </r>
  <r>
    <x v="935"/>
    <n v="1"/>
    <x v="2"/>
    <n v="53"/>
  </r>
  <r>
    <x v="936"/>
    <n v="1"/>
    <x v="2"/>
    <n v="57"/>
  </r>
  <r>
    <x v="937"/>
    <n v="1"/>
    <x v="2"/>
    <n v="23"/>
  </r>
  <r>
    <x v="938"/>
    <n v="1"/>
    <x v="2"/>
    <n v="49"/>
  </r>
  <r>
    <x v="939"/>
    <n v="1"/>
    <x v="2"/>
    <n v="38"/>
  </r>
  <r>
    <x v="940"/>
    <n v="1"/>
    <x v="2"/>
    <n v="36"/>
  </r>
  <r>
    <x v="941"/>
    <n v="1"/>
    <x v="2"/>
    <n v="42"/>
  </r>
  <r>
    <x v="942"/>
    <n v="1"/>
    <x v="2"/>
    <n v="41"/>
  </r>
  <r>
    <x v="943"/>
    <n v="1"/>
    <x v="2"/>
    <n v="35"/>
  </r>
  <r>
    <x v="944"/>
    <n v="1"/>
    <x v="2"/>
    <n v="30"/>
  </r>
  <r>
    <x v="945"/>
    <n v="1"/>
    <x v="2"/>
    <n v="31"/>
  </r>
  <r>
    <x v="946"/>
    <n v="1"/>
    <x v="2"/>
    <n v="40"/>
  </r>
  <r>
    <x v="947"/>
    <n v="1"/>
    <x v="2"/>
    <n v="40"/>
  </r>
  <r>
    <x v="948"/>
    <n v="1"/>
    <x v="2"/>
    <n v="42"/>
  </r>
  <r>
    <x v="949"/>
    <n v="1"/>
    <x v="2"/>
    <n v="36"/>
  </r>
  <r>
    <x v="950"/>
    <n v="1"/>
    <x v="2"/>
    <n v="37"/>
  </r>
  <r>
    <x v="951"/>
    <n v="1"/>
    <x v="2"/>
    <n v="28"/>
  </r>
  <r>
    <x v="952"/>
    <n v="1"/>
    <x v="2"/>
    <n v="39"/>
  </r>
  <r>
    <x v="953"/>
    <n v="1"/>
    <x v="2"/>
    <n v="40"/>
  </r>
  <r>
    <x v="954"/>
    <n v="1"/>
    <x v="2"/>
    <n v="34"/>
  </r>
  <r>
    <x v="955"/>
    <n v="1"/>
    <x v="2"/>
    <n v="34"/>
  </r>
  <r>
    <x v="956"/>
    <n v="1"/>
    <x v="2"/>
    <n v="45"/>
  </r>
  <r>
    <x v="957"/>
    <n v="1"/>
    <x v="2"/>
    <n v="47"/>
  </r>
  <r>
    <x v="958"/>
    <n v="1"/>
    <x v="2"/>
    <n v="29"/>
  </r>
  <r>
    <x v="959"/>
    <n v="1"/>
    <x v="2"/>
    <n v="24"/>
  </r>
  <r>
    <x v="960"/>
    <n v="1"/>
    <x v="2"/>
    <n v="33"/>
  </r>
  <r>
    <x v="961"/>
    <n v="1"/>
    <x v="2"/>
    <n v="50"/>
  </r>
  <r>
    <x v="962"/>
    <n v="1"/>
    <x v="2"/>
    <n v="36"/>
  </r>
  <r>
    <x v="963"/>
    <n v="1"/>
    <x v="2"/>
    <n v="45"/>
  </r>
  <r>
    <x v="964"/>
    <n v="1"/>
    <x v="2"/>
    <n v="42"/>
  </r>
  <r>
    <x v="965"/>
    <n v="1"/>
    <x v="2"/>
    <n v="26"/>
  </r>
  <r>
    <x v="966"/>
    <n v="1"/>
    <x v="2"/>
    <n v="37"/>
  </r>
  <r>
    <x v="967"/>
    <n v="1"/>
    <x v="2"/>
    <n v="31"/>
  </r>
  <r>
    <x v="968"/>
    <n v="1"/>
    <x v="2"/>
    <n v="47"/>
  </r>
  <r>
    <x v="969"/>
    <n v="1"/>
    <x v="2"/>
    <n v="41"/>
  </r>
  <r>
    <x v="970"/>
    <n v="1"/>
    <x v="2"/>
    <n v="48"/>
  </r>
  <r>
    <x v="971"/>
    <n v="1"/>
    <x v="2"/>
    <n v="50"/>
  </r>
  <r>
    <x v="972"/>
    <n v="1"/>
    <x v="2"/>
    <n v="40"/>
  </r>
  <r>
    <x v="973"/>
    <n v="1"/>
    <x v="2"/>
    <n v="27"/>
  </r>
  <r>
    <x v="974"/>
    <n v="1"/>
    <x v="2"/>
    <n v="27"/>
  </r>
  <r>
    <x v="975"/>
    <n v="1"/>
    <x v="2"/>
    <n v="33"/>
  </r>
  <r>
    <x v="976"/>
    <n v="1"/>
    <x v="2"/>
    <n v="43"/>
  </r>
  <r>
    <x v="977"/>
    <n v="1"/>
    <x v="2"/>
    <n v="37"/>
  </r>
  <r>
    <x v="978"/>
    <n v="1"/>
    <x v="2"/>
    <n v="35"/>
  </r>
  <r>
    <x v="979"/>
    <n v="1"/>
    <x v="2"/>
    <n v="33"/>
  </r>
  <r>
    <x v="980"/>
    <n v="1"/>
    <x v="2"/>
    <n v="36"/>
  </r>
  <r>
    <x v="981"/>
    <n v="1"/>
    <x v="2"/>
    <n v="39"/>
  </r>
  <r>
    <x v="982"/>
    <n v="1"/>
    <x v="2"/>
    <n v="43"/>
  </r>
  <r>
    <x v="983"/>
    <n v="1"/>
    <x v="2"/>
    <n v="37"/>
  </r>
  <r>
    <x v="984"/>
    <n v="1"/>
    <x v="2"/>
    <n v="60"/>
  </r>
  <r>
    <x v="985"/>
    <n v="1"/>
    <x v="2"/>
    <n v="47"/>
  </r>
  <r>
    <x v="986"/>
    <n v="1"/>
    <x v="2"/>
    <n v="26"/>
  </r>
  <r>
    <x v="987"/>
    <n v="1"/>
    <x v="2"/>
    <n v="25"/>
  </r>
  <r>
    <x v="988"/>
    <n v="1"/>
    <x v="2"/>
    <n v="36"/>
  </r>
  <r>
    <x v="989"/>
    <n v="1"/>
    <x v="2"/>
    <n v="44"/>
  </r>
  <r>
    <x v="990"/>
    <n v="1"/>
    <x v="2"/>
    <n v="26"/>
  </r>
  <r>
    <x v="991"/>
    <n v="1"/>
    <x v="2"/>
    <n v="38"/>
  </r>
  <r>
    <x v="992"/>
    <n v="1"/>
    <x v="2"/>
    <n v="42"/>
  </r>
  <r>
    <x v="993"/>
    <n v="1"/>
    <x v="2"/>
    <n v="36"/>
  </r>
  <r>
    <x v="994"/>
    <n v="1"/>
    <x v="2"/>
    <n v="36"/>
  </r>
  <r>
    <x v="995"/>
    <n v="1"/>
    <x v="2"/>
    <n v="29"/>
  </r>
  <r>
    <x v="996"/>
    <n v="1"/>
    <x v="2"/>
    <n v="37"/>
  </r>
  <r>
    <x v="997"/>
    <n v="1"/>
    <x v="2"/>
    <n v="43"/>
  </r>
  <r>
    <x v="998"/>
    <n v="1"/>
    <x v="2"/>
    <n v="43"/>
  </r>
  <r>
    <x v="999"/>
    <n v="1"/>
    <x v="2"/>
    <n v="55"/>
  </r>
  <r>
    <x v="1000"/>
    <n v="1"/>
    <x v="2"/>
    <n v="27"/>
  </r>
  <r>
    <x v="1001"/>
    <n v="1"/>
    <x v="2"/>
    <n v="39"/>
  </r>
  <r>
    <x v="1002"/>
    <n v="1"/>
    <x v="2"/>
    <n v="33"/>
  </r>
  <r>
    <x v="1003"/>
    <n v="1"/>
    <x v="2"/>
    <n v="26"/>
  </r>
  <r>
    <x v="1004"/>
    <n v="1"/>
    <x v="2"/>
    <n v="21"/>
  </r>
  <r>
    <x v="1005"/>
    <n v="1"/>
    <x v="2"/>
    <n v="40"/>
  </r>
  <r>
    <x v="1006"/>
    <n v="1"/>
    <x v="2"/>
    <n v="41"/>
  </r>
  <r>
    <x v="1007"/>
    <n v="1"/>
    <x v="2"/>
    <n v="31"/>
  </r>
  <r>
    <x v="1008"/>
    <n v="1"/>
    <x v="2"/>
    <n v="31"/>
  </r>
  <r>
    <x v="1009"/>
    <n v="1"/>
    <x v="2"/>
    <n v="34"/>
  </r>
  <r>
    <x v="1010"/>
    <n v="1"/>
    <x v="2"/>
    <n v="34"/>
  </r>
  <r>
    <x v="1011"/>
    <n v="1"/>
    <x v="2"/>
    <n v="32"/>
  </r>
  <r>
    <x v="1012"/>
    <n v="1"/>
    <x v="2"/>
    <n v="37"/>
  </r>
  <r>
    <x v="1013"/>
    <n v="1"/>
    <x v="2"/>
    <n v="35"/>
  </r>
  <r>
    <x v="1014"/>
    <n v="1"/>
    <x v="2"/>
    <n v="28"/>
  </r>
  <r>
    <x v="1015"/>
    <n v="1"/>
    <x v="2"/>
    <n v="44"/>
  </r>
  <r>
    <x v="1016"/>
    <n v="1"/>
    <x v="2"/>
    <n v="30"/>
  </r>
  <r>
    <x v="1017"/>
    <n v="1"/>
    <x v="2"/>
    <n v="26"/>
  </r>
  <r>
    <x v="1018"/>
    <n v="1"/>
    <x v="2"/>
    <n v="24"/>
  </r>
  <r>
    <x v="1019"/>
    <n v="1"/>
    <x v="2"/>
    <n v="32"/>
  </r>
  <r>
    <x v="1020"/>
    <n v="1"/>
    <x v="2"/>
    <n v="36"/>
  </r>
  <r>
    <x v="1021"/>
    <n v="1"/>
    <x v="2"/>
    <n v="32"/>
  </r>
  <r>
    <x v="1022"/>
    <n v="1"/>
    <x v="2"/>
    <n v="31"/>
  </r>
  <r>
    <x v="1023"/>
    <n v="1"/>
    <x v="2"/>
    <n v="36"/>
  </r>
  <r>
    <x v="1024"/>
    <n v="1"/>
    <x v="2"/>
    <n v="39"/>
  </r>
  <r>
    <x v="1025"/>
    <n v="1"/>
    <x v="2"/>
    <n v="33"/>
  </r>
  <r>
    <x v="1026"/>
    <n v="1"/>
    <x v="2"/>
    <n v="32"/>
  </r>
  <r>
    <x v="1027"/>
    <n v="1"/>
    <x v="2"/>
    <n v="39"/>
  </r>
  <r>
    <x v="1028"/>
    <n v="1"/>
    <x v="2"/>
    <n v="30"/>
  </r>
  <r>
    <x v="1029"/>
    <n v="1"/>
    <x v="2"/>
    <n v="40"/>
  </r>
  <r>
    <x v="1030"/>
    <n v="1"/>
    <x v="2"/>
    <n v="38"/>
  </r>
  <r>
    <x v="1031"/>
    <n v="1"/>
    <x v="2"/>
    <n v="38"/>
  </r>
  <r>
    <x v="1032"/>
    <n v="1"/>
    <x v="2"/>
    <n v="37"/>
  </r>
  <r>
    <x v="1033"/>
    <n v="1"/>
    <x v="2"/>
    <n v="34"/>
  </r>
  <r>
    <x v="1034"/>
    <n v="1"/>
    <x v="2"/>
    <n v="46"/>
  </r>
  <r>
    <x v="1035"/>
    <n v="1"/>
    <x v="2"/>
    <n v="22"/>
  </r>
  <r>
    <x v="1036"/>
    <n v="1"/>
    <x v="2"/>
    <n v="28"/>
  </r>
  <r>
    <x v="1037"/>
    <n v="1"/>
    <x v="2"/>
    <n v="25"/>
  </r>
  <r>
    <x v="1038"/>
    <n v="1"/>
    <x v="2"/>
    <n v="37"/>
  </r>
  <r>
    <x v="1039"/>
    <n v="1"/>
    <x v="2"/>
    <n v="37"/>
  </r>
  <r>
    <x v="1040"/>
    <n v="1"/>
    <x v="2"/>
    <n v="39"/>
  </r>
  <r>
    <x v="1041"/>
    <n v="1"/>
    <x v="2"/>
    <n v="47"/>
  </r>
  <r>
    <x v="1042"/>
    <n v="1"/>
    <x v="2"/>
    <n v="27"/>
  </r>
  <r>
    <x v="1043"/>
    <n v="1"/>
    <x v="2"/>
    <n v="22"/>
  </r>
  <r>
    <x v="1044"/>
    <n v="1"/>
    <x v="2"/>
    <n v="42"/>
  </r>
  <r>
    <x v="1045"/>
    <n v="1"/>
    <x v="2"/>
    <n v="42"/>
  </r>
  <r>
    <x v="1046"/>
    <n v="1"/>
    <x v="2"/>
    <n v="32"/>
  </r>
  <r>
    <x v="1047"/>
    <n v="1"/>
    <x v="2"/>
    <n v="43"/>
  </r>
  <r>
    <x v="1048"/>
    <n v="1"/>
    <x v="2"/>
    <n v="43"/>
  </r>
  <r>
    <x v="1049"/>
    <n v="1"/>
    <x v="2"/>
    <n v="30"/>
  </r>
  <r>
    <x v="1050"/>
    <n v="1"/>
    <x v="2"/>
    <n v="34"/>
  </r>
  <r>
    <x v="1051"/>
    <n v="1"/>
    <x v="2"/>
    <n v="36"/>
  </r>
  <r>
    <x v="1052"/>
    <n v="1"/>
    <x v="2"/>
    <n v="29"/>
  </r>
  <r>
    <x v="1053"/>
    <n v="1"/>
    <x v="2"/>
    <n v="43"/>
  </r>
  <r>
    <x v="1054"/>
    <n v="1"/>
    <x v="2"/>
    <n v="36"/>
  </r>
  <r>
    <x v="1055"/>
    <n v="1"/>
    <x v="2"/>
    <n v="43"/>
  </r>
  <r>
    <x v="1056"/>
    <n v="1"/>
    <x v="2"/>
    <n v="25"/>
  </r>
  <r>
    <x v="1057"/>
    <n v="1"/>
    <x v="2"/>
    <n v="27"/>
  </r>
  <r>
    <x v="1058"/>
    <n v="1"/>
    <x v="2"/>
    <n v="32"/>
  </r>
  <r>
    <x v="1059"/>
    <n v="1"/>
    <x v="2"/>
    <n v="38"/>
  </r>
  <r>
    <x v="1060"/>
    <n v="1"/>
    <x v="2"/>
    <n v="32"/>
  </r>
  <r>
    <x v="1061"/>
    <n v="1"/>
    <x v="2"/>
    <n v="41"/>
  </r>
  <r>
    <x v="1062"/>
    <n v="1"/>
    <x v="2"/>
    <n v="49"/>
  </r>
  <r>
    <x v="1063"/>
    <n v="1"/>
    <x v="2"/>
    <n v="32"/>
  </r>
  <r>
    <x v="1064"/>
    <n v="1"/>
    <x v="2"/>
    <n v="15"/>
  </r>
  <r>
    <x v="1065"/>
    <n v="1"/>
    <x v="2"/>
    <n v="22"/>
  </r>
  <r>
    <x v="1066"/>
    <n v="1"/>
    <x v="2"/>
    <n v="12"/>
  </r>
  <r>
    <x v="1067"/>
    <n v="1"/>
    <x v="2"/>
    <n v="23"/>
  </r>
  <r>
    <x v="1068"/>
    <n v="1"/>
    <x v="2"/>
    <n v="33"/>
  </r>
  <r>
    <x v="1069"/>
    <n v="1"/>
    <x v="2"/>
    <n v="40"/>
  </r>
  <r>
    <x v="1070"/>
    <n v="1"/>
    <x v="2"/>
    <n v="20"/>
  </r>
  <r>
    <x v="1071"/>
    <n v="1"/>
    <x v="2"/>
    <n v="24"/>
  </r>
  <r>
    <x v="1072"/>
    <n v="1"/>
    <x v="2"/>
    <n v="19"/>
  </r>
  <r>
    <x v="1073"/>
    <n v="1"/>
    <x v="2"/>
    <n v="30"/>
  </r>
  <r>
    <x v="1074"/>
    <n v="1"/>
    <x v="2"/>
    <n v="25"/>
  </r>
  <r>
    <x v="1075"/>
    <n v="1"/>
    <x v="2"/>
    <n v="34"/>
  </r>
  <r>
    <x v="1076"/>
    <n v="1"/>
    <x v="2"/>
    <n v="39"/>
  </r>
  <r>
    <x v="1077"/>
    <n v="1"/>
    <x v="2"/>
    <n v="22"/>
  </r>
  <r>
    <x v="1078"/>
    <n v="1"/>
    <x v="2"/>
    <n v="24"/>
  </r>
  <r>
    <x v="1079"/>
    <n v="1"/>
    <x v="2"/>
    <n v="26"/>
  </r>
  <r>
    <x v="1080"/>
    <n v="1"/>
    <x v="2"/>
    <n v="23"/>
  </r>
  <r>
    <x v="1081"/>
    <n v="1"/>
    <x v="2"/>
    <n v="36"/>
  </r>
  <r>
    <x v="1082"/>
    <n v="1"/>
    <x v="2"/>
    <n v="24"/>
  </r>
  <r>
    <x v="1083"/>
    <n v="1"/>
    <x v="2"/>
    <n v="22"/>
  </r>
  <r>
    <x v="1084"/>
    <n v="1"/>
    <x v="2"/>
    <n v="18"/>
  </r>
  <r>
    <x v="1085"/>
    <n v="1"/>
    <x v="2"/>
    <n v="29"/>
  </r>
  <r>
    <x v="1086"/>
    <n v="1"/>
    <x v="2"/>
    <n v="22"/>
  </r>
  <r>
    <x v="1087"/>
    <n v="1"/>
    <x v="2"/>
    <n v="32"/>
  </r>
  <r>
    <x v="1088"/>
    <n v="1"/>
    <x v="2"/>
    <n v="20"/>
  </r>
  <r>
    <x v="1089"/>
    <n v="1"/>
    <x v="2"/>
    <n v="23"/>
  </r>
  <r>
    <x v="1090"/>
    <n v="1"/>
    <x v="2"/>
    <n v="19"/>
  </r>
  <r>
    <x v="1091"/>
    <n v="1"/>
    <x v="2"/>
    <n v="8"/>
  </r>
  <r>
    <x v="1092"/>
    <n v="1"/>
    <x v="2"/>
    <n v="28"/>
  </r>
  <r>
    <x v="1093"/>
    <n v="1"/>
    <x v="2"/>
    <n v="21"/>
  </r>
  <r>
    <x v="1094"/>
    <n v="1"/>
    <x v="2"/>
    <n v="17"/>
  </r>
  <r>
    <x v="1095"/>
    <n v="1"/>
    <x v="2"/>
    <n v="23"/>
  </r>
  <r>
    <x v="1096"/>
    <n v="1"/>
    <x v="2"/>
    <n v="22"/>
  </r>
  <r>
    <x v="1097"/>
    <n v="1"/>
    <x v="2"/>
    <n v="31"/>
  </r>
  <r>
    <x v="1098"/>
    <n v="1"/>
    <x v="2"/>
    <n v="23"/>
  </r>
  <r>
    <x v="1099"/>
    <n v="1"/>
    <x v="2"/>
    <n v="18"/>
  </r>
  <r>
    <x v="1100"/>
    <n v="1"/>
    <x v="2"/>
    <n v="20"/>
  </r>
  <r>
    <x v="1101"/>
    <n v="1"/>
    <x v="2"/>
    <n v="24"/>
  </r>
  <r>
    <x v="1102"/>
    <n v="1"/>
    <x v="2"/>
    <n v="40"/>
  </r>
  <r>
    <x v="1103"/>
    <n v="1"/>
    <x v="2"/>
    <n v="31"/>
  </r>
  <r>
    <x v="1104"/>
    <n v="1"/>
    <x v="2"/>
    <n v="35"/>
  </r>
  <r>
    <x v="1105"/>
    <n v="1"/>
    <x v="2"/>
    <n v="15"/>
  </r>
  <r>
    <x v="1106"/>
    <n v="1"/>
    <x v="2"/>
    <n v="34"/>
  </r>
  <r>
    <x v="1107"/>
    <n v="1"/>
    <x v="2"/>
    <n v="24"/>
  </r>
  <r>
    <x v="1108"/>
    <n v="1"/>
    <x v="2"/>
    <n v="27"/>
  </r>
  <r>
    <x v="1109"/>
    <n v="1"/>
    <x v="2"/>
    <n v="27"/>
  </r>
  <r>
    <x v="1110"/>
    <n v="1"/>
    <x v="2"/>
    <n v="27"/>
  </r>
  <r>
    <x v="1111"/>
    <n v="1"/>
    <x v="2"/>
    <n v="31"/>
  </r>
  <r>
    <x v="1112"/>
    <n v="1"/>
    <x v="2"/>
    <n v="22"/>
  </r>
  <r>
    <x v="1113"/>
    <n v="1"/>
    <x v="2"/>
    <n v="21"/>
  </r>
  <r>
    <x v="1114"/>
    <n v="1"/>
    <x v="2"/>
    <n v="20"/>
  </r>
  <r>
    <x v="1115"/>
    <n v="1"/>
    <x v="2"/>
    <n v="22"/>
  </r>
  <r>
    <x v="1116"/>
    <n v="1"/>
    <x v="2"/>
    <n v="29"/>
  </r>
  <r>
    <x v="1117"/>
    <n v="1"/>
    <x v="2"/>
    <n v="32"/>
  </r>
  <r>
    <x v="1118"/>
    <n v="1"/>
    <x v="2"/>
    <n v="31"/>
  </r>
  <r>
    <x v="1119"/>
    <n v="1"/>
    <x v="2"/>
    <n v="21"/>
  </r>
  <r>
    <x v="1120"/>
    <n v="1"/>
    <x v="2"/>
    <n v="18"/>
  </r>
  <r>
    <x v="1121"/>
    <n v="1"/>
    <x v="2"/>
    <n v="21"/>
  </r>
  <r>
    <x v="1122"/>
    <n v="1"/>
    <x v="2"/>
    <n v="22"/>
  </r>
  <r>
    <x v="1123"/>
    <n v="1"/>
    <x v="2"/>
    <n v="26"/>
  </r>
  <r>
    <x v="1124"/>
    <n v="1"/>
    <x v="2"/>
    <n v="27"/>
  </r>
  <r>
    <x v="1125"/>
    <n v="1"/>
    <x v="2"/>
    <n v="31"/>
  </r>
  <r>
    <x v="1126"/>
    <n v="1"/>
    <x v="2"/>
    <n v="14"/>
  </r>
  <r>
    <x v="1127"/>
    <n v="1"/>
    <x v="2"/>
    <n v="28"/>
  </r>
  <r>
    <x v="1128"/>
    <n v="1"/>
    <x v="2"/>
    <n v="26"/>
  </r>
  <r>
    <x v="1129"/>
    <n v="1"/>
    <x v="2"/>
    <n v="27"/>
  </r>
  <r>
    <x v="1130"/>
    <n v="1"/>
    <x v="2"/>
    <n v="32"/>
  </r>
  <r>
    <x v="1131"/>
    <n v="1"/>
    <x v="2"/>
    <n v="34"/>
  </r>
  <r>
    <x v="1132"/>
    <n v="1"/>
    <x v="2"/>
    <n v="33"/>
  </r>
  <r>
    <x v="1133"/>
    <n v="1"/>
    <x v="2"/>
    <n v="22"/>
  </r>
  <r>
    <x v="1134"/>
    <n v="1"/>
    <x v="2"/>
    <n v="35"/>
  </r>
  <r>
    <x v="1135"/>
    <n v="1"/>
    <x v="2"/>
    <n v="33"/>
  </r>
  <r>
    <x v="1136"/>
    <n v="1"/>
    <x v="2"/>
    <n v="27"/>
  </r>
  <r>
    <x v="1137"/>
    <n v="1"/>
    <x v="2"/>
    <n v="24"/>
  </r>
  <r>
    <x v="1138"/>
    <n v="1"/>
    <x v="2"/>
    <n v="33"/>
  </r>
  <r>
    <x v="1139"/>
    <n v="1"/>
    <x v="2"/>
    <n v="30"/>
  </r>
  <r>
    <x v="1140"/>
    <n v="1"/>
    <x v="2"/>
    <n v="18"/>
  </r>
  <r>
    <x v="1141"/>
    <n v="1"/>
    <x v="2"/>
    <n v="30"/>
  </r>
  <r>
    <x v="1142"/>
    <n v="1"/>
    <x v="2"/>
    <n v="22"/>
  </r>
  <r>
    <x v="1143"/>
    <n v="1"/>
    <x v="2"/>
    <n v="25"/>
  </r>
  <r>
    <x v="1144"/>
    <n v="1"/>
    <x v="2"/>
    <n v="27"/>
  </r>
  <r>
    <x v="1145"/>
    <n v="1"/>
    <x v="2"/>
    <n v="27"/>
  </r>
  <r>
    <x v="1146"/>
    <n v="1"/>
    <x v="2"/>
    <n v="37"/>
  </r>
  <r>
    <x v="1147"/>
    <n v="1"/>
    <x v="2"/>
    <n v="27"/>
  </r>
  <r>
    <x v="1148"/>
    <n v="1"/>
    <x v="2"/>
    <n v="28"/>
  </r>
  <r>
    <x v="1149"/>
    <n v="1"/>
    <x v="2"/>
    <n v="32"/>
  </r>
  <r>
    <x v="1150"/>
    <n v="1"/>
    <x v="2"/>
    <n v="20"/>
  </r>
  <r>
    <x v="1151"/>
    <n v="1"/>
    <x v="2"/>
    <n v="27"/>
  </r>
  <r>
    <x v="1152"/>
    <n v="1"/>
    <x v="2"/>
    <n v="21"/>
  </r>
  <r>
    <x v="1153"/>
    <n v="1"/>
    <x v="2"/>
    <n v="32"/>
  </r>
  <r>
    <x v="1154"/>
    <n v="1"/>
    <x v="2"/>
    <n v="20"/>
  </r>
  <r>
    <x v="1155"/>
    <n v="1"/>
    <x v="2"/>
    <n v="32"/>
  </r>
  <r>
    <x v="1156"/>
    <n v="1"/>
    <x v="2"/>
    <n v="22"/>
  </r>
  <r>
    <x v="1157"/>
    <n v="1"/>
    <x v="2"/>
    <n v="40"/>
  </r>
  <r>
    <x v="1158"/>
    <n v="1"/>
    <x v="2"/>
    <n v="36"/>
  </r>
  <r>
    <x v="1159"/>
    <n v="1"/>
    <x v="2"/>
    <n v="43"/>
  </r>
  <r>
    <x v="1160"/>
    <n v="1"/>
    <x v="2"/>
    <n v="35"/>
  </r>
  <r>
    <x v="1161"/>
    <n v="1"/>
    <x v="2"/>
    <n v="26"/>
  </r>
  <r>
    <x v="1162"/>
    <n v="1"/>
    <x v="2"/>
    <n v="34"/>
  </r>
  <r>
    <x v="1163"/>
    <n v="1"/>
    <x v="2"/>
    <n v="38"/>
  </r>
  <r>
    <x v="1164"/>
    <n v="1"/>
    <x v="2"/>
    <n v="46"/>
  </r>
  <r>
    <x v="1165"/>
    <n v="1"/>
    <x v="2"/>
    <n v="26"/>
  </r>
  <r>
    <x v="1166"/>
    <n v="1"/>
    <x v="2"/>
    <n v="38"/>
  </r>
  <r>
    <x v="1167"/>
    <n v="1"/>
    <x v="2"/>
    <n v="34"/>
  </r>
  <r>
    <x v="1168"/>
    <n v="1"/>
    <x v="2"/>
    <n v="18"/>
  </r>
  <r>
    <x v="1169"/>
    <n v="1"/>
    <x v="2"/>
    <n v="24"/>
  </r>
  <r>
    <x v="1170"/>
    <n v="1"/>
    <x v="2"/>
    <n v="28"/>
  </r>
  <r>
    <x v="1171"/>
    <n v="1"/>
    <x v="2"/>
    <n v="24"/>
  </r>
  <r>
    <x v="1172"/>
    <n v="1"/>
    <x v="2"/>
    <n v="37"/>
  </r>
  <r>
    <x v="1173"/>
    <n v="1"/>
    <x v="2"/>
    <n v="44"/>
  </r>
  <r>
    <x v="1174"/>
    <n v="1"/>
    <x v="2"/>
    <n v="39"/>
  </r>
  <r>
    <x v="1175"/>
    <n v="1"/>
    <x v="2"/>
    <n v="21"/>
  </r>
  <r>
    <x v="1176"/>
    <n v="1"/>
    <x v="2"/>
    <n v="25"/>
  </r>
  <r>
    <x v="1177"/>
    <n v="1"/>
    <x v="2"/>
    <n v="36"/>
  </r>
  <r>
    <x v="1178"/>
    <n v="1"/>
    <x v="2"/>
    <n v="30"/>
  </r>
  <r>
    <x v="1179"/>
    <n v="1"/>
    <x v="2"/>
    <n v="44"/>
  </r>
  <r>
    <x v="1180"/>
    <n v="1"/>
    <x v="2"/>
    <n v="37"/>
  </r>
  <r>
    <x v="1181"/>
    <n v="1"/>
    <x v="2"/>
    <n v="37"/>
  </r>
  <r>
    <x v="1182"/>
    <n v="1"/>
    <x v="2"/>
    <n v="27"/>
  </r>
  <r>
    <x v="1183"/>
    <n v="1"/>
    <x v="2"/>
    <n v="30"/>
  </r>
  <r>
    <x v="1184"/>
    <n v="1"/>
    <x v="2"/>
    <n v="21"/>
  </r>
  <r>
    <x v="1185"/>
    <n v="1"/>
    <x v="2"/>
    <n v="29"/>
  </r>
  <r>
    <x v="1186"/>
    <n v="1"/>
    <x v="2"/>
    <n v="40"/>
  </r>
  <r>
    <x v="1187"/>
    <n v="1"/>
    <x v="2"/>
    <n v="28"/>
  </r>
  <r>
    <x v="1188"/>
    <n v="1"/>
    <x v="2"/>
    <n v="43"/>
  </r>
  <r>
    <x v="1189"/>
    <n v="1"/>
    <x v="2"/>
    <n v="36"/>
  </r>
  <r>
    <x v="1190"/>
    <n v="1"/>
    <x v="2"/>
    <n v="32"/>
  </r>
  <r>
    <x v="1191"/>
    <n v="1"/>
    <x v="2"/>
    <n v="35"/>
  </r>
  <r>
    <x v="1192"/>
    <n v="1"/>
    <x v="2"/>
    <n v="40"/>
  </r>
  <r>
    <x v="1193"/>
    <n v="1"/>
    <x v="2"/>
    <n v="50"/>
  </r>
  <r>
    <x v="1194"/>
    <n v="1"/>
    <x v="2"/>
    <n v="36"/>
  </r>
  <r>
    <x v="1195"/>
    <n v="1"/>
    <x v="2"/>
    <n v="67"/>
  </r>
  <r>
    <x v="1196"/>
    <n v="1"/>
    <x v="2"/>
    <n v="33"/>
  </r>
  <r>
    <x v="1197"/>
    <n v="1"/>
    <x v="2"/>
    <n v="29"/>
  </r>
  <r>
    <x v="1198"/>
    <n v="1"/>
    <x v="2"/>
    <n v="28"/>
  </r>
  <r>
    <x v="1199"/>
    <n v="1"/>
    <x v="2"/>
    <n v="38"/>
  </r>
  <r>
    <x v="1200"/>
    <n v="1"/>
    <x v="2"/>
    <n v="34"/>
  </r>
  <r>
    <x v="1201"/>
    <n v="1"/>
    <x v="2"/>
    <n v="48"/>
  </r>
  <r>
    <x v="1202"/>
    <n v="1"/>
    <x v="2"/>
    <n v="39"/>
  </r>
  <r>
    <x v="1203"/>
    <n v="1"/>
    <x v="2"/>
    <n v="26"/>
  </r>
  <r>
    <x v="1204"/>
    <n v="1"/>
    <x v="2"/>
    <n v="23"/>
  </r>
  <r>
    <x v="1205"/>
    <n v="1"/>
    <x v="2"/>
    <n v="43"/>
  </r>
  <r>
    <x v="1206"/>
    <n v="1"/>
    <x v="2"/>
    <n v="43"/>
  </r>
  <r>
    <x v="1207"/>
    <n v="1"/>
    <x v="2"/>
    <n v="35"/>
  </r>
  <r>
    <x v="1208"/>
    <n v="1"/>
    <x v="2"/>
    <n v="44"/>
  </r>
  <r>
    <x v="1209"/>
    <n v="1"/>
    <x v="2"/>
    <n v="43"/>
  </r>
  <r>
    <x v="1210"/>
    <n v="1"/>
    <x v="2"/>
    <n v="34"/>
  </r>
  <r>
    <x v="1211"/>
    <n v="1"/>
    <x v="2"/>
    <n v="32"/>
  </r>
  <r>
    <x v="1212"/>
    <n v="1"/>
    <x v="2"/>
    <n v="31"/>
  </r>
  <r>
    <x v="1213"/>
    <n v="1"/>
    <x v="2"/>
    <n v="34"/>
  </r>
  <r>
    <x v="1214"/>
    <n v="1"/>
    <x v="2"/>
    <n v="32"/>
  </r>
  <r>
    <x v="1215"/>
    <n v="1"/>
    <x v="2"/>
    <n v="37"/>
  </r>
  <r>
    <x v="1216"/>
    <n v="1"/>
    <x v="2"/>
    <n v="53"/>
  </r>
  <r>
    <x v="1217"/>
    <n v="1"/>
    <x v="2"/>
    <n v="30"/>
  </r>
  <r>
    <x v="1218"/>
    <n v="1"/>
    <x v="2"/>
    <n v="35"/>
  </r>
  <r>
    <x v="1219"/>
    <n v="1"/>
    <x v="2"/>
    <n v="37"/>
  </r>
  <r>
    <x v="1220"/>
    <n v="1"/>
    <x v="2"/>
    <n v="59"/>
  </r>
  <r>
    <x v="1221"/>
    <n v="1"/>
    <x v="2"/>
    <n v="50"/>
  </r>
  <r>
    <x v="1222"/>
    <n v="1"/>
    <x v="2"/>
    <n v="54"/>
  </r>
  <r>
    <x v="1223"/>
    <n v="1"/>
    <x v="2"/>
    <n v="49"/>
  </r>
  <r>
    <x v="1224"/>
    <n v="1"/>
    <x v="2"/>
    <n v="40"/>
  </r>
  <r>
    <x v="1225"/>
    <n v="1"/>
    <x v="2"/>
    <n v="35"/>
  </r>
  <r>
    <x v="1226"/>
    <n v="1"/>
    <x v="2"/>
    <n v="39"/>
  </r>
  <r>
    <x v="1227"/>
    <n v="1"/>
    <x v="2"/>
    <n v="39"/>
  </r>
  <r>
    <x v="1228"/>
    <n v="1"/>
    <x v="2"/>
    <n v="44"/>
  </r>
  <r>
    <x v="1229"/>
    <n v="1"/>
    <x v="2"/>
    <n v="32"/>
  </r>
  <r>
    <x v="1230"/>
    <n v="1"/>
    <x v="2"/>
    <n v="46"/>
  </r>
  <r>
    <x v="1231"/>
    <n v="1"/>
    <x v="2"/>
    <n v="36"/>
  </r>
  <r>
    <x v="1232"/>
    <n v="1"/>
    <x v="2"/>
    <n v="34"/>
  </r>
  <r>
    <x v="1233"/>
    <n v="1"/>
    <x v="2"/>
    <n v="43"/>
  </r>
  <r>
    <x v="1234"/>
    <n v="1"/>
    <x v="2"/>
    <n v="44"/>
  </r>
  <r>
    <x v="1235"/>
    <n v="1"/>
    <x v="2"/>
    <n v="46"/>
  </r>
  <r>
    <x v="1236"/>
    <n v="1"/>
    <x v="2"/>
    <n v="51"/>
  </r>
  <r>
    <x v="1237"/>
    <n v="1"/>
    <x v="2"/>
    <n v="43"/>
  </r>
  <r>
    <x v="1238"/>
    <n v="1"/>
    <x v="2"/>
    <n v="36"/>
  </r>
  <r>
    <x v="1239"/>
    <n v="1"/>
    <x v="2"/>
    <n v="34"/>
  </r>
  <r>
    <x v="1240"/>
    <n v="1"/>
    <x v="2"/>
    <n v="39"/>
  </r>
  <r>
    <x v="1241"/>
    <n v="1"/>
    <x v="2"/>
    <n v="52"/>
  </r>
  <r>
    <x v="1242"/>
    <n v="1"/>
    <x v="2"/>
    <n v="34"/>
  </r>
  <r>
    <x v="1243"/>
    <n v="1"/>
    <x v="2"/>
    <n v="55"/>
  </r>
  <r>
    <x v="1244"/>
    <n v="1"/>
    <x v="2"/>
    <n v="33"/>
  </r>
  <r>
    <x v="1245"/>
    <n v="1"/>
    <x v="2"/>
    <n v="36"/>
  </r>
  <r>
    <x v="1246"/>
    <n v="1"/>
    <x v="2"/>
    <n v="39"/>
  </r>
  <r>
    <x v="1247"/>
    <n v="1"/>
    <x v="2"/>
    <n v="40"/>
  </r>
  <r>
    <x v="1248"/>
    <n v="1"/>
    <x v="2"/>
    <n v="48"/>
  </r>
  <r>
    <x v="1249"/>
    <n v="1"/>
    <x v="2"/>
    <n v="40"/>
  </r>
  <r>
    <x v="1250"/>
    <n v="1"/>
    <x v="2"/>
    <n v="57"/>
  </r>
  <r>
    <x v="1251"/>
    <n v="1"/>
    <x v="2"/>
    <n v="48"/>
  </r>
  <r>
    <x v="1252"/>
    <n v="1"/>
    <x v="2"/>
    <n v="19"/>
  </r>
  <r>
    <x v="1253"/>
    <n v="1"/>
    <x v="2"/>
    <n v="43"/>
  </r>
  <r>
    <x v="1254"/>
    <n v="1"/>
    <x v="2"/>
    <n v="36"/>
  </r>
  <r>
    <x v="1255"/>
    <n v="1"/>
    <x v="2"/>
    <n v="32"/>
  </r>
  <r>
    <x v="1256"/>
    <n v="1"/>
    <x v="2"/>
    <n v="50"/>
  </r>
  <r>
    <x v="1257"/>
    <n v="1"/>
    <x v="2"/>
    <n v="36"/>
  </r>
  <r>
    <x v="1258"/>
    <n v="1"/>
    <x v="2"/>
    <n v="59"/>
  </r>
  <r>
    <x v="1259"/>
    <n v="1"/>
    <x v="2"/>
    <n v="38"/>
  </r>
  <r>
    <x v="1260"/>
    <n v="1"/>
    <x v="2"/>
    <n v="43"/>
  </r>
  <r>
    <x v="1261"/>
    <n v="1"/>
    <x v="2"/>
    <n v="52"/>
  </r>
  <r>
    <x v="1262"/>
    <n v="1"/>
    <x v="2"/>
    <n v="37"/>
  </r>
  <r>
    <x v="1263"/>
    <n v="1"/>
    <x v="2"/>
    <n v="50"/>
  </r>
  <r>
    <x v="1264"/>
    <n v="1"/>
    <x v="2"/>
    <n v="47"/>
  </r>
  <r>
    <x v="1265"/>
    <n v="1"/>
    <x v="2"/>
    <n v="46"/>
  </r>
  <r>
    <x v="1266"/>
    <n v="1"/>
    <x v="2"/>
    <n v="35"/>
  </r>
  <r>
    <x v="1267"/>
    <n v="1"/>
    <x v="2"/>
    <n v="40"/>
  </r>
  <r>
    <x v="1268"/>
    <n v="1"/>
    <x v="2"/>
    <n v="34"/>
  </r>
  <r>
    <x v="1269"/>
    <n v="1"/>
    <x v="2"/>
    <n v="46"/>
  </r>
  <r>
    <x v="1270"/>
    <n v="1"/>
    <x v="2"/>
    <n v="43"/>
  </r>
  <r>
    <x v="1271"/>
    <n v="1"/>
    <x v="2"/>
    <n v="42"/>
  </r>
  <r>
    <x v="1272"/>
    <n v="1"/>
    <x v="2"/>
    <n v="57"/>
  </r>
  <r>
    <x v="1273"/>
    <n v="1"/>
    <x v="2"/>
    <n v="24"/>
  </r>
  <r>
    <x v="1274"/>
    <n v="1"/>
    <x v="2"/>
    <n v="40"/>
  </r>
  <r>
    <x v="1275"/>
    <n v="1"/>
    <x v="2"/>
    <n v="38"/>
  </r>
  <r>
    <x v="1276"/>
    <n v="1"/>
    <x v="2"/>
    <n v="56"/>
  </r>
  <r>
    <x v="1277"/>
    <n v="1"/>
    <x v="2"/>
    <n v="51"/>
  </r>
  <r>
    <x v="1278"/>
    <n v="1"/>
    <x v="2"/>
    <n v="35"/>
  </r>
  <r>
    <x v="1279"/>
    <n v="1"/>
    <x v="2"/>
    <n v="54"/>
  </r>
  <r>
    <x v="1280"/>
    <n v="1"/>
    <x v="2"/>
    <n v="35"/>
  </r>
  <r>
    <x v="1281"/>
    <n v="1"/>
    <x v="2"/>
    <n v="53"/>
  </r>
  <r>
    <x v="1282"/>
    <n v="1"/>
    <x v="2"/>
    <n v="40"/>
  </r>
  <r>
    <x v="1283"/>
    <n v="1"/>
    <x v="2"/>
    <n v="41"/>
  </r>
  <r>
    <x v="1284"/>
    <n v="1"/>
    <x v="2"/>
    <n v="31"/>
  </r>
  <r>
    <x v="1285"/>
    <n v="1"/>
    <x v="2"/>
    <n v="55"/>
  </r>
  <r>
    <x v="1286"/>
    <n v="1"/>
    <x v="2"/>
    <n v="54"/>
  </r>
  <r>
    <x v="1287"/>
    <n v="1"/>
    <x v="2"/>
    <n v="41"/>
  </r>
  <r>
    <x v="1288"/>
    <n v="1"/>
    <x v="2"/>
    <n v="41"/>
  </r>
  <r>
    <x v="1289"/>
    <n v="1"/>
    <x v="2"/>
    <n v="39"/>
  </r>
  <r>
    <x v="1290"/>
    <n v="1"/>
    <x v="2"/>
    <n v="57"/>
  </r>
  <r>
    <x v="1291"/>
    <n v="1"/>
    <x v="2"/>
    <n v="47"/>
  </r>
  <r>
    <x v="1292"/>
    <n v="1"/>
    <x v="2"/>
    <n v="50"/>
  </r>
  <r>
    <x v="1293"/>
    <n v="1"/>
    <x v="2"/>
    <n v="60"/>
  </r>
  <r>
    <x v="1294"/>
    <n v="1"/>
    <x v="2"/>
    <n v="44"/>
  </r>
  <r>
    <x v="1295"/>
    <n v="1"/>
    <x v="2"/>
    <n v="43"/>
  </r>
  <r>
    <x v="1296"/>
    <n v="1"/>
    <x v="2"/>
    <n v="46"/>
  </r>
  <r>
    <x v="1297"/>
    <n v="1"/>
    <x v="2"/>
    <n v="45"/>
  </r>
  <r>
    <x v="1298"/>
    <n v="1"/>
    <x v="2"/>
    <n v="51"/>
  </r>
  <r>
    <x v="1299"/>
    <n v="1"/>
    <x v="2"/>
    <n v="49"/>
  </r>
  <r>
    <x v="1300"/>
    <n v="1"/>
    <x v="2"/>
    <n v="70"/>
  </r>
  <r>
    <x v="1301"/>
    <n v="1"/>
    <x v="2"/>
    <n v="39"/>
  </r>
  <r>
    <x v="1302"/>
    <n v="1"/>
    <x v="2"/>
    <n v="35"/>
  </r>
  <r>
    <x v="1303"/>
    <n v="1"/>
    <x v="2"/>
    <n v="37"/>
  </r>
  <r>
    <x v="1304"/>
    <n v="1"/>
    <x v="2"/>
    <n v="55"/>
  </r>
  <r>
    <x v="1305"/>
    <n v="1"/>
    <x v="2"/>
    <n v="45"/>
  </r>
  <r>
    <x v="1306"/>
    <n v="1"/>
    <x v="2"/>
    <n v="50"/>
  </r>
  <r>
    <x v="1307"/>
    <n v="1"/>
    <x v="2"/>
    <n v="50"/>
  </r>
  <r>
    <x v="1308"/>
    <n v="1"/>
    <x v="2"/>
    <n v="17"/>
  </r>
  <r>
    <x v="1309"/>
    <n v="1"/>
    <x v="2"/>
    <n v="35"/>
  </r>
  <r>
    <x v="1310"/>
    <n v="1"/>
    <x v="2"/>
    <n v="36"/>
  </r>
  <r>
    <x v="1311"/>
    <n v="1"/>
    <x v="2"/>
    <n v="35"/>
  </r>
  <r>
    <x v="1312"/>
    <n v="1"/>
    <x v="2"/>
    <n v="36"/>
  </r>
  <r>
    <x v="1313"/>
    <n v="1"/>
    <x v="2"/>
    <n v="46"/>
  </r>
  <r>
    <x v="1314"/>
    <n v="1"/>
    <x v="2"/>
    <n v="38"/>
  </r>
  <r>
    <x v="1315"/>
    <n v="1"/>
    <x v="2"/>
    <n v="36"/>
  </r>
  <r>
    <x v="1316"/>
    <n v="1"/>
    <x v="2"/>
    <n v="50"/>
  </r>
  <r>
    <x v="1317"/>
    <n v="1"/>
    <x v="2"/>
    <n v="26"/>
  </r>
  <r>
    <x v="1318"/>
    <n v="1"/>
    <x v="2"/>
    <n v="37"/>
  </r>
  <r>
    <x v="1319"/>
    <n v="1"/>
    <x v="2"/>
    <n v="48"/>
  </r>
  <r>
    <x v="1320"/>
    <n v="1"/>
    <x v="2"/>
    <n v="52"/>
  </r>
  <r>
    <x v="1321"/>
    <n v="1"/>
    <x v="2"/>
    <n v="46"/>
  </r>
  <r>
    <x v="1322"/>
    <n v="1"/>
    <x v="2"/>
    <n v="31"/>
  </r>
  <r>
    <x v="1323"/>
    <n v="1"/>
    <x v="2"/>
    <n v="35"/>
  </r>
  <r>
    <x v="1324"/>
    <n v="1"/>
    <x v="2"/>
    <n v="36"/>
  </r>
  <r>
    <x v="1325"/>
    <n v="1"/>
    <x v="2"/>
    <n v="36"/>
  </r>
  <r>
    <x v="1326"/>
    <n v="1"/>
    <x v="2"/>
    <n v="41"/>
  </r>
  <r>
    <x v="1327"/>
    <n v="1"/>
    <x v="2"/>
    <n v="48"/>
  </r>
  <r>
    <x v="1328"/>
    <n v="1"/>
    <x v="2"/>
    <n v="38"/>
  </r>
  <r>
    <x v="1329"/>
    <n v="1"/>
    <x v="2"/>
    <n v="30"/>
  </r>
  <r>
    <x v="1330"/>
    <n v="1"/>
    <x v="2"/>
    <n v="36"/>
  </r>
  <r>
    <x v="1331"/>
    <n v="1"/>
    <x v="2"/>
    <n v="46"/>
  </r>
  <r>
    <x v="1332"/>
    <n v="1"/>
    <x v="2"/>
    <n v="43"/>
  </r>
  <r>
    <x v="1333"/>
    <n v="1"/>
    <x v="2"/>
    <n v="47"/>
  </r>
  <r>
    <x v="1334"/>
    <n v="1"/>
    <x v="2"/>
    <n v="40"/>
  </r>
  <r>
    <x v="1335"/>
    <n v="1"/>
    <x v="2"/>
    <n v="43"/>
  </r>
  <r>
    <x v="1336"/>
    <n v="1"/>
    <x v="2"/>
    <n v="41"/>
  </r>
  <r>
    <x v="1337"/>
    <n v="1"/>
    <x v="2"/>
    <n v="25"/>
  </r>
  <r>
    <x v="1338"/>
    <n v="1"/>
    <x v="2"/>
    <n v="43"/>
  </r>
  <r>
    <x v="1339"/>
    <n v="1"/>
    <x v="2"/>
    <n v="31"/>
  </r>
  <r>
    <x v="1340"/>
    <n v="1"/>
    <x v="2"/>
    <n v="39"/>
  </r>
  <r>
    <x v="1341"/>
    <n v="1"/>
    <x v="2"/>
    <n v="48"/>
  </r>
  <r>
    <x v="1342"/>
    <n v="1"/>
    <x v="2"/>
    <n v="49"/>
  </r>
  <r>
    <x v="1343"/>
    <n v="1"/>
    <x v="2"/>
    <n v="30"/>
  </r>
  <r>
    <x v="1344"/>
    <n v="1"/>
    <x v="2"/>
    <n v="35"/>
  </r>
  <r>
    <x v="1345"/>
    <n v="1"/>
    <x v="2"/>
    <n v="33"/>
  </r>
  <r>
    <x v="1346"/>
    <n v="1"/>
    <x v="2"/>
    <n v="37"/>
  </r>
  <r>
    <x v="1347"/>
    <n v="1"/>
    <x v="2"/>
    <n v="49"/>
  </r>
  <r>
    <x v="1348"/>
    <n v="1"/>
    <x v="2"/>
    <n v="41"/>
  </r>
  <r>
    <x v="1349"/>
    <n v="1"/>
    <x v="2"/>
    <n v="42"/>
  </r>
  <r>
    <x v="1350"/>
    <n v="1"/>
    <x v="2"/>
    <n v="34"/>
  </r>
  <r>
    <x v="1351"/>
    <n v="1"/>
    <x v="2"/>
    <n v="31"/>
  </r>
  <r>
    <x v="1352"/>
    <n v="1"/>
    <x v="2"/>
    <n v="41"/>
  </r>
  <r>
    <x v="1353"/>
    <n v="1"/>
    <x v="2"/>
    <n v="39"/>
  </r>
  <r>
    <x v="1354"/>
    <n v="1"/>
    <x v="2"/>
    <n v="58"/>
  </r>
  <r>
    <x v="1355"/>
    <n v="1"/>
    <x v="2"/>
    <n v="36"/>
  </r>
  <r>
    <x v="1356"/>
    <n v="1"/>
    <x v="2"/>
    <n v="45"/>
  </r>
  <r>
    <x v="1357"/>
    <n v="1"/>
    <x v="2"/>
    <n v="29"/>
  </r>
  <r>
    <x v="1358"/>
    <n v="1"/>
    <x v="2"/>
    <n v="42"/>
  </r>
  <r>
    <x v="1359"/>
    <n v="1"/>
    <x v="2"/>
    <n v="34"/>
  </r>
  <r>
    <x v="1360"/>
    <n v="1"/>
    <x v="2"/>
    <n v="41"/>
  </r>
  <r>
    <x v="1361"/>
    <n v="1"/>
    <x v="2"/>
    <n v="36"/>
  </r>
  <r>
    <x v="1362"/>
    <n v="1"/>
    <x v="2"/>
    <n v="44"/>
  </r>
  <r>
    <x v="1363"/>
    <n v="1"/>
    <x v="2"/>
    <n v="41"/>
  </r>
  <r>
    <x v="1364"/>
    <n v="1"/>
    <x v="2"/>
    <n v="38"/>
  </r>
  <r>
    <x v="1365"/>
    <n v="1"/>
    <x v="2"/>
    <n v="31"/>
  </r>
  <r>
    <x v="1366"/>
    <n v="1"/>
    <x v="2"/>
    <n v="30"/>
  </r>
  <r>
    <x v="1367"/>
    <n v="1"/>
    <x v="2"/>
    <n v="36"/>
  </r>
  <r>
    <x v="1368"/>
    <n v="1"/>
    <x v="2"/>
    <n v="43"/>
  </r>
  <r>
    <x v="1369"/>
    <n v="1"/>
    <x v="2"/>
    <n v="38"/>
  </r>
  <r>
    <x v="1370"/>
    <n v="1"/>
    <x v="2"/>
    <n v="48"/>
  </r>
  <r>
    <x v="1371"/>
    <n v="1"/>
    <x v="2"/>
    <n v="30"/>
  </r>
  <r>
    <x v="1372"/>
    <n v="1"/>
    <x v="2"/>
    <n v="24"/>
  </r>
  <r>
    <x v="1373"/>
    <n v="1"/>
    <x v="2"/>
    <n v="21"/>
  </r>
  <r>
    <x v="1374"/>
    <n v="1"/>
    <x v="2"/>
    <n v="42"/>
  </r>
  <r>
    <x v="1375"/>
    <n v="1"/>
    <x v="2"/>
    <n v="39"/>
  </r>
  <r>
    <x v="1376"/>
    <n v="1"/>
    <x v="2"/>
    <n v="35"/>
  </r>
  <r>
    <x v="1377"/>
    <n v="1"/>
    <x v="2"/>
    <n v="40"/>
  </r>
  <r>
    <x v="1378"/>
    <n v="1"/>
    <x v="2"/>
    <n v="30"/>
  </r>
  <r>
    <x v="1379"/>
    <n v="1"/>
    <x v="2"/>
    <n v="32"/>
  </r>
  <r>
    <x v="1380"/>
    <n v="1"/>
    <x v="2"/>
    <n v="39"/>
  </r>
  <r>
    <x v="1381"/>
    <n v="1"/>
    <x v="2"/>
    <n v="31"/>
  </r>
  <r>
    <x v="1382"/>
    <n v="1"/>
    <x v="2"/>
    <n v="30"/>
  </r>
  <r>
    <x v="1383"/>
    <n v="1"/>
    <x v="2"/>
    <n v="42"/>
  </r>
  <r>
    <x v="1384"/>
    <n v="1"/>
    <x v="2"/>
    <n v="48"/>
  </r>
  <r>
    <x v="1385"/>
    <n v="1"/>
    <x v="2"/>
    <n v="30"/>
  </r>
  <r>
    <x v="1386"/>
    <n v="1"/>
    <x v="2"/>
    <n v="27"/>
  </r>
  <r>
    <x v="1387"/>
    <n v="1"/>
    <x v="2"/>
    <n v="31"/>
  </r>
  <r>
    <x v="1388"/>
    <n v="1"/>
    <x v="2"/>
    <n v="35"/>
  </r>
  <r>
    <x v="1389"/>
    <n v="1"/>
    <x v="2"/>
    <n v="28"/>
  </r>
  <r>
    <x v="1390"/>
    <n v="1"/>
    <x v="2"/>
    <n v="41"/>
  </r>
  <r>
    <x v="1391"/>
    <n v="1"/>
    <x v="2"/>
    <n v="43"/>
  </r>
  <r>
    <x v="1392"/>
    <n v="1"/>
    <x v="2"/>
    <n v="26"/>
  </r>
  <r>
    <x v="1393"/>
    <n v="1"/>
    <x v="2"/>
    <n v="32"/>
  </r>
  <r>
    <x v="1394"/>
    <n v="1"/>
    <x v="2"/>
    <n v="30"/>
  </r>
  <r>
    <x v="1395"/>
    <n v="1"/>
    <x v="2"/>
    <n v="29"/>
  </r>
  <r>
    <x v="1396"/>
    <n v="1"/>
    <x v="2"/>
    <n v="37"/>
  </r>
  <r>
    <x v="1397"/>
    <n v="1"/>
    <x v="2"/>
    <n v="42"/>
  </r>
  <r>
    <x v="1398"/>
    <n v="1"/>
    <x v="2"/>
    <n v="44"/>
  </r>
  <r>
    <x v="1399"/>
    <n v="1"/>
    <x v="2"/>
    <n v="32"/>
  </r>
  <r>
    <x v="1400"/>
    <n v="1"/>
    <x v="2"/>
    <n v="40"/>
  </r>
  <r>
    <x v="1401"/>
    <n v="1"/>
    <x v="2"/>
    <n v="29"/>
  </r>
  <r>
    <x v="1402"/>
    <n v="1"/>
    <x v="2"/>
    <n v="41"/>
  </r>
  <r>
    <x v="1403"/>
    <n v="1"/>
    <x v="2"/>
    <n v="45"/>
  </r>
  <r>
    <x v="1404"/>
    <n v="1"/>
    <x v="2"/>
    <n v="35"/>
  </r>
  <r>
    <x v="1405"/>
    <n v="1"/>
    <x v="2"/>
    <n v="44"/>
  </r>
  <r>
    <x v="1406"/>
    <n v="1"/>
    <x v="2"/>
    <n v="22"/>
  </r>
  <r>
    <x v="1407"/>
    <n v="1"/>
    <x v="2"/>
    <n v="31"/>
  </r>
  <r>
    <x v="1408"/>
    <n v="1"/>
    <x v="2"/>
    <n v="36"/>
  </r>
  <r>
    <x v="1409"/>
    <n v="1"/>
    <x v="2"/>
    <n v="37"/>
  </r>
  <r>
    <x v="1410"/>
    <n v="1"/>
    <x v="2"/>
    <n v="39"/>
  </r>
  <r>
    <x v="1411"/>
    <n v="1"/>
    <x v="2"/>
    <n v="43"/>
  </r>
  <r>
    <x v="1412"/>
    <n v="1"/>
    <x v="2"/>
    <n v="56"/>
  </r>
  <r>
    <x v="1413"/>
    <n v="1"/>
    <x v="2"/>
    <n v="26"/>
  </r>
  <r>
    <x v="1414"/>
    <n v="1"/>
    <x v="2"/>
    <n v="39"/>
  </r>
  <r>
    <x v="1415"/>
    <n v="1"/>
    <x v="2"/>
    <n v="29"/>
  </r>
  <r>
    <x v="1416"/>
    <n v="1"/>
    <x v="2"/>
    <n v="36"/>
  </r>
  <r>
    <x v="1417"/>
    <n v="1"/>
    <x v="2"/>
    <n v="38"/>
  </r>
  <r>
    <x v="1418"/>
    <n v="1"/>
    <x v="2"/>
    <n v="44"/>
  </r>
  <r>
    <x v="1419"/>
    <n v="1"/>
    <x v="2"/>
    <n v="53"/>
  </r>
  <r>
    <x v="1420"/>
    <n v="1"/>
    <x v="2"/>
    <n v="27"/>
  </r>
  <r>
    <x v="1421"/>
    <n v="1"/>
    <x v="2"/>
    <n v="46"/>
  </r>
  <r>
    <x v="1422"/>
    <n v="1"/>
    <x v="2"/>
    <n v="40"/>
  </r>
  <r>
    <x v="1423"/>
    <n v="1"/>
    <x v="2"/>
    <n v="37"/>
  </r>
  <r>
    <x v="1424"/>
    <n v="1"/>
    <x v="2"/>
    <n v="40"/>
  </r>
  <r>
    <x v="1425"/>
    <n v="1"/>
    <x v="2"/>
    <n v="50"/>
  </r>
  <r>
    <x v="1426"/>
    <n v="1"/>
    <x v="2"/>
    <n v="38"/>
  </r>
  <r>
    <x v="1427"/>
    <n v="1"/>
    <x v="2"/>
    <n v="21"/>
  </r>
  <r>
    <x v="1428"/>
    <n v="1"/>
    <x v="2"/>
    <n v="44"/>
  </r>
  <r>
    <x v="1429"/>
    <n v="1"/>
    <x v="2"/>
    <n v="28"/>
  </r>
  <r>
    <x v="1430"/>
    <n v="1"/>
    <x v="2"/>
    <n v="20"/>
  </r>
  <r>
    <x v="1431"/>
    <n v="1"/>
    <x v="2"/>
    <n v="28"/>
  </r>
  <r>
    <x v="1432"/>
    <n v="1"/>
    <x v="2"/>
    <n v="25"/>
  </r>
  <r>
    <x v="1433"/>
    <n v="1"/>
    <x v="2"/>
    <n v="36"/>
  </r>
  <r>
    <x v="1434"/>
    <n v="1"/>
    <x v="2"/>
    <n v="19"/>
  </r>
  <r>
    <x v="1435"/>
    <n v="1"/>
    <x v="2"/>
    <n v="28"/>
  </r>
  <r>
    <x v="1436"/>
    <n v="1"/>
    <x v="2"/>
    <n v="28"/>
  </r>
  <r>
    <x v="1437"/>
    <n v="1"/>
    <x v="2"/>
    <n v="23"/>
  </r>
  <r>
    <x v="1438"/>
    <n v="1"/>
    <x v="2"/>
    <n v="38"/>
  </r>
  <r>
    <x v="1439"/>
    <n v="1"/>
    <x v="2"/>
    <n v="37"/>
  </r>
  <r>
    <x v="1440"/>
    <n v="1"/>
    <x v="2"/>
    <n v="33"/>
  </r>
  <r>
    <x v="1441"/>
    <n v="1"/>
    <x v="2"/>
    <n v="18"/>
  </r>
  <r>
    <x v="1442"/>
    <n v="1"/>
    <x v="2"/>
    <n v="31"/>
  </r>
  <r>
    <x v="1443"/>
    <n v="1"/>
    <x v="2"/>
    <n v="21"/>
  </r>
  <r>
    <x v="1444"/>
    <n v="1"/>
    <x v="2"/>
    <n v="22"/>
  </r>
  <r>
    <x v="1445"/>
    <n v="1"/>
    <x v="2"/>
    <n v="25"/>
  </r>
  <r>
    <x v="1446"/>
    <n v="1"/>
    <x v="2"/>
    <n v="23"/>
  </r>
  <r>
    <x v="1447"/>
    <n v="1"/>
    <x v="2"/>
    <n v="25"/>
  </r>
  <r>
    <x v="1448"/>
    <n v="1"/>
    <x v="2"/>
    <n v="21"/>
  </r>
  <r>
    <x v="1449"/>
    <n v="1"/>
    <x v="2"/>
    <n v="24"/>
  </r>
  <r>
    <x v="1450"/>
    <n v="1"/>
    <x v="2"/>
    <n v="26"/>
  </r>
  <r>
    <x v="1451"/>
    <n v="1"/>
    <x v="2"/>
    <n v="24"/>
  </r>
  <r>
    <x v="1452"/>
    <n v="1"/>
    <x v="2"/>
    <n v="26"/>
  </r>
  <r>
    <x v="1453"/>
    <n v="1"/>
    <x v="2"/>
    <n v="37"/>
  </r>
  <r>
    <x v="1454"/>
    <n v="1"/>
    <x v="2"/>
    <n v="38"/>
  </r>
  <r>
    <x v="1455"/>
    <n v="1"/>
    <x v="2"/>
    <n v="23"/>
  </r>
  <r>
    <x v="1456"/>
    <n v="1"/>
    <x v="2"/>
    <n v="29"/>
  </r>
  <r>
    <x v="1457"/>
    <n v="1"/>
    <x v="2"/>
    <n v="22"/>
  </r>
  <r>
    <x v="1458"/>
    <n v="1"/>
    <x v="2"/>
    <n v="26"/>
  </r>
  <r>
    <x v="1459"/>
    <n v="1"/>
    <x v="2"/>
    <n v="26"/>
  </r>
  <r>
    <x v="1460"/>
    <n v="1"/>
    <x v="2"/>
    <n v="29"/>
  </r>
  <r>
    <x v="1461"/>
    <n v="1"/>
    <x v="2"/>
    <n v="36"/>
  </r>
  <r>
    <x v="1462"/>
    <n v="1"/>
    <x v="2"/>
    <n v="23"/>
  </r>
  <r>
    <x v="1463"/>
    <n v="1"/>
    <x v="2"/>
    <n v="20"/>
  </r>
  <r>
    <x v="1464"/>
    <n v="1"/>
    <x v="2"/>
    <n v="23"/>
  </r>
  <r>
    <x v="1465"/>
    <n v="1"/>
    <x v="2"/>
    <n v="25"/>
  </r>
  <r>
    <x v="1466"/>
    <n v="1"/>
    <x v="2"/>
    <n v="23"/>
  </r>
  <r>
    <x v="1467"/>
    <n v="1"/>
    <x v="2"/>
    <n v="26"/>
  </r>
  <r>
    <x v="1468"/>
    <n v="1"/>
    <x v="2"/>
    <n v="32"/>
  </r>
  <r>
    <x v="1469"/>
    <n v="1"/>
    <x v="2"/>
    <n v="23"/>
  </r>
  <r>
    <x v="1470"/>
    <n v="1"/>
    <x v="2"/>
    <n v="17"/>
  </r>
  <r>
    <x v="1471"/>
    <n v="1"/>
    <x v="2"/>
    <n v="15"/>
  </r>
  <r>
    <x v="1472"/>
    <n v="1"/>
    <x v="2"/>
    <n v="37"/>
  </r>
  <r>
    <x v="1473"/>
    <n v="1"/>
    <x v="2"/>
    <n v="31"/>
  </r>
  <r>
    <x v="1474"/>
    <n v="1"/>
    <x v="2"/>
    <n v="30"/>
  </r>
  <r>
    <x v="1475"/>
    <n v="1"/>
    <x v="2"/>
    <n v="22"/>
  </r>
  <r>
    <x v="1476"/>
    <n v="1"/>
    <x v="2"/>
    <n v="19"/>
  </r>
  <r>
    <x v="1477"/>
    <n v="1"/>
    <x v="2"/>
    <n v="20"/>
  </r>
  <r>
    <x v="1478"/>
    <n v="1"/>
    <x v="2"/>
    <n v="34"/>
  </r>
  <r>
    <x v="1479"/>
    <n v="1"/>
    <x v="2"/>
    <n v="22"/>
  </r>
  <r>
    <x v="1480"/>
    <n v="1"/>
    <x v="2"/>
    <n v="26"/>
  </r>
  <r>
    <x v="1481"/>
    <n v="1"/>
    <x v="2"/>
    <n v="33"/>
  </r>
  <r>
    <x v="1482"/>
    <n v="1"/>
    <x v="2"/>
    <n v="33"/>
  </r>
  <r>
    <x v="1483"/>
    <n v="1"/>
    <x v="2"/>
    <n v="17"/>
  </r>
  <r>
    <x v="1484"/>
    <n v="1"/>
    <x v="2"/>
    <n v="19"/>
  </r>
  <r>
    <x v="1485"/>
    <n v="1"/>
    <x v="2"/>
    <n v="25"/>
  </r>
  <r>
    <x v="1486"/>
    <n v="1"/>
    <x v="2"/>
    <n v="17"/>
  </r>
  <r>
    <x v="1487"/>
    <n v="1"/>
    <x v="2"/>
    <n v="28"/>
  </r>
  <r>
    <x v="1488"/>
    <n v="1"/>
    <x v="2"/>
    <n v="30"/>
  </r>
  <r>
    <x v="1489"/>
    <n v="1"/>
    <x v="2"/>
    <n v="27"/>
  </r>
  <r>
    <x v="1490"/>
    <n v="1"/>
    <x v="2"/>
    <n v="27"/>
  </r>
  <r>
    <x v="1491"/>
    <n v="1"/>
    <x v="2"/>
    <n v="28"/>
  </r>
  <r>
    <x v="1492"/>
    <n v="1"/>
    <x v="2"/>
    <n v="25"/>
  </r>
  <r>
    <x v="1493"/>
    <n v="1"/>
    <x v="2"/>
    <n v="20"/>
  </r>
  <r>
    <x v="1494"/>
    <n v="1"/>
    <x v="2"/>
    <n v="31"/>
  </r>
  <r>
    <x v="1495"/>
    <n v="1"/>
    <x v="2"/>
    <n v="19"/>
  </r>
  <r>
    <x v="1496"/>
    <n v="1"/>
    <x v="2"/>
    <n v="38"/>
  </r>
  <r>
    <x v="1497"/>
    <n v="1"/>
    <x v="2"/>
    <n v="23"/>
  </r>
  <r>
    <x v="1498"/>
    <n v="1"/>
    <x v="2"/>
    <n v="27"/>
  </r>
  <r>
    <x v="1499"/>
    <n v="1"/>
    <x v="2"/>
    <n v="20"/>
  </r>
  <r>
    <x v="1500"/>
    <n v="1"/>
    <x v="2"/>
    <n v="30"/>
  </r>
  <r>
    <x v="1501"/>
    <n v="1"/>
    <x v="2"/>
    <n v="37"/>
  </r>
  <r>
    <x v="1502"/>
    <n v="1"/>
    <x v="2"/>
    <n v="23"/>
  </r>
  <r>
    <x v="1503"/>
    <n v="1"/>
    <x v="2"/>
    <n v="31"/>
  </r>
  <r>
    <x v="1504"/>
    <n v="1"/>
    <x v="2"/>
    <n v="28"/>
  </r>
  <r>
    <x v="1505"/>
    <n v="1"/>
    <x v="2"/>
    <n v="19"/>
  </r>
  <r>
    <x v="1506"/>
    <n v="1"/>
    <x v="2"/>
    <n v="22"/>
  </r>
  <r>
    <x v="1507"/>
    <n v="1"/>
    <x v="2"/>
    <n v="33"/>
  </r>
  <r>
    <x v="1508"/>
    <n v="1"/>
    <x v="2"/>
    <n v="29"/>
  </r>
  <r>
    <x v="1509"/>
    <n v="1"/>
    <x v="2"/>
    <n v="39"/>
  </r>
  <r>
    <x v="1510"/>
    <n v="1"/>
    <x v="2"/>
    <n v="34"/>
  </r>
  <r>
    <x v="1511"/>
    <n v="1"/>
    <x v="2"/>
    <n v="24"/>
  </r>
  <r>
    <x v="1512"/>
    <n v="1"/>
    <x v="2"/>
    <n v="29"/>
  </r>
  <r>
    <x v="1513"/>
    <n v="1"/>
    <x v="2"/>
    <n v="25"/>
  </r>
  <r>
    <x v="1514"/>
    <n v="1"/>
    <x v="2"/>
    <n v="19"/>
  </r>
  <r>
    <x v="1515"/>
    <n v="1"/>
    <x v="2"/>
    <n v="35"/>
  </r>
  <r>
    <x v="1516"/>
    <n v="1"/>
    <x v="2"/>
    <n v="29"/>
  </r>
  <r>
    <x v="1517"/>
    <n v="1"/>
    <x v="2"/>
    <n v="32"/>
  </r>
  <r>
    <x v="1518"/>
    <n v="1"/>
    <x v="2"/>
    <n v="25"/>
  </r>
  <r>
    <x v="1519"/>
    <n v="1"/>
    <x v="2"/>
    <n v="31"/>
  </r>
  <r>
    <x v="1520"/>
    <n v="1"/>
    <x v="2"/>
    <n v="40"/>
  </r>
  <r>
    <x v="1521"/>
    <n v="1"/>
    <x v="2"/>
    <n v="34"/>
  </r>
  <r>
    <x v="1522"/>
    <n v="1"/>
    <x v="2"/>
    <n v="32"/>
  </r>
  <r>
    <x v="1523"/>
    <n v="1"/>
    <x v="2"/>
    <n v="32"/>
  </r>
  <r>
    <x v="1524"/>
    <n v="1"/>
    <x v="2"/>
    <n v="41"/>
  </r>
  <r>
    <x v="1525"/>
    <n v="1"/>
    <x v="2"/>
    <n v="19"/>
  </r>
  <r>
    <x v="1526"/>
    <n v="1"/>
    <x v="2"/>
    <n v="30"/>
  </r>
  <r>
    <x v="1527"/>
    <n v="1"/>
    <x v="2"/>
    <n v="35"/>
  </r>
  <r>
    <x v="1528"/>
    <n v="1"/>
    <x v="2"/>
    <n v="27"/>
  </r>
  <r>
    <x v="1529"/>
    <n v="1"/>
    <x v="2"/>
    <n v="36"/>
  </r>
  <r>
    <x v="1530"/>
    <n v="1"/>
    <x v="2"/>
    <n v="35"/>
  </r>
  <r>
    <x v="1531"/>
    <n v="1"/>
    <x v="2"/>
    <n v="34"/>
  </r>
  <r>
    <x v="1532"/>
    <n v="1"/>
    <x v="2"/>
    <n v="28"/>
  </r>
  <r>
    <x v="1533"/>
    <n v="1"/>
    <x v="2"/>
    <n v="34"/>
  </r>
  <r>
    <x v="1534"/>
    <n v="1"/>
    <x v="2"/>
    <n v="37"/>
  </r>
  <r>
    <x v="1535"/>
    <n v="1"/>
    <x v="2"/>
    <n v="33"/>
  </r>
  <r>
    <x v="1536"/>
    <n v="1"/>
    <x v="2"/>
    <n v="28"/>
  </r>
  <r>
    <x v="1537"/>
    <n v="1"/>
    <x v="2"/>
    <n v="36"/>
  </r>
  <r>
    <x v="1538"/>
    <n v="1"/>
    <x v="2"/>
    <n v="48"/>
  </r>
  <r>
    <x v="1539"/>
    <n v="1"/>
    <x v="2"/>
    <n v="22"/>
  </r>
  <r>
    <x v="1540"/>
    <n v="1"/>
    <x v="2"/>
    <n v="32"/>
  </r>
  <r>
    <x v="1541"/>
    <n v="1"/>
    <x v="2"/>
    <n v="20"/>
  </r>
  <r>
    <x v="1542"/>
    <n v="1"/>
    <x v="2"/>
    <n v="33"/>
  </r>
  <r>
    <x v="1543"/>
    <n v="1"/>
    <x v="2"/>
    <n v="39"/>
  </r>
  <r>
    <x v="1544"/>
    <n v="1"/>
    <x v="2"/>
    <n v="41"/>
  </r>
  <r>
    <x v="1545"/>
    <n v="1"/>
    <x v="2"/>
    <n v="44"/>
  </r>
  <r>
    <x v="1546"/>
    <n v="1"/>
    <x v="2"/>
    <n v="32"/>
  </r>
  <r>
    <x v="1547"/>
    <n v="1"/>
    <x v="2"/>
    <n v="29"/>
  </r>
  <r>
    <x v="1548"/>
    <n v="1"/>
    <x v="2"/>
    <n v="28"/>
  </r>
  <r>
    <x v="1549"/>
    <n v="1"/>
    <x v="2"/>
    <n v="28"/>
  </r>
  <r>
    <x v="1550"/>
    <n v="1"/>
    <x v="2"/>
    <n v="36"/>
  </r>
  <r>
    <x v="1551"/>
    <n v="1"/>
    <x v="2"/>
    <n v="40"/>
  </r>
  <r>
    <x v="1552"/>
    <n v="1"/>
    <x v="2"/>
    <n v="43"/>
  </r>
  <r>
    <x v="1553"/>
    <n v="1"/>
    <x v="2"/>
    <n v="33"/>
  </r>
  <r>
    <x v="1554"/>
    <n v="1"/>
    <x v="2"/>
    <n v="32"/>
  </r>
  <r>
    <x v="1555"/>
    <n v="1"/>
    <x v="2"/>
    <n v="42"/>
  </r>
  <r>
    <x v="1556"/>
    <n v="1"/>
    <x v="2"/>
    <n v="40"/>
  </r>
  <r>
    <x v="1557"/>
    <n v="1"/>
    <x v="2"/>
    <n v="45"/>
  </r>
  <r>
    <x v="1558"/>
    <n v="1"/>
    <x v="2"/>
    <n v="32"/>
  </r>
  <r>
    <x v="1559"/>
    <n v="1"/>
    <x v="2"/>
    <n v="42"/>
  </r>
  <r>
    <x v="1560"/>
    <n v="1"/>
    <x v="2"/>
    <n v="31"/>
  </r>
  <r>
    <x v="1561"/>
    <n v="1"/>
    <x v="2"/>
    <n v="34"/>
  </r>
  <r>
    <x v="1562"/>
    <n v="1"/>
    <x v="2"/>
    <n v="43"/>
  </r>
  <r>
    <x v="1563"/>
    <n v="1"/>
    <x v="2"/>
    <n v="39"/>
  </r>
  <r>
    <x v="1564"/>
    <n v="1"/>
    <x v="2"/>
    <n v="43"/>
  </r>
  <r>
    <x v="1565"/>
    <n v="1"/>
    <x v="2"/>
    <n v="49"/>
  </r>
  <r>
    <x v="1566"/>
    <n v="1"/>
    <x v="2"/>
    <n v="49"/>
  </r>
  <r>
    <x v="1567"/>
    <n v="1"/>
    <x v="2"/>
    <n v="40"/>
  </r>
  <r>
    <x v="1568"/>
    <n v="1"/>
    <x v="2"/>
    <n v="27"/>
  </r>
  <r>
    <x v="1569"/>
    <n v="1"/>
    <x v="2"/>
    <n v="38"/>
  </r>
  <r>
    <x v="1570"/>
    <n v="1"/>
    <x v="2"/>
    <n v="41"/>
  </r>
  <r>
    <x v="1571"/>
    <n v="1"/>
    <x v="2"/>
    <n v="37"/>
  </r>
  <r>
    <x v="1572"/>
    <n v="1"/>
    <x v="2"/>
    <n v="44"/>
  </r>
  <r>
    <x v="1573"/>
    <n v="1"/>
    <x v="2"/>
    <n v="43"/>
  </r>
  <r>
    <x v="1574"/>
    <n v="1"/>
    <x v="2"/>
    <n v="39"/>
  </r>
  <r>
    <x v="1575"/>
    <n v="1"/>
    <x v="2"/>
    <n v="52"/>
  </r>
  <r>
    <x v="1576"/>
    <n v="1"/>
    <x v="2"/>
    <n v="39"/>
  </r>
  <r>
    <x v="1577"/>
    <n v="1"/>
    <x v="2"/>
    <n v="41"/>
  </r>
  <r>
    <x v="1578"/>
    <n v="1"/>
    <x v="2"/>
    <n v="39"/>
  </r>
  <r>
    <x v="1579"/>
    <n v="1"/>
    <x v="2"/>
    <n v="44"/>
  </r>
  <r>
    <x v="1580"/>
    <n v="1"/>
    <x v="2"/>
    <n v="46"/>
  </r>
  <r>
    <x v="1581"/>
    <n v="1"/>
    <x v="2"/>
    <n v="25"/>
  </r>
  <r>
    <x v="1582"/>
    <n v="1"/>
    <x v="2"/>
    <n v="45"/>
  </r>
  <r>
    <x v="1583"/>
    <n v="1"/>
    <x v="2"/>
    <n v="49"/>
  </r>
  <r>
    <x v="1584"/>
    <n v="1"/>
    <x v="2"/>
    <n v="43"/>
  </r>
  <r>
    <x v="1585"/>
    <n v="1"/>
    <x v="2"/>
    <n v="51"/>
  </r>
  <r>
    <x v="1586"/>
    <n v="1"/>
    <x v="2"/>
    <n v="44"/>
  </r>
  <r>
    <x v="1587"/>
    <n v="1"/>
    <x v="2"/>
    <n v="66"/>
  </r>
  <r>
    <x v="1588"/>
    <n v="1"/>
    <x v="2"/>
    <n v="36"/>
  </r>
  <r>
    <x v="1589"/>
    <n v="1"/>
    <x v="2"/>
    <n v="31"/>
  </r>
  <r>
    <x v="1590"/>
    <n v="1"/>
    <x v="2"/>
    <n v="44"/>
  </r>
  <r>
    <x v="1591"/>
    <n v="1"/>
    <x v="2"/>
    <n v="34"/>
  </r>
  <r>
    <x v="1592"/>
    <n v="1"/>
    <x v="2"/>
    <n v="39"/>
  </r>
  <r>
    <x v="1593"/>
    <n v="1"/>
    <x v="2"/>
    <n v="59"/>
  </r>
  <r>
    <x v="1594"/>
    <n v="1"/>
    <x v="2"/>
    <n v="47"/>
  </r>
  <r>
    <x v="1595"/>
    <n v="1"/>
    <x v="2"/>
    <n v="33"/>
  </r>
  <r>
    <x v="1596"/>
    <n v="1"/>
    <x v="2"/>
    <n v="38"/>
  </r>
  <r>
    <x v="1597"/>
    <n v="1"/>
    <x v="2"/>
    <n v="41"/>
  </r>
  <r>
    <x v="1598"/>
    <n v="1"/>
    <x v="2"/>
    <n v="38"/>
  </r>
  <r>
    <x v="1599"/>
    <n v="1"/>
    <x v="2"/>
    <n v="48"/>
  </r>
  <r>
    <x v="1600"/>
    <n v="1"/>
    <x v="2"/>
    <n v="54"/>
  </r>
  <r>
    <x v="1601"/>
    <n v="1"/>
    <x v="2"/>
    <n v="49"/>
  </r>
  <r>
    <x v="1602"/>
    <n v="1"/>
    <x v="2"/>
    <n v="33"/>
  </r>
  <r>
    <x v="1603"/>
    <n v="1"/>
    <x v="2"/>
    <n v="41"/>
  </r>
  <r>
    <x v="1604"/>
    <n v="1"/>
    <x v="2"/>
    <n v="40"/>
  </r>
  <r>
    <x v="1605"/>
    <n v="1"/>
    <x v="2"/>
    <n v="37"/>
  </r>
  <r>
    <x v="1606"/>
    <n v="1"/>
    <x v="2"/>
    <n v="65"/>
  </r>
  <r>
    <x v="1607"/>
    <n v="1"/>
    <x v="2"/>
    <n v="59"/>
  </r>
  <r>
    <x v="1608"/>
    <n v="1"/>
    <x v="2"/>
    <n v="62"/>
  </r>
  <r>
    <x v="1609"/>
    <n v="1"/>
    <x v="2"/>
    <n v="37"/>
  </r>
  <r>
    <x v="1610"/>
    <n v="1"/>
    <x v="2"/>
    <n v="44"/>
  </r>
  <r>
    <x v="1611"/>
    <n v="1"/>
    <x v="2"/>
    <n v="55"/>
  </r>
  <r>
    <x v="1612"/>
    <n v="1"/>
    <x v="2"/>
    <n v="57"/>
  </r>
  <r>
    <x v="1613"/>
    <n v="1"/>
    <x v="2"/>
    <n v="54"/>
  </r>
  <r>
    <x v="1614"/>
    <n v="1"/>
    <x v="2"/>
    <n v="37"/>
  </r>
  <r>
    <x v="1615"/>
    <n v="1"/>
    <x v="2"/>
    <n v="54"/>
  </r>
  <r>
    <x v="1616"/>
    <n v="1"/>
    <x v="2"/>
    <n v="48"/>
  </r>
  <r>
    <x v="1617"/>
    <n v="1"/>
    <x v="2"/>
    <n v="41"/>
  </r>
  <r>
    <x v="1618"/>
    <n v="1"/>
    <x v="2"/>
    <n v="42"/>
  </r>
  <r>
    <x v="1619"/>
    <n v="1"/>
    <x v="2"/>
    <n v="53"/>
  </r>
  <r>
    <x v="1620"/>
    <n v="1"/>
    <x v="2"/>
    <n v="49"/>
  </r>
  <r>
    <x v="1621"/>
    <n v="1"/>
    <x v="2"/>
    <n v="44"/>
  </r>
  <r>
    <x v="1622"/>
    <n v="1"/>
    <x v="2"/>
    <n v="46"/>
  </r>
  <r>
    <x v="1623"/>
    <n v="1"/>
    <x v="2"/>
    <n v="44"/>
  </r>
  <r>
    <x v="1624"/>
    <n v="1"/>
    <x v="2"/>
    <n v="34"/>
  </r>
  <r>
    <x v="1625"/>
    <n v="1"/>
    <x v="2"/>
    <n v="48"/>
  </r>
  <r>
    <x v="1626"/>
    <n v="1"/>
    <x v="2"/>
    <n v="49"/>
  </r>
  <r>
    <x v="1627"/>
    <n v="1"/>
    <x v="2"/>
    <n v="50"/>
  </r>
  <r>
    <x v="1628"/>
    <n v="1"/>
    <x v="2"/>
    <n v="67"/>
  </r>
  <r>
    <x v="1629"/>
    <n v="1"/>
    <x v="2"/>
    <n v="57"/>
  </r>
  <r>
    <x v="1630"/>
    <n v="1"/>
    <x v="2"/>
    <n v="30"/>
  </r>
  <r>
    <x v="1631"/>
    <n v="1"/>
    <x v="2"/>
    <n v="44"/>
  </r>
  <r>
    <x v="1632"/>
    <n v="1"/>
    <x v="2"/>
    <n v="47"/>
  </r>
  <r>
    <x v="1633"/>
    <n v="1"/>
    <x v="2"/>
    <n v="31"/>
  </r>
  <r>
    <x v="1634"/>
    <n v="1"/>
    <x v="2"/>
    <n v="45"/>
  </r>
  <r>
    <x v="1635"/>
    <n v="1"/>
    <x v="2"/>
    <n v="51"/>
  </r>
  <r>
    <x v="1636"/>
    <n v="1"/>
    <x v="2"/>
    <n v="52"/>
  </r>
  <r>
    <x v="1637"/>
    <n v="1"/>
    <x v="2"/>
    <n v="23"/>
  </r>
  <r>
    <x v="1638"/>
    <n v="1"/>
    <x v="2"/>
    <n v="39"/>
  </r>
  <r>
    <x v="1639"/>
    <n v="1"/>
    <x v="2"/>
    <n v="40"/>
  </r>
  <r>
    <x v="1640"/>
    <n v="1"/>
    <x v="2"/>
    <n v="35"/>
  </r>
  <r>
    <x v="1641"/>
    <n v="1"/>
    <x v="2"/>
    <n v="45"/>
  </r>
  <r>
    <x v="1642"/>
    <n v="1"/>
    <x v="2"/>
    <n v="41"/>
  </r>
  <r>
    <x v="1643"/>
    <n v="1"/>
    <x v="2"/>
    <n v="58"/>
  </r>
  <r>
    <x v="1644"/>
    <n v="1"/>
    <x v="2"/>
    <n v="36"/>
  </r>
  <r>
    <x v="1645"/>
    <n v="1"/>
    <x v="2"/>
    <n v="47"/>
  </r>
  <r>
    <x v="1646"/>
    <n v="1"/>
    <x v="2"/>
    <n v="41"/>
  </r>
  <r>
    <x v="1647"/>
    <n v="1"/>
    <x v="2"/>
    <n v="43"/>
  </r>
  <r>
    <x v="1648"/>
    <n v="1"/>
    <x v="2"/>
    <n v="49"/>
  </r>
  <r>
    <x v="1649"/>
    <n v="1"/>
    <x v="2"/>
    <n v="57"/>
  </r>
  <r>
    <x v="1650"/>
    <n v="1"/>
    <x v="2"/>
    <n v="59"/>
  </r>
  <r>
    <x v="1651"/>
    <n v="1"/>
    <x v="2"/>
    <n v="43"/>
  </r>
  <r>
    <x v="1652"/>
    <n v="1"/>
    <x v="2"/>
    <n v="33"/>
  </r>
  <r>
    <x v="1653"/>
    <n v="1"/>
    <x v="2"/>
    <n v="48"/>
  </r>
  <r>
    <x v="1654"/>
    <n v="1"/>
    <x v="2"/>
    <n v="54"/>
  </r>
  <r>
    <x v="1655"/>
    <n v="1"/>
    <x v="2"/>
    <n v="65"/>
  </r>
  <r>
    <x v="1656"/>
    <n v="1"/>
    <x v="2"/>
    <n v="47"/>
  </r>
  <r>
    <x v="1657"/>
    <n v="1"/>
    <x v="2"/>
    <n v="69"/>
  </r>
  <r>
    <x v="1658"/>
    <n v="1"/>
    <x v="2"/>
    <n v="46"/>
  </r>
  <r>
    <x v="1659"/>
    <n v="1"/>
    <x v="2"/>
    <n v="43"/>
  </r>
  <r>
    <x v="1660"/>
    <n v="1"/>
    <x v="2"/>
    <n v="40"/>
  </r>
  <r>
    <x v="1661"/>
    <n v="1"/>
    <x v="2"/>
    <n v="41"/>
  </r>
  <r>
    <x v="1662"/>
    <n v="1"/>
    <x v="2"/>
    <n v="59"/>
  </r>
  <r>
    <x v="1663"/>
    <n v="1"/>
    <x v="2"/>
    <n v="43"/>
  </r>
  <r>
    <x v="1664"/>
    <n v="1"/>
    <x v="2"/>
    <n v="68"/>
  </r>
  <r>
    <x v="1665"/>
    <n v="1"/>
    <x v="2"/>
    <n v="46"/>
  </r>
  <r>
    <x v="1666"/>
    <n v="1"/>
    <x v="2"/>
    <n v="39"/>
  </r>
  <r>
    <x v="1667"/>
    <n v="1"/>
    <x v="2"/>
    <n v="37"/>
  </r>
  <r>
    <x v="1668"/>
    <n v="1"/>
    <x v="2"/>
    <n v="41"/>
  </r>
  <r>
    <x v="1669"/>
    <n v="1"/>
    <x v="2"/>
    <n v="60"/>
  </r>
  <r>
    <x v="1670"/>
    <n v="1"/>
    <x v="2"/>
    <n v="55"/>
  </r>
  <r>
    <x v="1671"/>
    <n v="1"/>
    <x v="2"/>
    <n v="56"/>
  </r>
  <r>
    <x v="1672"/>
    <n v="1"/>
    <x v="2"/>
    <n v="37"/>
  </r>
  <r>
    <x v="1673"/>
    <n v="1"/>
    <x v="2"/>
    <n v="43"/>
  </r>
  <r>
    <x v="1674"/>
    <n v="1"/>
    <x v="2"/>
    <n v="31"/>
  </r>
  <r>
    <x v="1675"/>
    <n v="1"/>
    <x v="2"/>
    <n v="37"/>
  </r>
  <r>
    <x v="1676"/>
    <n v="1"/>
    <x v="2"/>
    <n v="29"/>
  </r>
  <r>
    <x v="1677"/>
    <n v="1"/>
    <x v="2"/>
    <n v="68"/>
  </r>
  <r>
    <x v="1678"/>
    <n v="1"/>
    <x v="2"/>
    <n v="46"/>
  </r>
  <r>
    <x v="1679"/>
    <n v="1"/>
    <x v="2"/>
    <n v="36"/>
  </r>
  <r>
    <x v="1680"/>
    <n v="1"/>
    <x v="2"/>
    <n v="35"/>
  </r>
  <r>
    <x v="1681"/>
    <n v="1"/>
    <x v="2"/>
    <n v="26"/>
  </r>
  <r>
    <x v="1682"/>
    <n v="1"/>
    <x v="2"/>
    <n v="42"/>
  </r>
  <r>
    <x v="1683"/>
    <n v="1"/>
    <x v="2"/>
    <n v="41"/>
  </r>
  <r>
    <x v="1684"/>
    <n v="1"/>
    <x v="2"/>
    <n v="42"/>
  </r>
  <r>
    <x v="1685"/>
    <n v="1"/>
    <x v="2"/>
    <n v="61"/>
  </r>
  <r>
    <x v="1686"/>
    <n v="1"/>
    <x v="2"/>
    <n v="33"/>
  </r>
  <r>
    <x v="1687"/>
    <n v="1"/>
    <x v="2"/>
    <n v="38"/>
  </r>
  <r>
    <x v="1688"/>
    <n v="1"/>
    <x v="2"/>
    <n v="32"/>
  </r>
  <r>
    <x v="1689"/>
    <n v="1"/>
    <x v="2"/>
    <n v="29"/>
  </r>
  <r>
    <x v="1690"/>
    <n v="1"/>
    <x v="2"/>
    <n v="39"/>
  </r>
  <r>
    <x v="1691"/>
    <n v="1"/>
    <x v="2"/>
    <n v="47"/>
  </r>
  <r>
    <x v="1692"/>
    <n v="1"/>
    <x v="2"/>
    <n v="59"/>
  </r>
  <r>
    <x v="1693"/>
    <n v="1"/>
    <x v="2"/>
    <n v="50"/>
  </r>
  <r>
    <x v="1694"/>
    <n v="1"/>
    <x v="2"/>
    <n v="45"/>
  </r>
  <r>
    <x v="1695"/>
    <n v="1"/>
    <x v="2"/>
    <n v="48"/>
  </r>
  <r>
    <x v="1696"/>
    <n v="1"/>
    <x v="2"/>
    <n v="45"/>
  </r>
  <r>
    <x v="1697"/>
    <n v="1"/>
    <x v="2"/>
    <n v="46"/>
  </r>
  <r>
    <x v="1698"/>
    <n v="1"/>
    <x v="2"/>
    <n v="51"/>
  </r>
  <r>
    <x v="1699"/>
    <n v="1"/>
    <x v="2"/>
    <n v="52"/>
  </r>
  <r>
    <x v="1700"/>
    <n v="1"/>
    <x v="2"/>
    <n v="21"/>
  </r>
  <r>
    <x v="1701"/>
    <n v="1"/>
    <x v="2"/>
    <n v="40"/>
  </r>
  <r>
    <x v="1702"/>
    <n v="1"/>
    <x v="2"/>
    <n v="29"/>
  </r>
  <r>
    <x v="1703"/>
    <n v="1"/>
    <x v="2"/>
    <n v="37"/>
  </r>
  <r>
    <x v="1704"/>
    <n v="1"/>
    <x v="2"/>
    <n v="41"/>
  </r>
  <r>
    <x v="1705"/>
    <n v="1"/>
    <x v="2"/>
    <n v="47"/>
  </r>
  <r>
    <x v="1706"/>
    <n v="1"/>
    <x v="2"/>
    <n v="41"/>
  </r>
  <r>
    <x v="1707"/>
    <n v="1"/>
    <x v="2"/>
    <n v="40"/>
  </r>
  <r>
    <x v="1708"/>
    <n v="1"/>
    <x v="2"/>
    <n v="43"/>
  </r>
  <r>
    <x v="1709"/>
    <n v="1"/>
    <x v="2"/>
    <n v="51"/>
  </r>
  <r>
    <x v="1710"/>
    <n v="1"/>
    <x v="2"/>
    <n v="44"/>
  </r>
  <r>
    <x v="1711"/>
    <n v="1"/>
    <x v="2"/>
    <n v="46"/>
  </r>
  <r>
    <x v="1712"/>
    <n v="1"/>
    <x v="2"/>
    <n v="36"/>
  </r>
  <r>
    <x v="1713"/>
    <n v="1"/>
    <x v="2"/>
    <n v="36"/>
  </r>
  <r>
    <x v="1714"/>
    <n v="1"/>
    <x v="2"/>
    <n v="29"/>
  </r>
  <r>
    <x v="1715"/>
    <n v="1"/>
    <x v="2"/>
    <n v="30"/>
  </r>
  <r>
    <x v="1716"/>
    <n v="1"/>
    <x v="2"/>
    <n v="34"/>
  </r>
  <r>
    <x v="1717"/>
    <n v="1"/>
    <x v="2"/>
    <n v="41"/>
  </r>
  <r>
    <x v="1718"/>
    <n v="1"/>
    <x v="2"/>
    <n v="45"/>
  </r>
  <r>
    <x v="1719"/>
    <n v="1"/>
    <x v="2"/>
    <n v="41"/>
  </r>
  <r>
    <x v="1720"/>
    <n v="1"/>
    <x v="2"/>
    <n v="49"/>
  </r>
  <r>
    <x v="1721"/>
    <n v="1"/>
    <x v="2"/>
    <n v="42"/>
  </r>
  <r>
    <x v="1722"/>
    <n v="1"/>
    <x v="2"/>
    <n v="32"/>
  </r>
  <r>
    <x v="1723"/>
    <n v="1"/>
    <x v="2"/>
    <n v="28"/>
  </r>
  <r>
    <x v="1724"/>
    <n v="1"/>
    <x v="2"/>
    <n v="34"/>
  </r>
  <r>
    <x v="1725"/>
    <n v="1"/>
    <x v="2"/>
    <n v="46"/>
  </r>
  <r>
    <x v="1726"/>
    <n v="1"/>
    <x v="2"/>
    <n v="52"/>
  </r>
  <r>
    <x v="1727"/>
    <n v="1"/>
    <x v="2"/>
    <n v="47"/>
  </r>
  <r>
    <x v="1728"/>
    <n v="1"/>
    <x v="2"/>
    <n v="26"/>
  </r>
  <r>
    <x v="1729"/>
    <n v="1"/>
    <x v="2"/>
    <n v="38"/>
  </r>
  <r>
    <x v="1730"/>
    <n v="1"/>
    <x v="2"/>
    <n v="41"/>
  </r>
  <r>
    <x v="1731"/>
    <n v="1"/>
    <x v="2"/>
    <n v="37"/>
  </r>
  <r>
    <x v="1732"/>
    <n v="1"/>
    <x v="2"/>
    <n v="35"/>
  </r>
  <r>
    <x v="1733"/>
    <n v="1"/>
    <x v="2"/>
    <n v="48"/>
  </r>
  <r>
    <x v="1734"/>
    <n v="1"/>
    <x v="2"/>
    <n v="38"/>
  </r>
  <r>
    <x v="1735"/>
    <n v="1"/>
    <x v="2"/>
    <n v="32"/>
  </r>
  <r>
    <x v="1736"/>
    <n v="1"/>
    <x v="2"/>
    <n v="28"/>
  </r>
  <r>
    <x v="1737"/>
    <n v="1"/>
    <x v="2"/>
    <n v="34"/>
  </r>
  <r>
    <x v="1738"/>
    <n v="1"/>
    <x v="2"/>
    <n v="40"/>
  </r>
  <r>
    <x v="1739"/>
    <n v="1"/>
    <x v="2"/>
    <n v="34"/>
  </r>
  <r>
    <x v="1740"/>
    <n v="1"/>
    <x v="2"/>
    <n v="34"/>
  </r>
  <r>
    <x v="1741"/>
    <n v="1"/>
    <x v="2"/>
    <n v="47"/>
  </r>
  <r>
    <x v="1742"/>
    <n v="1"/>
    <x v="2"/>
    <n v="18"/>
  </r>
  <r>
    <x v="1743"/>
    <n v="1"/>
    <x v="2"/>
    <n v="35"/>
  </r>
  <r>
    <x v="1744"/>
    <n v="1"/>
    <x v="2"/>
    <n v="39"/>
  </r>
  <r>
    <x v="1745"/>
    <n v="1"/>
    <x v="2"/>
    <n v="29"/>
  </r>
  <r>
    <x v="1746"/>
    <n v="1"/>
    <x v="2"/>
    <n v="33"/>
  </r>
  <r>
    <x v="1747"/>
    <n v="1"/>
    <x v="2"/>
    <n v="42"/>
  </r>
  <r>
    <x v="1748"/>
    <n v="1"/>
    <x v="2"/>
    <n v="49"/>
  </r>
  <r>
    <x v="1749"/>
    <n v="1"/>
    <x v="2"/>
    <n v="31"/>
  </r>
  <r>
    <x v="1750"/>
    <n v="1"/>
    <x v="2"/>
    <n v="37"/>
  </r>
  <r>
    <x v="1751"/>
    <n v="1"/>
    <x v="2"/>
    <n v="40"/>
  </r>
  <r>
    <x v="1752"/>
    <n v="1"/>
    <x v="2"/>
    <n v="38"/>
  </r>
  <r>
    <x v="1753"/>
    <n v="1"/>
    <x v="2"/>
    <n v="41"/>
  </r>
  <r>
    <x v="1754"/>
    <n v="1"/>
    <x v="2"/>
    <n v="45"/>
  </r>
  <r>
    <x v="1755"/>
    <n v="1"/>
    <x v="2"/>
    <n v="31"/>
  </r>
  <r>
    <x v="1756"/>
    <n v="1"/>
    <x v="2"/>
    <n v="30"/>
  </r>
  <r>
    <x v="1757"/>
    <n v="1"/>
    <x v="2"/>
    <n v="43"/>
  </r>
  <r>
    <x v="1758"/>
    <n v="1"/>
    <x v="2"/>
    <n v="32"/>
  </r>
  <r>
    <x v="1759"/>
    <n v="1"/>
    <x v="2"/>
    <n v="35"/>
  </r>
  <r>
    <x v="1760"/>
    <n v="1"/>
    <x v="2"/>
    <n v="38"/>
  </r>
  <r>
    <x v="1761"/>
    <n v="1"/>
    <x v="2"/>
    <n v="43"/>
  </r>
  <r>
    <x v="1762"/>
    <n v="1"/>
    <x v="2"/>
    <n v="31"/>
  </r>
  <r>
    <x v="1763"/>
    <n v="1"/>
    <x v="2"/>
    <n v="27"/>
  </r>
  <r>
    <x v="1764"/>
    <n v="1"/>
    <x v="2"/>
    <n v="26"/>
  </r>
  <r>
    <x v="1765"/>
    <n v="1"/>
    <x v="2"/>
    <n v="50"/>
  </r>
  <r>
    <x v="1766"/>
    <n v="1"/>
    <x v="2"/>
    <n v="41"/>
  </r>
  <r>
    <x v="1767"/>
    <n v="1"/>
    <x v="2"/>
    <n v="43"/>
  </r>
  <r>
    <x v="1768"/>
    <n v="1"/>
    <x v="2"/>
    <n v="41"/>
  </r>
  <r>
    <x v="1769"/>
    <n v="1"/>
    <x v="2"/>
    <n v="51"/>
  </r>
  <r>
    <x v="1770"/>
    <n v="1"/>
    <x v="2"/>
    <n v="43"/>
  </r>
  <r>
    <x v="1771"/>
    <n v="1"/>
    <x v="2"/>
    <n v="37"/>
  </r>
  <r>
    <x v="1772"/>
    <n v="1"/>
    <x v="2"/>
    <n v="31"/>
  </r>
  <r>
    <x v="1773"/>
    <n v="1"/>
    <x v="2"/>
    <n v="37"/>
  </r>
  <r>
    <x v="1774"/>
    <n v="1"/>
    <x v="2"/>
    <n v="23"/>
  </r>
  <r>
    <x v="1775"/>
    <n v="1"/>
    <x v="2"/>
    <n v="39"/>
  </r>
  <r>
    <x v="1776"/>
    <n v="1"/>
    <x v="2"/>
    <n v="53"/>
  </r>
  <r>
    <x v="1777"/>
    <n v="1"/>
    <x v="2"/>
    <n v="35"/>
  </r>
  <r>
    <x v="1778"/>
    <n v="1"/>
    <x v="2"/>
    <n v="29"/>
  </r>
  <r>
    <x v="1779"/>
    <n v="1"/>
    <x v="2"/>
    <n v="37"/>
  </r>
  <r>
    <x v="1780"/>
    <n v="1"/>
    <x v="2"/>
    <n v="38"/>
  </r>
  <r>
    <x v="1781"/>
    <n v="1"/>
    <x v="2"/>
    <n v="35"/>
  </r>
  <r>
    <x v="1782"/>
    <n v="1"/>
    <x v="2"/>
    <n v="43"/>
  </r>
  <r>
    <x v="1783"/>
    <n v="1"/>
    <x v="2"/>
    <n v="43"/>
  </r>
  <r>
    <x v="1784"/>
    <n v="1"/>
    <x v="2"/>
    <n v="36"/>
  </r>
  <r>
    <x v="1785"/>
    <n v="1"/>
    <x v="2"/>
    <n v="40"/>
  </r>
  <r>
    <x v="1786"/>
    <n v="1"/>
    <x v="2"/>
    <n v="38"/>
  </r>
  <r>
    <x v="1787"/>
    <n v="1"/>
    <x v="2"/>
    <n v="40"/>
  </r>
  <r>
    <x v="1788"/>
    <n v="1"/>
    <x v="2"/>
    <n v="37"/>
  </r>
  <r>
    <x v="1789"/>
    <n v="1"/>
    <x v="2"/>
    <n v="41"/>
  </r>
  <r>
    <x v="1790"/>
    <n v="1"/>
    <x v="2"/>
    <n v="43"/>
  </r>
  <r>
    <x v="1791"/>
    <n v="1"/>
    <x v="2"/>
    <n v="23"/>
  </r>
  <r>
    <x v="1792"/>
    <n v="1"/>
    <x v="2"/>
    <n v="36"/>
  </r>
  <r>
    <x v="1793"/>
    <n v="1"/>
    <x v="2"/>
    <n v="42"/>
  </r>
  <r>
    <x v="1794"/>
    <n v="1"/>
    <x v="2"/>
    <n v="31"/>
  </r>
  <r>
    <x v="1795"/>
    <n v="1"/>
    <x v="2"/>
    <n v="30"/>
  </r>
  <r>
    <x v="1796"/>
    <n v="1"/>
    <x v="2"/>
    <n v="31"/>
  </r>
  <r>
    <x v="1797"/>
    <n v="1"/>
    <x v="2"/>
    <n v="34"/>
  </r>
  <r>
    <x v="1798"/>
    <n v="1"/>
    <x v="2"/>
    <n v="21"/>
  </r>
  <r>
    <x v="1799"/>
    <n v="1"/>
    <x v="2"/>
    <n v="15"/>
  </r>
  <r>
    <x v="1800"/>
    <n v="1"/>
    <x v="2"/>
    <n v="32"/>
  </r>
  <r>
    <x v="1801"/>
    <n v="1"/>
    <x v="2"/>
    <n v="34"/>
  </r>
  <r>
    <x v="1802"/>
    <n v="1"/>
    <x v="2"/>
    <n v="27"/>
  </r>
  <r>
    <x v="1803"/>
    <n v="1"/>
    <x v="2"/>
    <n v="36"/>
  </r>
  <r>
    <x v="1804"/>
    <n v="1"/>
    <x v="2"/>
    <n v="44"/>
  </r>
  <r>
    <x v="1805"/>
    <n v="1"/>
    <x v="2"/>
    <n v="21"/>
  </r>
  <r>
    <x v="1806"/>
    <n v="1"/>
    <x v="2"/>
    <n v="28"/>
  </r>
  <r>
    <x v="1807"/>
    <n v="1"/>
    <x v="2"/>
    <n v="30"/>
  </r>
  <r>
    <x v="1808"/>
    <n v="1"/>
    <x v="2"/>
    <n v="27"/>
  </r>
  <r>
    <x v="1809"/>
    <n v="1"/>
    <x v="2"/>
    <n v="30"/>
  </r>
  <r>
    <x v="1810"/>
    <n v="1"/>
    <x v="2"/>
    <n v="32"/>
  </r>
  <r>
    <x v="1811"/>
    <n v="1"/>
    <x v="2"/>
    <n v="39"/>
  </r>
  <r>
    <x v="1812"/>
    <n v="1"/>
    <x v="2"/>
    <n v="21"/>
  </r>
  <r>
    <x v="1813"/>
    <n v="1"/>
    <x v="2"/>
    <n v="20"/>
  </r>
  <r>
    <x v="1814"/>
    <n v="1"/>
    <x v="2"/>
    <n v="21"/>
  </r>
  <r>
    <x v="1815"/>
    <n v="1"/>
    <x v="2"/>
    <n v="23"/>
  </r>
  <r>
    <x v="1816"/>
    <n v="1"/>
    <x v="2"/>
    <n v="22"/>
  </r>
  <r>
    <x v="1817"/>
    <n v="1"/>
    <x v="2"/>
    <n v="37"/>
  </r>
  <r>
    <x v="1818"/>
    <n v="1"/>
    <x v="2"/>
    <n v="33"/>
  </r>
  <r>
    <x v="1819"/>
    <n v="1"/>
    <x v="2"/>
    <n v="26"/>
  </r>
  <r>
    <x v="1820"/>
    <n v="1"/>
    <x v="2"/>
    <n v="18"/>
  </r>
  <r>
    <x v="1821"/>
    <n v="1"/>
    <x v="2"/>
    <n v="26"/>
  </r>
  <r>
    <x v="1822"/>
    <n v="1"/>
    <x v="2"/>
    <n v="21"/>
  </r>
  <r>
    <x v="1823"/>
    <n v="1"/>
    <x v="2"/>
    <n v="38"/>
  </r>
  <r>
    <x v="1824"/>
    <n v="1"/>
    <x v="2"/>
    <n v="27"/>
  </r>
  <r>
    <x v="1825"/>
    <n v="1"/>
    <x v="2"/>
    <n v="29"/>
  </r>
  <r>
    <x v="0"/>
    <n v="1"/>
    <x v="3"/>
    <n v="10"/>
  </r>
  <r>
    <x v="1"/>
    <n v="1"/>
    <x v="3"/>
    <n v="11"/>
  </r>
  <r>
    <x v="2"/>
    <n v="1"/>
    <x v="3"/>
    <n v="8"/>
  </r>
  <r>
    <x v="3"/>
    <n v="1"/>
    <x v="3"/>
    <n v="19"/>
  </r>
  <r>
    <x v="4"/>
    <n v="1"/>
    <x v="3"/>
    <n v="12"/>
  </r>
  <r>
    <x v="5"/>
    <n v="1"/>
    <x v="3"/>
    <n v="16"/>
  </r>
  <r>
    <x v="6"/>
    <n v="1"/>
    <x v="3"/>
    <n v="7"/>
  </r>
  <r>
    <x v="7"/>
    <n v="1"/>
    <x v="3"/>
    <n v="9"/>
  </r>
  <r>
    <x v="8"/>
    <n v="1"/>
    <x v="3"/>
    <n v="11"/>
  </r>
  <r>
    <x v="9"/>
    <n v="1"/>
    <x v="3"/>
    <n v="16"/>
  </r>
  <r>
    <x v="10"/>
    <n v="1"/>
    <x v="3"/>
    <n v="19"/>
  </r>
  <r>
    <x v="11"/>
    <n v="1"/>
    <x v="3"/>
    <n v="9"/>
  </r>
  <r>
    <x v="12"/>
    <n v="1"/>
    <x v="3"/>
    <n v="8"/>
  </r>
  <r>
    <x v="13"/>
    <n v="1"/>
    <x v="3"/>
    <n v="5"/>
  </r>
  <r>
    <x v="14"/>
    <n v="1"/>
    <x v="3"/>
    <n v="14"/>
  </r>
  <r>
    <x v="15"/>
    <n v="1"/>
    <x v="3"/>
    <n v="7"/>
  </r>
  <r>
    <x v="16"/>
    <n v="1"/>
    <x v="3"/>
    <n v="11"/>
  </r>
  <r>
    <x v="17"/>
    <n v="1"/>
    <x v="3"/>
    <n v="7"/>
  </r>
  <r>
    <x v="18"/>
    <n v="1"/>
    <x v="3"/>
    <n v="9"/>
  </r>
  <r>
    <x v="19"/>
    <n v="1"/>
    <x v="3"/>
    <n v="20"/>
  </r>
  <r>
    <x v="20"/>
    <n v="1"/>
    <x v="3"/>
    <n v="15"/>
  </r>
  <r>
    <x v="21"/>
    <n v="1"/>
    <x v="3"/>
    <n v="11"/>
  </r>
  <r>
    <x v="22"/>
    <n v="1"/>
    <x v="3"/>
    <n v="7"/>
  </r>
  <r>
    <x v="23"/>
    <n v="1"/>
    <x v="3"/>
    <n v="8"/>
  </r>
  <r>
    <x v="24"/>
    <n v="1"/>
    <x v="3"/>
    <n v="12"/>
  </r>
  <r>
    <x v="25"/>
    <n v="1"/>
    <x v="3"/>
    <n v="5"/>
  </r>
  <r>
    <x v="26"/>
    <n v="1"/>
    <x v="3"/>
    <n v="13"/>
  </r>
  <r>
    <x v="27"/>
    <n v="1"/>
    <x v="3"/>
    <n v="7"/>
  </r>
  <r>
    <x v="28"/>
    <n v="1"/>
    <x v="3"/>
    <n v="13"/>
  </r>
  <r>
    <x v="29"/>
    <n v="1"/>
    <x v="3"/>
    <n v="8"/>
  </r>
  <r>
    <x v="30"/>
    <n v="1"/>
    <x v="3"/>
    <n v="19"/>
  </r>
  <r>
    <x v="31"/>
    <n v="1"/>
    <x v="3"/>
    <n v="21"/>
  </r>
  <r>
    <x v="32"/>
    <n v="1"/>
    <x v="3"/>
    <n v="10"/>
  </r>
  <r>
    <x v="33"/>
    <n v="1"/>
    <x v="3"/>
    <n v="6"/>
  </r>
  <r>
    <x v="34"/>
    <n v="1"/>
    <x v="3"/>
    <n v="11"/>
  </r>
  <r>
    <x v="35"/>
    <n v="1"/>
    <x v="3"/>
    <n v="17"/>
  </r>
  <r>
    <x v="36"/>
    <n v="1"/>
    <x v="3"/>
    <n v="9"/>
  </r>
  <r>
    <x v="37"/>
    <n v="1"/>
    <x v="3"/>
    <n v="15"/>
  </r>
  <r>
    <x v="38"/>
    <n v="1"/>
    <x v="3"/>
    <n v="14"/>
  </r>
  <r>
    <x v="39"/>
    <n v="1"/>
    <x v="3"/>
    <n v="12"/>
  </r>
  <r>
    <x v="40"/>
    <n v="1"/>
    <x v="3"/>
    <n v="13"/>
  </r>
  <r>
    <x v="41"/>
    <n v="1"/>
    <x v="3"/>
    <n v="12"/>
  </r>
  <r>
    <x v="42"/>
    <n v="1"/>
    <x v="3"/>
    <n v="13"/>
  </r>
  <r>
    <x v="43"/>
    <n v="1"/>
    <x v="3"/>
    <n v="13"/>
  </r>
  <r>
    <x v="44"/>
    <n v="1"/>
    <x v="3"/>
    <n v="9"/>
  </r>
  <r>
    <x v="45"/>
    <n v="1"/>
    <x v="3"/>
    <n v="15"/>
  </r>
  <r>
    <x v="46"/>
    <n v="1"/>
    <x v="3"/>
    <n v="13"/>
  </r>
  <r>
    <x v="47"/>
    <n v="1"/>
    <x v="3"/>
    <n v="11"/>
  </r>
  <r>
    <x v="48"/>
    <n v="1"/>
    <x v="3"/>
    <n v="9"/>
  </r>
  <r>
    <x v="49"/>
    <n v="1"/>
    <x v="3"/>
    <n v="8"/>
  </r>
  <r>
    <x v="50"/>
    <n v="1"/>
    <x v="3"/>
    <n v="14"/>
  </r>
  <r>
    <x v="51"/>
    <n v="1"/>
    <x v="3"/>
    <n v="9"/>
  </r>
  <r>
    <x v="52"/>
    <n v="1"/>
    <x v="3"/>
    <n v="9"/>
  </r>
  <r>
    <x v="53"/>
    <n v="1"/>
    <x v="3"/>
    <n v="13"/>
  </r>
  <r>
    <x v="54"/>
    <n v="1"/>
    <x v="3"/>
    <n v="9"/>
  </r>
  <r>
    <x v="55"/>
    <n v="1"/>
    <x v="3"/>
    <n v="8"/>
  </r>
  <r>
    <x v="56"/>
    <n v="1"/>
    <x v="3"/>
    <n v="16"/>
  </r>
  <r>
    <x v="57"/>
    <n v="1"/>
    <x v="3"/>
    <n v="17"/>
  </r>
  <r>
    <x v="58"/>
    <n v="1"/>
    <x v="3"/>
    <n v="14"/>
  </r>
  <r>
    <x v="59"/>
    <n v="1"/>
    <x v="3"/>
    <n v="9"/>
  </r>
  <r>
    <x v="60"/>
    <n v="1"/>
    <x v="3"/>
    <n v="25"/>
  </r>
  <r>
    <x v="61"/>
    <n v="1"/>
    <x v="3"/>
    <n v="19"/>
  </r>
  <r>
    <x v="62"/>
    <n v="1"/>
    <x v="3"/>
    <n v="10"/>
  </r>
  <r>
    <x v="63"/>
    <n v="1"/>
    <x v="3"/>
    <n v="20"/>
  </r>
  <r>
    <x v="64"/>
    <n v="1"/>
    <x v="3"/>
    <n v="13"/>
  </r>
  <r>
    <x v="65"/>
    <n v="1"/>
    <x v="3"/>
    <n v="14"/>
  </r>
  <r>
    <x v="66"/>
    <n v="1"/>
    <x v="3"/>
    <n v="18"/>
  </r>
  <r>
    <x v="67"/>
    <n v="1"/>
    <x v="3"/>
    <n v="20"/>
  </r>
  <r>
    <x v="68"/>
    <n v="1"/>
    <x v="3"/>
    <n v="14"/>
  </r>
  <r>
    <x v="69"/>
    <n v="1"/>
    <x v="3"/>
    <n v="8"/>
  </r>
  <r>
    <x v="70"/>
    <n v="1"/>
    <x v="3"/>
    <n v="14"/>
  </r>
  <r>
    <x v="71"/>
    <n v="1"/>
    <x v="3"/>
    <n v="12"/>
  </r>
  <r>
    <x v="72"/>
    <n v="1"/>
    <x v="3"/>
    <n v="14"/>
  </r>
  <r>
    <x v="73"/>
    <n v="1"/>
    <x v="3"/>
    <n v="15"/>
  </r>
  <r>
    <x v="74"/>
    <n v="1"/>
    <x v="3"/>
    <n v="11"/>
  </r>
  <r>
    <x v="75"/>
    <n v="1"/>
    <x v="3"/>
    <n v="15"/>
  </r>
  <r>
    <x v="76"/>
    <n v="1"/>
    <x v="3"/>
    <n v="10"/>
  </r>
  <r>
    <x v="77"/>
    <n v="1"/>
    <x v="3"/>
    <n v="13"/>
  </r>
  <r>
    <x v="78"/>
    <n v="1"/>
    <x v="3"/>
    <n v="14"/>
  </r>
  <r>
    <x v="79"/>
    <n v="1"/>
    <x v="3"/>
    <n v="15"/>
  </r>
  <r>
    <x v="80"/>
    <n v="1"/>
    <x v="3"/>
    <n v="12"/>
  </r>
  <r>
    <x v="81"/>
    <n v="1"/>
    <x v="3"/>
    <n v="15"/>
  </r>
  <r>
    <x v="82"/>
    <n v="1"/>
    <x v="3"/>
    <n v="22"/>
  </r>
  <r>
    <x v="83"/>
    <n v="1"/>
    <x v="3"/>
    <n v="16"/>
  </r>
  <r>
    <x v="84"/>
    <n v="1"/>
    <x v="3"/>
    <n v="11"/>
  </r>
  <r>
    <x v="85"/>
    <n v="1"/>
    <x v="3"/>
    <n v="14"/>
  </r>
  <r>
    <x v="86"/>
    <n v="1"/>
    <x v="3"/>
    <n v="17"/>
  </r>
  <r>
    <x v="87"/>
    <n v="1"/>
    <x v="3"/>
    <n v="11"/>
  </r>
  <r>
    <x v="88"/>
    <n v="1"/>
    <x v="3"/>
    <n v="23"/>
  </r>
  <r>
    <x v="89"/>
    <n v="1"/>
    <x v="3"/>
    <n v="23"/>
  </r>
  <r>
    <x v="90"/>
    <n v="1"/>
    <x v="3"/>
    <n v="12"/>
  </r>
  <r>
    <x v="91"/>
    <n v="1"/>
    <x v="3"/>
    <n v="14"/>
  </r>
  <r>
    <x v="92"/>
    <n v="1"/>
    <x v="3"/>
    <n v="13"/>
  </r>
  <r>
    <x v="93"/>
    <n v="1"/>
    <x v="3"/>
    <n v="18"/>
  </r>
  <r>
    <x v="94"/>
    <n v="1"/>
    <x v="3"/>
    <n v="24"/>
  </r>
  <r>
    <x v="95"/>
    <n v="1"/>
    <x v="3"/>
    <n v="18"/>
  </r>
  <r>
    <x v="96"/>
    <n v="1"/>
    <x v="3"/>
    <n v="13"/>
  </r>
  <r>
    <x v="97"/>
    <n v="1"/>
    <x v="3"/>
    <n v="6"/>
  </r>
  <r>
    <x v="98"/>
    <n v="1"/>
    <x v="3"/>
    <n v="11"/>
  </r>
  <r>
    <x v="99"/>
    <n v="1"/>
    <x v="3"/>
    <n v="20"/>
  </r>
  <r>
    <x v="100"/>
    <n v="1"/>
    <x v="3"/>
    <n v="14"/>
  </r>
  <r>
    <x v="101"/>
    <n v="1"/>
    <x v="3"/>
    <n v="15"/>
  </r>
  <r>
    <x v="102"/>
    <n v="1"/>
    <x v="3"/>
    <n v="27"/>
  </r>
  <r>
    <x v="103"/>
    <n v="1"/>
    <x v="3"/>
    <n v="27"/>
  </r>
  <r>
    <x v="104"/>
    <n v="1"/>
    <x v="3"/>
    <n v="12"/>
  </r>
  <r>
    <x v="105"/>
    <n v="1"/>
    <x v="3"/>
    <n v="23"/>
  </r>
  <r>
    <x v="106"/>
    <n v="1"/>
    <x v="3"/>
    <n v="21"/>
  </r>
  <r>
    <x v="107"/>
    <n v="1"/>
    <x v="3"/>
    <n v="16"/>
  </r>
  <r>
    <x v="108"/>
    <n v="1"/>
    <x v="3"/>
    <n v="21"/>
  </r>
  <r>
    <x v="109"/>
    <n v="1"/>
    <x v="3"/>
    <n v="21"/>
  </r>
  <r>
    <x v="110"/>
    <n v="1"/>
    <x v="3"/>
    <n v="21"/>
  </r>
  <r>
    <x v="111"/>
    <n v="1"/>
    <x v="3"/>
    <n v="10"/>
  </r>
  <r>
    <x v="112"/>
    <n v="1"/>
    <x v="3"/>
    <n v="21"/>
  </r>
  <r>
    <x v="113"/>
    <n v="1"/>
    <x v="3"/>
    <n v="11"/>
  </r>
  <r>
    <x v="114"/>
    <n v="1"/>
    <x v="3"/>
    <n v="15"/>
  </r>
  <r>
    <x v="115"/>
    <n v="1"/>
    <x v="3"/>
    <n v="14"/>
  </r>
  <r>
    <x v="116"/>
    <n v="1"/>
    <x v="3"/>
    <n v="22"/>
  </r>
  <r>
    <x v="117"/>
    <n v="1"/>
    <x v="3"/>
    <n v="29"/>
  </r>
  <r>
    <x v="118"/>
    <n v="1"/>
    <x v="3"/>
    <n v="9"/>
  </r>
  <r>
    <x v="119"/>
    <n v="1"/>
    <x v="3"/>
    <n v="16"/>
  </r>
  <r>
    <x v="120"/>
    <n v="1"/>
    <x v="3"/>
    <n v="18"/>
  </r>
  <r>
    <x v="121"/>
    <n v="1"/>
    <x v="3"/>
    <n v="25"/>
  </r>
  <r>
    <x v="122"/>
    <n v="1"/>
    <x v="3"/>
    <n v="20"/>
  </r>
  <r>
    <x v="123"/>
    <n v="1"/>
    <x v="3"/>
    <n v="21"/>
  </r>
  <r>
    <x v="124"/>
    <n v="1"/>
    <x v="3"/>
    <n v="27"/>
  </r>
  <r>
    <x v="125"/>
    <n v="1"/>
    <x v="3"/>
    <n v="5"/>
  </r>
  <r>
    <x v="126"/>
    <n v="1"/>
    <x v="3"/>
    <n v="16"/>
  </r>
  <r>
    <x v="127"/>
    <n v="1"/>
    <x v="3"/>
    <n v="24"/>
  </r>
  <r>
    <x v="128"/>
    <n v="1"/>
    <x v="3"/>
    <n v="23"/>
  </r>
  <r>
    <x v="129"/>
    <n v="1"/>
    <x v="3"/>
    <n v="24"/>
  </r>
  <r>
    <x v="130"/>
    <n v="1"/>
    <x v="3"/>
    <n v="28"/>
  </r>
  <r>
    <x v="131"/>
    <n v="1"/>
    <x v="3"/>
    <n v="17"/>
  </r>
  <r>
    <x v="132"/>
    <n v="1"/>
    <x v="3"/>
    <n v="14"/>
  </r>
  <r>
    <x v="133"/>
    <n v="1"/>
    <x v="3"/>
    <n v="16"/>
  </r>
  <r>
    <x v="134"/>
    <n v="1"/>
    <x v="3"/>
    <n v="24"/>
  </r>
  <r>
    <x v="135"/>
    <n v="1"/>
    <x v="3"/>
    <n v="24"/>
  </r>
  <r>
    <x v="136"/>
    <n v="1"/>
    <x v="3"/>
    <n v="22"/>
  </r>
  <r>
    <x v="137"/>
    <n v="1"/>
    <x v="3"/>
    <n v="27"/>
  </r>
  <r>
    <x v="138"/>
    <n v="1"/>
    <x v="3"/>
    <n v="28"/>
  </r>
  <r>
    <x v="139"/>
    <n v="1"/>
    <x v="3"/>
    <n v="12"/>
  </r>
  <r>
    <x v="140"/>
    <n v="1"/>
    <x v="3"/>
    <n v="19"/>
  </r>
  <r>
    <x v="141"/>
    <n v="1"/>
    <x v="3"/>
    <n v="21"/>
  </r>
  <r>
    <x v="142"/>
    <n v="1"/>
    <x v="3"/>
    <n v="20"/>
  </r>
  <r>
    <x v="143"/>
    <n v="1"/>
    <x v="3"/>
    <n v="24"/>
  </r>
  <r>
    <x v="144"/>
    <n v="1"/>
    <x v="3"/>
    <n v="12"/>
  </r>
  <r>
    <x v="145"/>
    <n v="1"/>
    <x v="3"/>
    <n v="26"/>
  </r>
  <r>
    <x v="146"/>
    <n v="1"/>
    <x v="3"/>
    <n v="13"/>
  </r>
  <r>
    <x v="147"/>
    <n v="1"/>
    <x v="3"/>
    <n v="18"/>
  </r>
  <r>
    <x v="148"/>
    <n v="1"/>
    <x v="3"/>
    <n v="18"/>
  </r>
  <r>
    <x v="149"/>
    <n v="1"/>
    <x v="3"/>
    <n v="22"/>
  </r>
  <r>
    <x v="150"/>
    <n v="1"/>
    <x v="3"/>
    <n v="24"/>
  </r>
  <r>
    <x v="151"/>
    <n v="1"/>
    <x v="3"/>
    <n v="21"/>
  </r>
  <r>
    <x v="152"/>
    <n v="1"/>
    <x v="3"/>
    <n v="29"/>
  </r>
  <r>
    <x v="153"/>
    <n v="1"/>
    <x v="3"/>
    <n v="22"/>
  </r>
  <r>
    <x v="154"/>
    <n v="1"/>
    <x v="3"/>
    <n v="18"/>
  </r>
  <r>
    <x v="155"/>
    <n v="1"/>
    <x v="3"/>
    <n v="19"/>
  </r>
  <r>
    <x v="156"/>
    <n v="1"/>
    <x v="3"/>
    <n v="22"/>
  </r>
  <r>
    <x v="157"/>
    <n v="1"/>
    <x v="3"/>
    <n v="18"/>
  </r>
  <r>
    <x v="158"/>
    <n v="1"/>
    <x v="3"/>
    <n v="20"/>
  </r>
  <r>
    <x v="159"/>
    <n v="1"/>
    <x v="3"/>
    <n v="17"/>
  </r>
  <r>
    <x v="160"/>
    <n v="1"/>
    <x v="3"/>
    <n v="16"/>
  </r>
  <r>
    <x v="161"/>
    <n v="1"/>
    <x v="3"/>
    <n v="20"/>
  </r>
  <r>
    <x v="162"/>
    <n v="1"/>
    <x v="3"/>
    <n v="14"/>
  </r>
  <r>
    <x v="163"/>
    <n v="1"/>
    <x v="3"/>
    <n v="22"/>
  </r>
  <r>
    <x v="164"/>
    <n v="1"/>
    <x v="3"/>
    <n v="14"/>
  </r>
  <r>
    <x v="165"/>
    <n v="1"/>
    <x v="3"/>
    <n v="29"/>
  </r>
  <r>
    <x v="166"/>
    <n v="1"/>
    <x v="3"/>
    <n v="21"/>
  </r>
  <r>
    <x v="167"/>
    <n v="1"/>
    <x v="3"/>
    <n v="14"/>
  </r>
  <r>
    <x v="168"/>
    <n v="1"/>
    <x v="3"/>
    <n v="17"/>
  </r>
  <r>
    <x v="169"/>
    <n v="1"/>
    <x v="3"/>
    <n v="16"/>
  </r>
  <r>
    <x v="170"/>
    <n v="1"/>
    <x v="3"/>
    <n v="16"/>
  </r>
  <r>
    <x v="171"/>
    <n v="1"/>
    <x v="3"/>
    <n v="20"/>
  </r>
  <r>
    <x v="172"/>
    <n v="1"/>
    <x v="3"/>
    <n v="24"/>
  </r>
  <r>
    <x v="173"/>
    <n v="1"/>
    <x v="3"/>
    <n v="25"/>
  </r>
  <r>
    <x v="174"/>
    <n v="1"/>
    <x v="3"/>
    <n v="22"/>
  </r>
  <r>
    <x v="175"/>
    <n v="1"/>
    <x v="3"/>
    <n v="23"/>
  </r>
  <r>
    <x v="176"/>
    <n v="1"/>
    <x v="3"/>
    <n v="13"/>
  </r>
  <r>
    <x v="177"/>
    <n v="1"/>
    <x v="3"/>
    <n v="26"/>
  </r>
  <r>
    <x v="178"/>
    <n v="1"/>
    <x v="3"/>
    <n v="17"/>
  </r>
  <r>
    <x v="179"/>
    <n v="1"/>
    <x v="3"/>
    <n v="24"/>
  </r>
  <r>
    <x v="180"/>
    <n v="1"/>
    <x v="3"/>
    <n v="20"/>
  </r>
  <r>
    <x v="181"/>
    <n v="1"/>
    <x v="3"/>
    <n v="9"/>
  </r>
  <r>
    <x v="182"/>
    <n v="1"/>
    <x v="3"/>
    <n v="13"/>
  </r>
  <r>
    <x v="183"/>
    <n v="1"/>
    <x v="3"/>
    <n v="16"/>
  </r>
  <r>
    <x v="184"/>
    <n v="1"/>
    <x v="3"/>
    <n v="21"/>
  </r>
  <r>
    <x v="185"/>
    <n v="1"/>
    <x v="3"/>
    <n v="28"/>
  </r>
  <r>
    <x v="186"/>
    <n v="1"/>
    <x v="3"/>
    <n v="28"/>
  </r>
  <r>
    <x v="187"/>
    <n v="1"/>
    <x v="3"/>
    <n v="29"/>
  </r>
  <r>
    <x v="188"/>
    <n v="1"/>
    <x v="3"/>
    <n v="14"/>
  </r>
  <r>
    <x v="189"/>
    <n v="1"/>
    <x v="3"/>
    <n v="18"/>
  </r>
  <r>
    <x v="190"/>
    <n v="1"/>
    <x v="3"/>
    <n v="14"/>
  </r>
  <r>
    <x v="191"/>
    <n v="1"/>
    <x v="3"/>
    <n v="20"/>
  </r>
  <r>
    <x v="192"/>
    <n v="1"/>
    <x v="3"/>
    <n v="25"/>
  </r>
  <r>
    <x v="193"/>
    <n v="1"/>
    <x v="3"/>
    <n v="30"/>
  </r>
  <r>
    <x v="194"/>
    <n v="1"/>
    <x v="3"/>
    <n v="24"/>
  </r>
  <r>
    <x v="195"/>
    <n v="1"/>
    <x v="3"/>
    <n v="16"/>
  </r>
  <r>
    <x v="196"/>
    <n v="1"/>
    <x v="3"/>
    <n v="21"/>
  </r>
  <r>
    <x v="197"/>
    <n v="1"/>
    <x v="3"/>
    <n v="22"/>
  </r>
  <r>
    <x v="198"/>
    <n v="1"/>
    <x v="3"/>
    <n v="21"/>
  </r>
  <r>
    <x v="199"/>
    <n v="1"/>
    <x v="3"/>
    <n v="24"/>
  </r>
  <r>
    <x v="200"/>
    <n v="1"/>
    <x v="3"/>
    <n v="28"/>
  </r>
  <r>
    <x v="201"/>
    <n v="1"/>
    <x v="3"/>
    <n v="19"/>
  </r>
  <r>
    <x v="202"/>
    <n v="1"/>
    <x v="3"/>
    <n v="14"/>
  </r>
  <r>
    <x v="203"/>
    <n v="1"/>
    <x v="3"/>
    <n v="19"/>
  </r>
  <r>
    <x v="204"/>
    <n v="1"/>
    <x v="3"/>
    <n v="27"/>
  </r>
  <r>
    <x v="205"/>
    <n v="1"/>
    <x v="3"/>
    <n v="18"/>
  </r>
  <r>
    <x v="206"/>
    <n v="1"/>
    <x v="3"/>
    <n v="21"/>
  </r>
  <r>
    <x v="207"/>
    <n v="1"/>
    <x v="3"/>
    <n v="17"/>
  </r>
  <r>
    <x v="208"/>
    <n v="1"/>
    <x v="3"/>
    <n v="27"/>
  </r>
  <r>
    <x v="209"/>
    <n v="1"/>
    <x v="3"/>
    <n v="9"/>
  </r>
  <r>
    <x v="210"/>
    <n v="1"/>
    <x v="3"/>
    <n v="21"/>
  </r>
  <r>
    <x v="211"/>
    <n v="1"/>
    <x v="3"/>
    <n v="13"/>
  </r>
  <r>
    <x v="212"/>
    <n v="1"/>
    <x v="3"/>
    <n v="11"/>
  </r>
  <r>
    <x v="213"/>
    <n v="1"/>
    <x v="3"/>
    <n v="18"/>
  </r>
  <r>
    <x v="214"/>
    <n v="1"/>
    <x v="3"/>
    <n v="17"/>
  </r>
  <r>
    <x v="215"/>
    <n v="1"/>
    <x v="3"/>
    <n v="27"/>
  </r>
  <r>
    <x v="216"/>
    <n v="1"/>
    <x v="3"/>
    <n v="14"/>
  </r>
  <r>
    <x v="217"/>
    <n v="1"/>
    <x v="3"/>
    <n v="20"/>
  </r>
  <r>
    <x v="218"/>
    <n v="1"/>
    <x v="3"/>
    <n v="18"/>
  </r>
  <r>
    <x v="219"/>
    <n v="1"/>
    <x v="3"/>
    <n v="18"/>
  </r>
  <r>
    <x v="220"/>
    <n v="1"/>
    <x v="3"/>
    <n v="18"/>
  </r>
  <r>
    <x v="221"/>
    <n v="1"/>
    <x v="3"/>
    <n v="34"/>
  </r>
  <r>
    <x v="222"/>
    <n v="1"/>
    <x v="3"/>
    <n v="18"/>
  </r>
  <r>
    <x v="223"/>
    <n v="1"/>
    <x v="3"/>
    <n v="14"/>
  </r>
  <r>
    <x v="224"/>
    <n v="1"/>
    <x v="3"/>
    <n v="19"/>
  </r>
  <r>
    <x v="225"/>
    <n v="1"/>
    <x v="3"/>
    <n v="18"/>
  </r>
  <r>
    <x v="226"/>
    <n v="1"/>
    <x v="3"/>
    <n v="21"/>
  </r>
  <r>
    <x v="227"/>
    <n v="1"/>
    <x v="3"/>
    <n v="16"/>
  </r>
  <r>
    <x v="228"/>
    <n v="1"/>
    <x v="3"/>
    <n v="25"/>
  </r>
  <r>
    <x v="229"/>
    <n v="1"/>
    <x v="3"/>
    <n v="15"/>
  </r>
  <r>
    <x v="230"/>
    <n v="1"/>
    <x v="3"/>
    <n v="23"/>
  </r>
  <r>
    <x v="231"/>
    <n v="1"/>
    <x v="3"/>
    <n v="16"/>
  </r>
  <r>
    <x v="232"/>
    <n v="1"/>
    <x v="3"/>
    <n v="13"/>
  </r>
  <r>
    <x v="233"/>
    <n v="1"/>
    <x v="3"/>
    <n v="19"/>
  </r>
  <r>
    <x v="234"/>
    <n v="1"/>
    <x v="3"/>
    <n v="20"/>
  </r>
  <r>
    <x v="235"/>
    <n v="1"/>
    <x v="3"/>
    <n v="27"/>
  </r>
  <r>
    <x v="236"/>
    <n v="1"/>
    <x v="3"/>
    <n v="13"/>
  </r>
  <r>
    <x v="237"/>
    <n v="1"/>
    <x v="3"/>
    <n v="16"/>
  </r>
  <r>
    <x v="238"/>
    <n v="1"/>
    <x v="3"/>
    <n v="22"/>
  </r>
  <r>
    <x v="239"/>
    <n v="1"/>
    <x v="3"/>
    <n v="21"/>
  </r>
  <r>
    <x v="240"/>
    <n v="1"/>
    <x v="3"/>
    <n v="14"/>
  </r>
  <r>
    <x v="241"/>
    <n v="1"/>
    <x v="3"/>
    <n v="17"/>
  </r>
  <r>
    <x v="242"/>
    <n v="1"/>
    <x v="3"/>
    <n v="18"/>
  </r>
  <r>
    <x v="243"/>
    <n v="1"/>
    <x v="3"/>
    <n v="22"/>
  </r>
  <r>
    <x v="244"/>
    <n v="1"/>
    <x v="3"/>
    <n v="15"/>
  </r>
  <r>
    <x v="245"/>
    <n v="1"/>
    <x v="3"/>
    <n v="15"/>
  </r>
  <r>
    <x v="246"/>
    <n v="1"/>
    <x v="3"/>
    <n v="12"/>
  </r>
  <r>
    <x v="247"/>
    <n v="1"/>
    <x v="3"/>
    <n v="25"/>
  </r>
  <r>
    <x v="248"/>
    <n v="1"/>
    <x v="3"/>
    <n v="18"/>
  </r>
  <r>
    <x v="249"/>
    <n v="1"/>
    <x v="3"/>
    <n v="25"/>
  </r>
  <r>
    <x v="250"/>
    <n v="1"/>
    <x v="3"/>
    <n v="28"/>
  </r>
  <r>
    <x v="251"/>
    <n v="1"/>
    <x v="3"/>
    <n v="4"/>
  </r>
  <r>
    <x v="252"/>
    <n v="1"/>
    <x v="3"/>
    <n v="22"/>
  </r>
  <r>
    <x v="253"/>
    <n v="1"/>
    <x v="3"/>
    <n v="22"/>
  </r>
  <r>
    <x v="254"/>
    <n v="1"/>
    <x v="3"/>
    <n v="24"/>
  </r>
  <r>
    <x v="255"/>
    <n v="1"/>
    <x v="3"/>
    <n v="16"/>
  </r>
  <r>
    <x v="256"/>
    <n v="1"/>
    <x v="3"/>
    <n v="24"/>
  </r>
  <r>
    <x v="257"/>
    <n v="1"/>
    <x v="3"/>
    <n v="20"/>
  </r>
  <r>
    <x v="258"/>
    <n v="1"/>
    <x v="3"/>
    <n v="17"/>
  </r>
  <r>
    <x v="259"/>
    <n v="1"/>
    <x v="3"/>
    <n v="20"/>
  </r>
  <r>
    <x v="260"/>
    <n v="1"/>
    <x v="3"/>
    <n v="10"/>
  </r>
  <r>
    <x v="261"/>
    <n v="1"/>
    <x v="3"/>
    <n v="20"/>
  </r>
  <r>
    <x v="262"/>
    <n v="1"/>
    <x v="3"/>
    <n v="17"/>
  </r>
  <r>
    <x v="263"/>
    <n v="1"/>
    <x v="3"/>
    <n v="18"/>
  </r>
  <r>
    <x v="264"/>
    <n v="1"/>
    <x v="3"/>
    <n v="31"/>
  </r>
  <r>
    <x v="265"/>
    <n v="1"/>
    <x v="3"/>
    <n v="9"/>
  </r>
  <r>
    <x v="266"/>
    <n v="1"/>
    <x v="3"/>
    <n v="20"/>
  </r>
  <r>
    <x v="267"/>
    <n v="1"/>
    <x v="3"/>
    <n v="15"/>
  </r>
  <r>
    <x v="268"/>
    <n v="1"/>
    <x v="3"/>
    <n v="15"/>
  </r>
  <r>
    <x v="269"/>
    <n v="1"/>
    <x v="3"/>
    <n v="16"/>
  </r>
  <r>
    <x v="270"/>
    <n v="1"/>
    <x v="3"/>
    <n v="16"/>
  </r>
  <r>
    <x v="271"/>
    <n v="1"/>
    <x v="3"/>
    <n v="20"/>
  </r>
  <r>
    <x v="272"/>
    <n v="1"/>
    <x v="3"/>
    <n v="18"/>
  </r>
  <r>
    <x v="273"/>
    <n v="1"/>
    <x v="3"/>
    <n v="13"/>
  </r>
  <r>
    <x v="274"/>
    <n v="1"/>
    <x v="3"/>
    <n v="13"/>
  </r>
  <r>
    <x v="275"/>
    <n v="1"/>
    <x v="3"/>
    <n v="16"/>
  </r>
  <r>
    <x v="276"/>
    <n v="1"/>
    <x v="3"/>
    <n v="19"/>
  </r>
  <r>
    <x v="277"/>
    <n v="1"/>
    <x v="3"/>
    <n v="22"/>
  </r>
  <r>
    <x v="278"/>
    <n v="1"/>
    <x v="3"/>
    <n v="14"/>
  </r>
  <r>
    <x v="279"/>
    <n v="1"/>
    <x v="3"/>
    <n v="13"/>
  </r>
  <r>
    <x v="280"/>
    <n v="1"/>
    <x v="3"/>
    <n v="14"/>
  </r>
  <r>
    <x v="281"/>
    <n v="1"/>
    <x v="3"/>
    <n v="10"/>
  </r>
  <r>
    <x v="282"/>
    <n v="1"/>
    <x v="3"/>
    <n v="17"/>
  </r>
  <r>
    <x v="283"/>
    <n v="1"/>
    <x v="3"/>
    <n v="14"/>
  </r>
  <r>
    <x v="284"/>
    <n v="1"/>
    <x v="3"/>
    <n v="12"/>
  </r>
  <r>
    <x v="285"/>
    <n v="1"/>
    <x v="3"/>
    <n v="21"/>
  </r>
  <r>
    <x v="286"/>
    <n v="1"/>
    <x v="3"/>
    <n v="7"/>
  </r>
  <r>
    <x v="287"/>
    <n v="1"/>
    <x v="3"/>
    <n v="19"/>
  </r>
  <r>
    <x v="288"/>
    <n v="1"/>
    <x v="3"/>
    <n v="11"/>
  </r>
  <r>
    <x v="289"/>
    <n v="1"/>
    <x v="3"/>
    <n v="11"/>
  </r>
  <r>
    <x v="290"/>
    <n v="1"/>
    <x v="3"/>
    <n v="20"/>
  </r>
  <r>
    <x v="291"/>
    <n v="1"/>
    <x v="3"/>
    <n v="20"/>
  </r>
  <r>
    <x v="292"/>
    <n v="1"/>
    <x v="3"/>
    <n v="18"/>
  </r>
  <r>
    <x v="293"/>
    <n v="1"/>
    <x v="3"/>
    <n v="10"/>
  </r>
  <r>
    <x v="294"/>
    <n v="1"/>
    <x v="3"/>
    <n v="15"/>
  </r>
  <r>
    <x v="295"/>
    <n v="1"/>
    <x v="3"/>
    <n v="19"/>
  </r>
  <r>
    <x v="296"/>
    <n v="1"/>
    <x v="3"/>
    <n v="21"/>
  </r>
  <r>
    <x v="297"/>
    <n v="1"/>
    <x v="3"/>
    <n v="17"/>
  </r>
  <r>
    <x v="298"/>
    <n v="1"/>
    <x v="3"/>
    <n v="19"/>
  </r>
  <r>
    <x v="299"/>
    <n v="1"/>
    <x v="3"/>
    <n v="22"/>
  </r>
  <r>
    <x v="300"/>
    <n v="1"/>
    <x v="3"/>
    <n v="19"/>
  </r>
  <r>
    <x v="301"/>
    <n v="1"/>
    <x v="3"/>
    <n v="10"/>
  </r>
  <r>
    <x v="302"/>
    <n v="1"/>
    <x v="3"/>
    <n v="9"/>
  </r>
  <r>
    <x v="303"/>
    <n v="1"/>
    <x v="3"/>
    <n v="10"/>
  </r>
  <r>
    <x v="304"/>
    <n v="1"/>
    <x v="3"/>
    <n v="22"/>
  </r>
  <r>
    <x v="305"/>
    <n v="1"/>
    <x v="3"/>
    <n v="24"/>
  </r>
  <r>
    <x v="306"/>
    <n v="1"/>
    <x v="3"/>
    <n v="17"/>
  </r>
  <r>
    <x v="307"/>
    <n v="1"/>
    <x v="3"/>
    <n v="12"/>
  </r>
  <r>
    <x v="308"/>
    <n v="1"/>
    <x v="3"/>
    <n v="19"/>
  </r>
  <r>
    <x v="309"/>
    <n v="1"/>
    <x v="3"/>
    <n v="24"/>
  </r>
  <r>
    <x v="310"/>
    <n v="1"/>
    <x v="3"/>
    <n v="18"/>
  </r>
  <r>
    <x v="311"/>
    <n v="1"/>
    <x v="3"/>
    <n v="12"/>
  </r>
  <r>
    <x v="312"/>
    <n v="1"/>
    <x v="3"/>
    <n v="16"/>
  </r>
  <r>
    <x v="313"/>
    <n v="1"/>
    <x v="3"/>
    <n v="14"/>
  </r>
  <r>
    <x v="314"/>
    <n v="1"/>
    <x v="3"/>
    <n v="12"/>
  </r>
  <r>
    <x v="315"/>
    <n v="1"/>
    <x v="3"/>
    <n v="16"/>
  </r>
  <r>
    <x v="316"/>
    <n v="1"/>
    <x v="3"/>
    <n v="11"/>
  </r>
  <r>
    <x v="317"/>
    <n v="1"/>
    <x v="3"/>
    <n v="18"/>
  </r>
  <r>
    <x v="318"/>
    <n v="1"/>
    <x v="3"/>
    <n v="13"/>
  </r>
  <r>
    <x v="319"/>
    <n v="1"/>
    <x v="3"/>
    <n v="25"/>
  </r>
  <r>
    <x v="320"/>
    <n v="1"/>
    <x v="3"/>
    <n v="28"/>
  </r>
  <r>
    <x v="321"/>
    <n v="1"/>
    <x v="3"/>
    <n v="9"/>
  </r>
  <r>
    <x v="322"/>
    <n v="1"/>
    <x v="3"/>
    <n v="18"/>
  </r>
  <r>
    <x v="323"/>
    <n v="1"/>
    <x v="3"/>
    <n v="17"/>
  </r>
  <r>
    <x v="324"/>
    <n v="1"/>
    <x v="3"/>
    <n v="17"/>
  </r>
  <r>
    <x v="325"/>
    <n v="1"/>
    <x v="3"/>
    <n v="19"/>
  </r>
  <r>
    <x v="326"/>
    <n v="1"/>
    <x v="3"/>
    <n v="21"/>
  </r>
  <r>
    <x v="327"/>
    <n v="1"/>
    <x v="3"/>
    <n v="19"/>
  </r>
  <r>
    <x v="328"/>
    <n v="1"/>
    <x v="3"/>
    <n v="11"/>
  </r>
  <r>
    <x v="329"/>
    <n v="1"/>
    <x v="3"/>
    <n v="12"/>
  </r>
  <r>
    <x v="330"/>
    <n v="1"/>
    <x v="3"/>
    <n v="16"/>
  </r>
  <r>
    <x v="331"/>
    <n v="1"/>
    <x v="3"/>
    <n v="29"/>
  </r>
  <r>
    <x v="332"/>
    <n v="1"/>
    <x v="3"/>
    <n v="12"/>
  </r>
  <r>
    <x v="333"/>
    <n v="1"/>
    <x v="3"/>
    <n v="18"/>
  </r>
  <r>
    <x v="334"/>
    <n v="1"/>
    <x v="3"/>
    <n v="17"/>
  </r>
  <r>
    <x v="335"/>
    <n v="1"/>
    <x v="3"/>
    <n v="8"/>
  </r>
  <r>
    <x v="336"/>
    <n v="1"/>
    <x v="3"/>
    <n v="13"/>
  </r>
  <r>
    <x v="337"/>
    <n v="1"/>
    <x v="3"/>
    <n v="17"/>
  </r>
  <r>
    <x v="338"/>
    <n v="1"/>
    <x v="3"/>
    <n v="11"/>
  </r>
  <r>
    <x v="339"/>
    <n v="1"/>
    <x v="3"/>
    <n v="12"/>
  </r>
  <r>
    <x v="340"/>
    <n v="1"/>
    <x v="3"/>
    <n v="20"/>
  </r>
  <r>
    <x v="341"/>
    <n v="1"/>
    <x v="3"/>
    <n v="12"/>
  </r>
  <r>
    <x v="342"/>
    <n v="1"/>
    <x v="3"/>
    <n v="13"/>
  </r>
  <r>
    <x v="343"/>
    <n v="1"/>
    <x v="3"/>
    <n v="5"/>
  </r>
  <r>
    <x v="344"/>
    <n v="1"/>
    <x v="3"/>
    <n v="6"/>
  </r>
  <r>
    <x v="345"/>
    <n v="1"/>
    <x v="3"/>
    <n v="13"/>
  </r>
  <r>
    <x v="346"/>
    <n v="1"/>
    <x v="3"/>
    <n v="15"/>
  </r>
  <r>
    <x v="347"/>
    <n v="1"/>
    <x v="3"/>
    <n v="13"/>
  </r>
  <r>
    <x v="348"/>
    <n v="1"/>
    <x v="3"/>
    <n v="15"/>
  </r>
  <r>
    <x v="349"/>
    <n v="1"/>
    <x v="3"/>
    <n v="7"/>
  </r>
  <r>
    <x v="350"/>
    <n v="1"/>
    <x v="3"/>
    <n v="9"/>
  </r>
  <r>
    <x v="351"/>
    <n v="1"/>
    <x v="3"/>
    <n v="8"/>
  </r>
  <r>
    <x v="352"/>
    <n v="1"/>
    <x v="3"/>
    <n v="15"/>
  </r>
  <r>
    <x v="353"/>
    <n v="1"/>
    <x v="3"/>
    <n v="15"/>
  </r>
  <r>
    <x v="354"/>
    <n v="1"/>
    <x v="3"/>
    <n v="12"/>
  </r>
  <r>
    <x v="355"/>
    <n v="1"/>
    <x v="3"/>
    <n v="13"/>
  </r>
  <r>
    <x v="356"/>
    <n v="1"/>
    <x v="3"/>
    <n v="9"/>
  </r>
  <r>
    <x v="357"/>
    <n v="1"/>
    <x v="3"/>
    <n v="14"/>
  </r>
  <r>
    <x v="358"/>
    <n v="1"/>
    <x v="3"/>
    <n v="10"/>
  </r>
  <r>
    <x v="359"/>
    <n v="1"/>
    <x v="3"/>
    <n v="15"/>
  </r>
  <r>
    <x v="360"/>
    <n v="1"/>
    <x v="3"/>
    <n v="11"/>
  </r>
  <r>
    <x v="361"/>
    <n v="1"/>
    <x v="3"/>
    <n v="22"/>
  </r>
  <r>
    <x v="362"/>
    <n v="1"/>
    <x v="3"/>
    <n v="21"/>
  </r>
  <r>
    <x v="363"/>
    <n v="1"/>
    <x v="3"/>
    <n v="13"/>
  </r>
  <r>
    <x v="364"/>
    <n v="1"/>
    <x v="3"/>
    <n v="9"/>
  </r>
  <r>
    <x v="365"/>
    <n v="1"/>
    <x v="3"/>
    <n v="9"/>
  </r>
  <r>
    <x v="366"/>
    <n v="1"/>
    <x v="3"/>
    <n v="7"/>
  </r>
  <r>
    <x v="367"/>
    <n v="1"/>
    <x v="3"/>
    <n v="10"/>
  </r>
  <r>
    <x v="368"/>
    <n v="1"/>
    <x v="3"/>
    <n v="14"/>
  </r>
  <r>
    <x v="369"/>
    <n v="1"/>
    <x v="3"/>
    <n v="14"/>
  </r>
  <r>
    <x v="370"/>
    <n v="1"/>
    <x v="3"/>
    <n v="14"/>
  </r>
  <r>
    <x v="371"/>
    <n v="1"/>
    <x v="3"/>
    <n v="9"/>
  </r>
  <r>
    <x v="372"/>
    <n v="1"/>
    <x v="3"/>
    <n v="10"/>
  </r>
  <r>
    <x v="373"/>
    <n v="1"/>
    <x v="3"/>
    <n v="13"/>
  </r>
  <r>
    <x v="374"/>
    <n v="1"/>
    <x v="3"/>
    <n v="14"/>
  </r>
  <r>
    <x v="375"/>
    <n v="1"/>
    <x v="3"/>
    <n v="21"/>
  </r>
  <r>
    <x v="376"/>
    <n v="1"/>
    <x v="3"/>
    <n v="15"/>
  </r>
  <r>
    <x v="377"/>
    <n v="1"/>
    <x v="3"/>
    <n v="4"/>
  </r>
  <r>
    <x v="378"/>
    <n v="1"/>
    <x v="3"/>
    <n v="9"/>
  </r>
  <r>
    <x v="379"/>
    <n v="1"/>
    <x v="3"/>
    <n v="18"/>
  </r>
  <r>
    <x v="380"/>
    <n v="1"/>
    <x v="3"/>
    <n v="8"/>
  </r>
  <r>
    <x v="381"/>
    <n v="1"/>
    <x v="3"/>
    <n v="11"/>
  </r>
  <r>
    <x v="382"/>
    <n v="1"/>
    <x v="3"/>
    <n v="15"/>
  </r>
  <r>
    <x v="383"/>
    <n v="1"/>
    <x v="3"/>
    <n v="17"/>
  </r>
  <r>
    <x v="384"/>
    <n v="1"/>
    <x v="3"/>
    <n v="10"/>
  </r>
  <r>
    <x v="385"/>
    <n v="1"/>
    <x v="3"/>
    <n v="12"/>
  </r>
  <r>
    <x v="386"/>
    <n v="1"/>
    <x v="3"/>
    <n v="10"/>
  </r>
  <r>
    <x v="387"/>
    <n v="1"/>
    <x v="3"/>
    <n v="6"/>
  </r>
  <r>
    <x v="388"/>
    <n v="1"/>
    <x v="3"/>
    <n v="18"/>
  </r>
  <r>
    <x v="389"/>
    <n v="1"/>
    <x v="3"/>
    <n v="11"/>
  </r>
  <r>
    <x v="390"/>
    <n v="1"/>
    <x v="3"/>
    <n v="15"/>
  </r>
  <r>
    <x v="391"/>
    <n v="1"/>
    <x v="3"/>
    <n v="11"/>
  </r>
  <r>
    <x v="392"/>
    <n v="1"/>
    <x v="3"/>
    <n v="7"/>
  </r>
  <r>
    <x v="393"/>
    <n v="1"/>
    <x v="3"/>
    <n v="7"/>
  </r>
  <r>
    <x v="394"/>
    <n v="1"/>
    <x v="3"/>
    <n v="17"/>
  </r>
  <r>
    <x v="395"/>
    <n v="1"/>
    <x v="3"/>
    <n v="10"/>
  </r>
  <r>
    <x v="396"/>
    <n v="1"/>
    <x v="3"/>
    <n v="24"/>
  </r>
  <r>
    <x v="397"/>
    <n v="1"/>
    <x v="3"/>
    <n v="15"/>
  </r>
  <r>
    <x v="398"/>
    <n v="1"/>
    <x v="3"/>
    <n v="13"/>
  </r>
  <r>
    <x v="399"/>
    <n v="1"/>
    <x v="3"/>
    <n v="19"/>
  </r>
  <r>
    <x v="400"/>
    <n v="1"/>
    <x v="3"/>
    <n v="14"/>
  </r>
  <r>
    <x v="401"/>
    <n v="1"/>
    <x v="3"/>
    <n v="12"/>
  </r>
  <r>
    <x v="402"/>
    <n v="1"/>
    <x v="3"/>
    <n v="15"/>
  </r>
  <r>
    <x v="403"/>
    <n v="1"/>
    <x v="3"/>
    <n v="13"/>
  </r>
  <r>
    <x v="404"/>
    <n v="1"/>
    <x v="3"/>
    <n v="19"/>
  </r>
  <r>
    <x v="405"/>
    <n v="1"/>
    <x v="3"/>
    <n v="8"/>
  </r>
  <r>
    <x v="406"/>
    <n v="1"/>
    <x v="3"/>
    <n v="13"/>
  </r>
  <r>
    <x v="407"/>
    <n v="1"/>
    <x v="3"/>
    <n v="6"/>
  </r>
  <r>
    <x v="408"/>
    <n v="1"/>
    <x v="3"/>
    <n v="17"/>
  </r>
  <r>
    <x v="409"/>
    <n v="1"/>
    <x v="3"/>
    <n v="24"/>
  </r>
  <r>
    <x v="410"/>
    <n v="1"/>
    <x v="3"/>
    <n v="19"/>
  </r>
  <r>
    <x v="411"/>
    <n v="1"/>
    <x v="3"/>
    <n v="20"/>
  </r>
  <r>
    <x v="412"/>
    <n v="1"/>
    <x v="3"/>
    <n v="14"/>
  </r>
  <r>
    <x v="413"/>
    <n v="1"/>
    <x v="3"/>
    <n v="18"/>
  </r>
  <r>
    <x v="414"/>
    <n v="1"/>
    <x v="3"/>
    <n v="14"/>
  </r>
  <r>
    <x v="415"/>
    <n v="1"/>
    <x v="3"/>
    <n v="17"/>
  </r>
  <r>
    <x v="416"/>
    <n v="1"/>
    <x v="3"/>
    <n v="15"/>
  </r>
  <r>
    <x v="417"/>
    <n v="1"/>
    <x v="3"/>
    <n v="15"/>
  </r>
  <r>
    <x v="418"/>
    <n v="1"/>
    <x v="3"/>
    <n v="19"/>
  </r>
  <r>
    <x v="419"/>
    <n v="1"/>
    <x v="3"/>
    <n v="16"/>
  </r>
  <r>
    <x v="420"/>
    <n v="1"/>
    <x v="3"/>
    <n v="9"/>
  </r>
  <r>
    <x v="421"/>
    <n v="1"/>
    <x v="3"/>
    <n v="10"/>
  </r>
  <r>
    <x v="422"/>
    <n v="1"/>
    <x v="3"/>
    <n v="9"/>
  </r>
  <r>
    <x v="423"/>
    <n v="1"/>
    <x v="3"/>
    <n v="8"/>
  </r>
  <r>
    <x v="424"/>
    <n v="1"/>
    <x v="3"/>
    <n v="19"/>
  </r>
  <r>
    <x v="425"/>
    <n v="1"/>
    <x v="3"/>
    <n v="22"/>
  </r>
  <r>
    <x v="426"/>
    <n v="1"/>
    <x v="3"/>
    <n v="14"/>
  </r>
  <r>
    <x v="427"/>
    <n v="1"/>
    <x v="3"/>
    <n v="19"/>
  </r>
  <r>
    <x v="428"/>
    <n v="1"/>
    <x v="3"/>
    <n v="15"/>
  </r>
  <r>
    <x v="429"/>
    <n v="1"/>
    <x v="3"/>
    <n v="14"/>
  </r>
  <r>
    <x v="430"/>
    <n v="1"/>
    <x v="3"/>
    <n v="15"/>
  </r>
  <r>
    <x v="431"/>
    <n v="1"/>
    <x v="3"/>
    <n v="15"/>
  </r>
  <r>
    <x v="432"/>
    <n v="1"/>
    <x v="3"/>
    <n v="14"/>
  </r>
  <r>
    <x v="433"/>
    <n v="1"/>
    <x v="3"/>
    <n v="15"/>
  </r>
  <r>
    <x v="434"/>
    <n v="1"/>
    <x v="3"/>
    <n v="16"/>
  </r>
  <r>
    <x v="435"/>
    <n v="1"/>
    <x v="3"/>
    <n v="16"/>
  </r>
  <r>
    <x v="436"/>
    <n v="1"/>
    <x v="3"/>
    <n v="20"/>
  </r>
  <r>
    <x v="437"/>
    <n v="1"/>
    <x v="3"/>
    <n v="15"/>
  </r>
  <r>
    <x v="438"/>
    <n v="1"/>
    <x v="3"/>
    <n v="27"/>
  </r>
  <r>
    <x v="439"/>
    <n v="1"/>
    <x v="3"/>
    <n v="13"/>
  </r>
  <r>
    <x v="440"/>
    <n v="1"/>
    <x v="3"/>
    <n v="20"/>
  </r>
  <r>
    <x v="441"/>
    <n v="1"/>
    <x v="3"/>
    <n v="9"/>
  </r>
  <r>
    <x v="442"/>
    <n v="1"/>
    <x v="3"/>
    <n v="20"/>
  </r>
  <r>
    <x v="443"/>
    <n v="1"/>
    <x v="3"/>
    <n v="20"/>
  </r>
  <r>
    <x v="444"/>
    <n v="1"/>
    <x v="3"/>
    <n v="20"/>
  </r>
  <r>
    <x v="445"/>
    <n v="1"/>
    <x v="3"/>
    <n v="15"/>
  </r>
  <r>
    <x v="446"/>
    <n v="1"/>
    <x v="3"/>
    <n v="16"/>
  </r>
  <r>
    <x v="447"/>
    <n v="1"/>
    <x v="3"/>
    <n v="18"/>
  </r>
  <r>
    <x v="448"/>
    <n v="1"/>
    <x v="3"/>
    <n v="13"/>
  </r>
  <r>
    <x v="449"/>
    <n v="1"/>
    <x v="3"/>
    <n v="18"/>
  </r>
  <r>
    <x v="450"/>
    <n v="1"/>
    <x v="3"/>
    <n v="20"/>
  </r>
  <r>
    <x v="451"/>
    <n v="1"/>
    <x v="3"/>
    <n v="19"/>
  </r>
  <r>
    <x v="452"/>
    <n v="1"/>
    <x v="3"/>
    <n v="22"/>
  </r>
  <r>
    <x v="453"/>
    <n v="1"/>
    <x v="3"/>
    <n v="18"/>
  </r>
  <r>
    <x v="454"/>
    <n v="1"/>
    <x v="3"/>
    <n v="7"/>
  </r>
  <r>
    <x v="455"/>
    <n v="1"/>
    <x v="3"/>
    <n v="22"/>
  </r>
  <r>
    <x v="456"/>
    <n v="1"/>
    <x v="3"/>
    <n v="24"/>
  </r>
  <r>
    <x v="457"/>
    <n v="1"/>
    <x v="3"/>
    <n v="22"/>
  </r>
  <r>
    <x v="458"/>
    <n v="1"/>
    <x v="3"/>
    <n v="24"/>
  </r>
  <r>
    <x v="459"/>
    <n v="1"/>
    <x v="3"/>
    <n v="38"/>
  </r>
  <r>
    <x v="460"/>
    <n v="1"/>
    <x v="3"/>
    <n v="23"/>
  </r>
  <r>
    <x v="461"/>
    <n v="1"/>
    <x v="3"/>
    <n v="20"/>
  </r>
  <r>
    <x v="462"/>
    <n v="1"/>
    <x v="3"/>
    <n v="12"/>
  </r>
  <r>
    <x v="463"/>
    <n v="1"/>
    <x v="3"/>
    <n v="23"/>
  </r>
  <r>
    <x v="464"/>
    <n v="1"/>
    <x v="3"/>
    <n v="18"/>
  </r>
  <r>
    <x v="465"/>
    <n v="1"/>
    <x v="3"/>
    <n v="32"/>
  </r>
  <r>
    <x v="466"/>
    <n v="1"/>
    <x v="3"/>
    <n v="17"/>
  </r>
  <r>
    <x v="467"/>
    <n v="1"/>
    <x v="3"/>
    <n v="26"/>
  </r>
  <r>
    <x v="468"/>
    <n v="1"/>
    <x v="3"/>
    <n v="8"/>
  </r>
  <r>
    <x v="469"/>
    <n v="1"/>
    <x v="3"/>
    <n v="11"/>
  </r>
  <r>
    <x v="470"/>
    <n v="1"/>
    <x v="3"/>
    <n v="25"/>
  </r>
  <r>
    <x v="471"/>
    <n v="1"/>
    <x v="3"/>
    <n v="20"/>
  </r>
  <r>
    <x v="472"/>
    <n v="1"/>
    <x v="3"/>
    <n v="17"/>
  </r>
  <r>
    <x v="473"/>
    <n v="1"/>
    <x v="3"/>
    <n v="27"/>
  </r>
  <r>
    <x v="474"/>
    <n v="1"/>
    <x v="3"/>
    <n v="29"/>
  </r>
  <r>
    <x v="475"/>
    <n v="1"/>
    <x v="3"/>
    <n v="13"/>
  </r>
  <r>
    <x v="476"/>
    <n v="1"/>
    <x v="3"/>
    <n v="23"/>
  </r>
  <r>
    <x v="477"/>
    <n v="1"/>
    <x v="3"/>
    <n v="18"/>
  </r>
  <r>
    <x v="478"/>
    <n v="1"/>
    <x v="3"/>
    <n v="14"/>
  </r>
  <r>
    <x v="479"/>
    <n v="1"/>
    <x v="3"/>
    <n v="21"/>
  </r>
  <r>
    <x v="480"/>
    <n v="1"/>
    <x v="3"/>
    <n v="26"/>
  </r>
  <r>
    <x v="481"/>
    <n v="1"/>
    <x v="3"/>
    <n v="23"/>
  </r>
  <r>
    <x v="482"/>
    <n v="1"/>
    <x v="3"/>
    <n v="21"/>
  </r>
  <r>
    <x v="483"/>
    <n v="1"/>
    <x v="3"/>
    <n v="14"/>
  </r>
  <r>
    <x v="484"/>
    <n v="1"/>
    <x v="3"/>
    <n v="20"/>
  </r>
  <r>
    <x v="485"/>
    <n v="1"/>
    <x v="3"/>
    <n v="21"/>
  </r>
  <r>
    <x v="486"/>
    <n v="1"/>
    <x v="3"/>
    <n v="20"/>
  </r>
  <r>
    <x v="487"/>
    <n v="1"/>
    <x v="3"/>
    <n v="35"/>
  </r>
  <r>
    <x v="488"/>
    <n v="1"/>
    <x v="3"/>
    <n v="22"/>
  </r>
  <r>
    <x v="489"/>
    <n v="1"/>
    <x v="3"/>
    <n v="14"/>
  </r>
  <r>
    <x v="490"/>
    <n v="1"/>
    <x v="3"/>
    <n v="16"/>
  </r>
  <r>
    <x v="491"/>
    <n v="1"/>
    <x v="3"/>
    <n v="18"/>
  </r>
  <r>
    <x v="492"/>
    <n v="1"/>
    <x v="3"/>
    <n v="32"/>
  </r>
  <r>
    <x v="493"/>
    <n v="1"/>
    <x v="3"/>
    <n v="20"/>
  </r>
  <r>
    <x v="494"/>
    <n v="1"/>
    <x v="3"/>
    <n v="14"/>
  </r>
  <r>
    <x v="495"/>
    <n v="1"/>
    <x v="3"/>
    <n v="21"/>
  </r>
  <r>
    <x v="496"/>
    <n v="1"/>
    <x v="3"/>
    <n v="17"/>
  </r>
  <r>
    <x v="497"/>
    <n v="1"/>
    <x v="3"/>
    <n v="20"/>
  </r>
  <r>
    <x v="498"/>
    <n v="1"/>
    <x v="3"/>
    <n v="18"/>
  </r>
  <r>
    <x v="499"/>
    <n v="1"/>
    <x v="3"/>
    <n v="22"/>
  </r>
  <r>
    <x v="500"/>
    <n v="1"/>
    <x v="3"/>
    <n v="20"/>
  </r>
  <r>
    <x v="501"/>
    <n v="1"/>
    <x v="3"/>
    <n v="21"/>
  </r>
  <r>
    <x v="502"/>
    <n v="1"/>
    <x v="3"/>
    <n v="29"/>
  </r>
  <r>
    <x v="503"/>
    <n v="1"/>
    <x v="3"/>
    <n v="14"/>
  </r>
  <r>
    <x v="504"/>
    <n v="1"/>
    <x v="3"/>
    <n v="14"/>
  </r>
  <r>
    <x v="505"/>
    <n v="1"/>
    <x v="3"/>
    <n v="14"/>
  </r>
  <r>
    <x v="506"/>
    <n v="1"/>
    <x v="3"/>
    <n v="16"/>
  </r>
  <r>
    <x v="507"/>
    <n v="1"/>
    <x v="3"/>
    <n v="27"/>
  </r>
  <r>
    <x v="508"/>
    <n v="1"/>
    <x v="3"/>
    <n v="24"/>
  </r>
  <r>
    <x v="509"/>
    <n v="1"/>
    <x v="3"/>
    <n v="27"/>
  </r>
  <r>
    <x v="510"/>
    <n v="1"/>
    <x v="3"/>
    <n v="17"/>
  </r>
  <r>
    <x v="511"/>
    <n v="1"/>
    <x v="3"/>
    <n v="20"/>
  </r>
  <r>
    <x v="512"/>
    <n v="1"/>
    <x v="3"/>
    <n v="22"/>
  </r>
  <r>
    <x v="513"/>
    <n v="1"/>
    <x v="3"/>
    <n v="21"/>
  </r>
  <r>
    <x v="514"/>
    <n v="1"/>
    <x v="3"/>
    <n v="29"/>
  </r>
  <r>
    <x v="515"/>
    <n v="1"/>
    <x v="3"/>
    <n v="20"/>
  </r>
  <r>
    <x v="516"/>
    <n v="1"/>
    <x v="3"/>
    <n v="25"/>
  </r>
  <r>
    <x v="517"/>
    <n v="1"/>
    <x v="3"/>
    <n v="17"/>
  </r>
  <r>
    <x v="518"/>
    <n v="1"/>
    <x v="3"/>
    <n v="24"/>
  </r>
  <r>
    <x v="519"/>
    <n v="1"/>
    <x v="3"/>
    <n v="20"/>
  </r>
  <r>
    <x v="520"/>
    <n v="1"/>
    <x v="3"/>
    <n v="15"/>
  </r>
  <r>
    <x v="521"/>
    <n v="1"/>
    <x v="3"/>
    <n v="26"/>
  </r>
  <r>
    <x v="522"/>
    <n v="1"/>
    <x v="3"/>
    <n v="27"/>
  </r>
  <r>
    <x v="523"/>
    <n v="1"/>
    <x v="3"/>
    <n v="27"/>
  </r>
  <r>
    <x v="524"/>
    <n v="1"/>
    <x v="3"/>
    <n v="25"/>
  </r>
  <r>
    <x v="525"/>
    <n v="1"/>
    <x v="3"/>
    <n v="22"/>
  </r>
  <r>
    <x v="526"/>
    <n v="1"/>
    <x v="3"/>
    <n v="21"/>
  </r>
  <r>
    <x v="527"/>
    <n v="1"/>
    <x v="3"/>
    <n v="24"/>
  </r>
  <r>
    <x v="528"/>
    <n v="1"/>
    <x v="3"/>
    <n v="22"/>
  </r>
  <r>
    <x v="529"/>
    <n v="1"/>
    <x v="3"/>
    <n v="35"/>
  </r>
  <r>
    <x v="530"/>
    <n v="1"/>
    <x v="3"/>
    <n v="24"/>
  </r>
  <r>
    <x v="531"/>
    <n v="1"/>
    <x v="3"/>
    <n v="19"/>
  </r>
  <r>
    <x v="532"/>
    <n v="1"/>
    <x v="3"/>
    <n v="25"/>
  </r>
  <r>
    <x v="533"/>
    <n v="1"/>
    <x v="3"/>
    <n v="18"/>
  </r>
  <r>
    <x v="534"/>
    <n v="1"/>
    <x v="3"/>
    <n v="28"/>
  </r>
  <r>
    <x v="535"/>
    <n v="1"/>
    <x v="3"/>
    <n v="23"/>
  </r>
  <r>
    <x v="536"/>
    <n v="1"/>
    <x v="3"/>
    <n v="24"/>
  </r>
  <r>
    <x v="537"/>
    <n v="1"/>
    <x v="3"/>
    <n v="20"/>
  </r>
  <r>
    <x v="538"/>
    <n v="1"/>
    <x v="3"/>
    <n v="15"/>
  </r>
  <r>
    <x v="539"/>
    <n v="1"/>
    <x v="3"/>
    <n v="28"/>
  </r>
  <r>
    <x v="540"/>
    <n v="1"/>
    <x v="3"/>
    <n v="25"/>
  </r>
  <r>
    <x v="541"/>
    <n v="1"/>
    <x v="3"/>
    <n v="21"/>
  </r>
  <r>
    <x v="542"/>
    <n v="1"/>
    <x v="3"/>
    <n v="23"/>
  </r>
  <r>
    <x v="543"/>
    <n v="1"/>
    <x v="3"/>
    <n v="23"/>
  </r>
  <r>
    <x v="544"/>
    <n v="1"/>
    <x v="3"/>
    <n v="29"/>
  </r>
  <r>
    <x v="545"/>
    <n v="1"/>
    <x v="3"/>
    <n v="18"/>
  </r>
  <r>
    <x v="546"/>
    <n v="1"/>
    <x v="3"/>
    <n v="19"/>
  </r>
  <r>
    <x v="547"/>
    <n v="1"/>
    <x v="3"/>
    <n v="24"/>
  </r>
  <r>
    <x v="548"/>
    <n v="1"/>
    <x v="3"/>
    <n v="21"/>
  </r>
  <r>
    <x v="549"/>
    <n v="1"/>
    <x v="3"/>
    <n v="30"/>
  </r>
  <r>
    <x v="550"/>
    <n v="1"/>
    <x v="3"/>
    <n v="31"/>
  </r>
  <r>
    <x v="551"/>
    <n v="1"/>
    <x v="3"/>
    <n v="28"/>
  </r>
  <r>
    <x v="552"/>
    <n v="1"/>
    <x v="3"/>
    <n v="19"/>
  </r>
  <r>
    <x v="553"/>
    <n v="1"/>
    <x v="3"/>
    <n v="29"/>
  </r>
  <r>
    <x v="554"/>
    <n v="1"/>
    <x v="3"/>
    <n v="21"/>
  </r>
  <r>
    <x v="555"/>
    <n v="1"/>
    <x v="3"/>
    <n v="32"/>
  </r>
  <r>
    <x v="556"/>
    <n v="1"/>
    <x v="3"/>
    <n v="29"/>
  </r>
  <r>
    <x v="557"/>
    <n v="1"/>
    <x v="3"/>
    <n v="29"/>
  </r>
  <r>
    <x v="558"/>
    <n v="1"/>
    <x v="3"/>
    <n v="22"/>
  </r>
  <r>
    <x v="559"/>
    <n v="1"/>
    <x v="3"/>
    <n v="25"/>
  </r>
  <r>
    <x v="560"/>
    <n v="1"/>
    <x v="3"/>
    <n v="22"/>
  </r>
  <r>
    <x v="561"/>
    <n v="1"/>
    <x v="3"/>
    <n v="21"/>
  </r>
  <r>
    <x v="562"/>
    <n v="1"/>
    <x v="3"/>
    <n v="26"/>
  </r>
  <r>
    <x v="563"/>
    <n v="1"/>
    <x v="3"/>
    <n v="21"/>
  </r>
  <r>
    <x v="564"/>
    <n v="1"/>
    <x v="3"/>
    <n v="32"/>
  </r>
  <r>
    <x v="565"/>
    <n v="1"/>
    <x v="3"/>
    <n v="40"/>
  </r>
  <r>
    <x v="566"/>
    <n v="1"/>
    <x v="3"/>
    <n v="20"/>
  </r>
  <r>
    <x v="567"/>
    <n v="1"/>
    <x v="3"/>
    <n v="32"/>
  </r>
  <r>
    <x v="568"/>
    <n v="1"/>
    <x v="3"/>
    <n v="26"/>
  </r>
  <r>
    <x v="569"/>
    <n v="1"/>
    <x v="3"/>
    <n v="23"/>
  </r>
  <r>
    <x v="570"/>
    <n v="1"/>
    <x v="3"/>
    <n v="31"/>
  </r>
  <r>
    <x v="571"/>
    <n v="1"/>
    <x v="3"/>
    <n v="30"/>
  </r>
  <r>
    <x v="572"/>
    <n v="1"/>
    <x v="3"/>
    <n v="29"/>
  </r>
  <r>
    <x v="573"/>
    <n v="1"/>
    <x v="3"/>
    <n v="14"/>
  </r>
  <r>
    <x v="574"/>
    <n v="1"/>
    <x v="3"/>
    <n v="17"/>
  </r>
  <r>
    <x v="575"/>
    <n v="1"/>
    <x v="3"/>
    <n v="25"/>
  </r>
  <r>
    <x v="576"/>
    <n v="1"/>
    <x v="3"/>
    <n v="23"/>
  </r>
  <r>
    <x v="577"/>
    <n v="1"/>
    <x v="3"/>
    <n v="21"/>
  </r>
  <r>
    <x v="578"/>
    <n v="1"/>
    <x v="3"/>
    <n v="18"/>
  </r>
  <r>
    <x v="579"/>
    <n v="1"/>
    <x v="3"/>
    <n v="38"/>
  </r>
  <r>
    <x v="580"/>
    <n v="1"/>
    <x v="3"/>
    <n v="20"/>
  </r>
  <r>
    <x v="581"/>
    <n v="1"/>
    <x v="3"/>
    <n v="23"/>
  </r>
  <r>
    <x v="582"/>
    <n v="1"/>
    <x v="3"/>
    <n v="24"/>
  </r>
  <r>
    <x v="583"/>
    <n v="1"/>
    <x v="3"/>
    <n v="25"/>
  </r>
  <r>
    <x v="584"/>
    <n v="1"/>
    <x v="3"/>
    <n v="17"/>
  </r>
  <r>
    <x v="585"/>
    <n v="1"/>
    <x v="3"/>
    <n v="23"/>
  </r>
  <r>
    <x v="586"/>
    <n v="1"/>
    <x v="3"/>
    <n v="35"/>
  </r>
  <r>
    <x v="587"/>
    <n v="1"/>
    <x v="3"/>
    <n v="18"/>
  </r>
  <r>
    <x v="588"/>
    <n v="1"/>
    <x v="3"/>
    <n v="27"/>
  </r>
  <r>
    <x v="589"/>
    <n v="1"/>
    <x v="3"/>
    <n v="22"/>
  </r>
  <r>
    <x v="590"/>
    <n v="1"/>
    <x v="3"/>
    <n v="31"/>
  </r>
  <r>
    <x v="591"/>
    <n v="1"/>
    <x v="3"/>
    <n v="19"/>
  </r>
  <r>
    <x v="592"/>
    <n v="1"/>
    <x v="3"/>
    <n v="23"/>
  </r>
  <r>
    <x v="593"/>
    <n v="1"/>
    <x v="3"/>
    <n v="22"/>
  </r>
  <r>
    <x v="594"/>
    <n v="1"/>
    <x v="3"/>
    <n v="12"/>
  </r>
  <r>
    <x v="595"/>
    <n v="1"/>
    <x v="3"/>
    <n v="23"/>
  </r>
  <r>
    <x v="596"/>
    <n v="1"/>
    <x v="3"/>
    <n v="27"/>
  </r>
  <r>
    <x v="597"/>
    <n v="1"/>
    <x v="3"/>
    <n v="25"/>
  </r>
  <r>
    <x v="598"/>
    <n v="1"/>
    <x v="3"/>
    <n v="15"/>
  </r>
  <r>
    <x v="599"/>
    <n v="1"/>
    <x v="3"/>
    <n v="32"/>
  </r>
  <r>
    <x v="600"/>
    <n v="1"/>
    <x v="3"/>
    <n v="26"/>
  </r>
  <r>
    <x v="601"/>
    <n v="1"/>
    <x v="3"/>
    <n v="14"/>
  </r>
  <r>
    <x v="602"/>
    <n v="1"/>
    <x v="3"/>
    <n v="18"/>
  </r>
  <r>
    <x v="603"/>
    <n v="1"/>
    <x v="3"/>
    <n v="15"/>
  </r>
  <r>
    <x v="604"/>
    <n v="1"/>
    <x v="3"/>
    <n v="22"/>
  </r>
  <r>
    <x v="605"/>
    <n v="1"/>
    <x v="3"/>
    <n v="22"/>
  </r>
  <r>
    <x v="606"/>
    <n v="1"/>
    <x v="3"/>
    <n v="20"/>
  </r>
  <r>
    <x v="607"/>
    <n v="1"/>
    <x v="3"/>
    <n v="28"/>
  </r>
  <r>
    <x v="608"/>
    <n v="1"/>
    <x v="3"/>
    <n v="16"/>
  </r>
  <r>
    <x v="609"/>
    <n v="1"/>
    <x v="3"/>
    <n v="14"/>
  </r>
  <r>
    <x v="610"/>
    <n v="1"/>
    <x v="3"/>
    <n v="15"/>
  </r>
  <r>
    <x v="611"/>
    <n v="1"/>
    <x v="3"/>
    <n v="24"/>
  </r>
  <r>
    <x v="612"/>
    <n v="1"/>
    <x v="3"/>
    <n v="26"/>
  </r>
  <r>
    <x v="613"/>
    <n v="1"/>
    <x v="3"/>
    <n v="25"/>
  </r>
  <r>
    <x v="614"/>
    <n v="1"/>
    <x v="3"/>
    <n v="29"/>
  </r>
  <r>
    <x v="615"/>
    <n v="1"/>
    <x v="3"/>
    <n v="15"/>
  </r>
  <r>
    <x v="616"/>
    <n v="1"/>
    <x v="3"/>
    <n v="16"/>
  </r>
  <r>
    <x v="617"/>
    <n v="1"/>
    <x v="3"/>
    <n v="23"/>
  </r>
  <r>
    <x v="618"/>
    <n v="1"/>
    <x v="3"/>
    <n v="25"/>
  </r>
  <r>
    <x v="619"/>
    <n v="1"/>
    <x v="3"/>
    <n v="16"/>
  </r>
  <r>
    <x v="620"/>
    <n v="1"/>
    <x v="3"/>
    <n v="30"/>
  </r>
  <r>
    <x v="621"/>
    <n v="1"/>
    <x v="3"/>
    <n v="24"/>
  </r>
  <r>
    <x v="622"/>
    <n v="1"/>
    <x v="3"/>
    <n v="24"/>
  </r>
  <r>
    <x v="623"/>
    <n v="1"/>
    <x v="3"/>
    <n v="18"/>
  </r>
  <r>
    <x v="624"/>
    <n v="1"/>
    <x v="3"/>
    <n v="16"/>
  </r>
  <r>
    <x v="625"/>
    <n v="1"/>
    <x v="3"/>
    <n v="18"/>
  </r>
  <r>
    <x v="626"/>
    <n v="1"/>
    <x v="3"/>
    <n v="18"/>
  </r>
  <r>
    <x v="627"/>
    <n v="1"/>
    <x v="3"/>
    <n v="20"/>
  </r>
  <r>
    <x v="628"/>
    <n v="1"/>
    <x v="3"/>
    <n v="26"/>
  </r>
  <r>
    <x v="629"/>
    <n v="1"/>
    <x v="3"/>
    <n v="11"/>
  </r>
  <r>
    <x v="630"/>
    <n v="1"/>
    <x v="3"/>
    <n v="17"/>
  </r>
  <r>
    <x v="631"/>
    <n v="1"/>
    <x v="3"/>
    <n v="24"/>
  </r>
  <r>
    <x v="632"/>
    <n v="1"/>
    <x v="3"/>
    <n v="18"/>
  </r>
  <r>
    <x v="633"/>
    <n v="1"/>
    <x v="3"/>
    <n v="18"/>
  </r>
  <r>
    <x v="634"/>
    <n v="1"/>
    <x v="3"/>
    <n v="15"/>
  </r>
  <r>
    <x v="635"/>
    <n v="1"/>
    <x v="3"/>
    <n v="28"/>
  </r>
  <r>
    <x v="636"/>
    <n v="1"/>
    <x v="3"/>
    <n v="19"/>
  </r>
  <r>
    <x v="637"/>
    <n v="1"/>
    <x v="3"/>
    <n v="17"/>
  </r>
  <r>
    <x v="638"/>
    <n v="1"/>
    <x v="3"/>
    <n v="16"/>
  </r>
  <r>
    <x v="639"/>
    <n v="1"/>
    <x v="3"/>
    <n v="12"/>
  </r>
  <r>
    <x v="640"/>
    <n v="1"/>
    <x v="3"/>
    <n v="12"/>
  </r>
  <r>
    <x v="641"/>
    <n v="1"/>
    <x v="3"/>
    <n v="22"/>
  </r>
  <r>
    <x v="642"/>
    <n v="1"/>
    <x v="3"/>
    <n v="20"/>
  </r>
  <r>
    <x v="643"/>
    <n v="1"/>
    <x v="3"/>
    <n v="16"/>
  </r>
  <r>
    <x v="644"/>
    <n v="1"/>
    <x v="3"/>
    <n v="13"/>
  </r>
  <r>
    <x v="645"/>
    <n v="1"/>
    <x v="3"/>
    <n v="22"/>
  </r>
  <r>
    <x v="646"/>
    <n v="1"/>
    <x v="3"/>
    <n v="17"/>
  </r>
  <r>
    <x v="647"/>
    <n v="1"/>
    <x v="3"/>
    <n v="13"/>
  </r>
  <r>
    <x v="648"/>
    <n v="1"/>
    <x v="3"/>
    <n v="18"/>
  </r>
  <r>
    <x v="649"/>
    <n v="1"/>
    <x v="3"/>
    <n v="26"/>
  </r>
  <r>
    <x v="650"/>
    <n v="1"/>
    <x v="3"/>
    <n v="14"/>
  </r>
  <r>
    <x v="651"/>
    <n v="1"/>
    <x v="3"/>
    <n v="19"/>
  </r>
  <r>
    <x v="652"/>
    <n v="1"/>
    <x v="3"/>
    <n v="23"/>
  </r>
  <r>
    <x v="653"/>
    <n v="1"/>
    <x v="3"/>
    <n v="17"/>
  </r>
  <r>
    <x v="654"/>
    <n v="1"/>
    <x v="3"/>
    <n v="12"/>
  </r>
  <r>
    <x v="655"/>
    <n v="1"/>
    <x v="3"/>
    <n v="25"/>
  </r>
  <r>
    <x v="656"/>
    <n v="1"/>
    <x v="3"/>
    <n v="26"/>
  </r>
  <r>
    <x v="657"/>
    <n v="1"/>
    <x v="3"/>
    <n v="21"/>
  </r>
  <r>
    <x v="658"/>
    <n v="1"/>
    <x v="3"/>
    <n v="11"/>
  </r>
  <r>
    <x v="659"/>
    <n v="1"/>
    <x v="3"/>
    <n v="12"/>
  </r>
  <r>
    <x v="660"/>
    <n v="1"/>
    <x v="3"/>
    <n v="15"/>
  </r>
  <r>
    <x v="661"/>
    <n v="1"/>
    <x v="3"/>
    <n v="18"/>
  </r>
  <r>
    <x v="662"/>
    <n v="1"/>
    <x v="3"/>
    <n v="18"/>
  </r>
  <r>
    <x v="663"/>
    <n v="1"/>
    <x v="3"/>
    <n v="13"/>
  </r>
  <r>
    <x v="664"/>
    <n v="1"/>
    <x v="3"/>
    <n v="18"/>
  </r>
  <r>
    <x v="665"/>
    <n v="1"/>
    <x v="3"/>
    <n v="20"/>
  </r>
  <r>
    <x v="666"/>
    <n v="1"/>
    <x v="3"/>
    <n v="16"/>
  </r>
  <r>
    <x v="667"/>
    <n v="1"/>
    <x v="3"/>
    <n v="12"/>
  </r>
  <r>
    <x v="668"/>
    <n v="1"/>
    <x v="3"/>
    <n v="24"/>
  </r>
  <r>
    <x v="669"/>
    <n v="1"/>
    <x v="3"/>
    <n v="18"/>
  </r>
  <r>
    <x v="670"/>
    <n v="1"/>
    <x v="3"/>
    <n v="20"/>
  </r>
  <r>
    <x v="671"/>
    <n v="1"/>
    <x v="3"/>
    <n v="17"/>
  </r>
  <r>
    <x v="672"/>
    <n v="1"/>
    <x v="3"/>
    <n v="17"/>
  </r>
  <r>
    <x v="673"/>
    <n v="1"/>
    <x v="3"/>
    <n v="16"/>
  </r>
  <r>
    <x v="674"/>
    <n v="1"/>
    <x v="3"/>
    <n v="19"/>
  </r>
  <r>
    <x v="675"/>
    <n v="1"/>
    <x v="3"/>
    <n v="23"/>
  </r>
  <r>
    <x v="676"/>
    <n v="1"/>
    <x v="3"/>
    <n v="24"/>
  </r>
  <r>
    <x v="677"/>
    <n v="1"/>
    <x v="3"/>
    <n v="33"/>
  </r>
  <r>
    <x v="678"/>
    <n v="1"/>
    <x v="3"/>
    <n v="24"/>
  </r>
  <r>
    <x v="679"/>
    <n v="1"/>
    <x v="3"/>
    <n v="23"/>
  </r>
  <r>
    <x v="680"/>
    <n v="1"/>
    <x v="3"/>
    <n v="24"/>
  </r>
  <r>
    <x v="681"/>
    <n v="1"/>
    <x v="3"/>
    <n v="26"/>
  </r>
  <r>
    <x v="682"/>
    <n v="1"/>
    <x v="3"/>
    <n v="25"/>
  </r>
  <r>
    <x v="683"/>
    <n v="1"/>
    <x v="3"/>
    <n v="24"/>
  </r>
  <r>
    <x v="684"/>
    <n v="1"/>
    <x v="3"/>
    <n v="28"/>
  </r>
  <r>
    <x v="685"/>
    <n v="1"/>
    <x v="3"/>
    <n v="12"/>
  </r>
  <r>
    <x v="686"/>
    <n v="1"/>
    <x v="3"/>
    <n v="19"/>
  </r>
  <r>
    <x v="687"/>
    <n v="1"/>
    <x v="3"/>
    <n v="13"/>
  </r>
  <r>
    <x v="688"/>
    <n v="1"/>
    <x v="3"/>
    <n v="26"/>
  </r>
  <r>
    <x v="689"/>
    <n v="1"/>
    <x v="3"/>
    <n v="25"/>
  </r>
  <r>
    <x v="690"/>
    <n v="1"/>
    <x v="3"/>
    <n v="16"/>
  </r>
  <r>
    <x v="691"/>
    <n v="1"/>
    <x v="3"/>
    <n v="29"/>
  </r>
  <r>
    <x v="692"/>
    <n v="1"/>
    <x v="3"/>
    <n v="19"/>
  </r>
  <r>
    <x v="693"/>
    <n v="1"/>
    <x v="3"/>
    <n v="18"/>
  </r>
  <r>
    <x v="694"/>
    <n v="1"/>
    <x v="3"/>
    <n v="16"/>
  </r>
  <r>
    <x v="695"/>
    <n v="1"/>
    <x v="3"/>
    <n v="21"/>
  </r>
  <r>
    <x v="696"/>
    <n v="1"/>
    <x v="3"/>
    <n v="21"/>
  </r>
  <r>
    <x v="697"/>
    <n v="1"/>
    <x v="3"/>
    <n v="24"/>
  </r>
  <r>
    <x v="698"/>
    <n v="1"/>
    <x v="3"/>
    <n v="20"/>
  </r>
  <r>
    <x v="699"/>
    <n v="1"/>
    <x v="3"/>
    <n v="13"/>
  </r>
  <r>
    <x v="700"/>
    <n v="1"/>
    <x v="3"/>
    <n v="18"/>
  </r>
  <r>
    <x v="701"/>
    <n v="1"/>
    <x v="3"/>
    <n v="12"/>
  </r>
  <r>
    <x v="702"/>
    <n v="1"/>
    <x v="3"/>
    <n v="17"/>
  </r>
  <r>
    <x v="703"/>
    <n v="1"/>
    <x v="3"/>
    <n v="17"/>
  </r>
  <r>
    <x v="704"/>
    <n v="1"/>
    <x v="3"/>
    <n v="21"/>
  </r>
  <r>
    <x v="705"/>
    <n v="1"/>
    <x v="3"/>
    <n v="15"/>
  </r>
  <r>
    <x v="706"/>
    <n v="1"/>
    <x v="3"/>
    <n v="14"/>
  </r>
  <r>
    <x v="707"/>
    <n v="1"/>
    <x v="3"/>
    <n v="12"/>
  </r>
  <r>
    <x v="708"/>
    <n v="1"/>
    <x v="3"/>
    <n v="23"/>
  </r>
  <r>
    <x v="709"/>
    <n v="1"/>
    <x v="3"/>
    <n v="16"/>
  </r>
  <r>
    <x v="710"/>
    <n v="1"/>
    <x v="3"/>
    <n v="21"/>
  </r>
  <r>
    <x v="711"/>
    <n v="1"/>
    <x v="3"/>
    <n v="12"/>
  </r>
  <r>
    <x v="712"/>
    <n v="1"/>
    <x v="3"/>
    <n v="17"/>
  </r>
  <r>
    <x v="713"/>
    <n v="1"/>
    <x v="3"/>
    <n v="8"/>
  </r>
  <r>
    <x v="714"/>
    <n v="1"/>
    <x v="3"/>
    <n v="16"/>
  </r>
  <r>
    <x v="715"/>
    <n v="1"/>
    <x v="3"/>
    <n v="13"/>
  </r>
  <r>
    <x v="716"/>
    <n v="1"/>
    <x v="3"/>
    <n v="17"/>
  </r>
  <r>
    <x v="717"/>
    <n v="1"/>
    <x v="3"/>
    <n v="14"/>
  </r>
  <r>
    <x v="718"/>
    <n v="1"/>
    <x v="3"/>
    <n v="19"/>
  </r>
  <r>
    <x v="719"/>
    <n v="1"/>
    <x v="3"/>
    <n v="13"/>
  </r>
  <r>
    <x v="720"/>
    <n v="1"/>
    <x v="3"/>
    <n v="15"/>
  </r>
  <r>
    <x v="721"/>
    <n v="1"/>
    <x v="3"/>
    <n v="19"/>
  </r>
  <r>
    <x v="722"/>
    <n v="1"/>
    <x v="3"/>
    <n v="21"/>
  </r>
  <r>
    <x v="723"/>
    <n v="1"/>
    <x v="3"/>
    <n v="10"/>
  </r>
  <r>
    <x v="724"/>
    <n v="1"/>
    <x v="3"/>
    <n v="13"/>
  </r>
  <r>
    <x v="725"/>
    <n v="1"/>
    <x v="3"/>
    <n v="15"/>
  </r>
  <r>
    <x v="726"/>
    <n v="1"/>
    <x v="3"/>
    <n v="20"/>
  </r>
  <r>
    <x v="727"/>
    <n v="1"/>
    <x v="3"/>
    <n v="7"/>
  </r>
  <r>
    <x v="728"/>
    <n v="1"/>
    <x v="3"/>
    <n v="12"/>
  </r>
  <r>
    <x v="729"/>
    <n v="1"/>
    <x v="3"/>
    <n v="14"/>
  </r>
  <r>
    <x v="730"/>
    <n v="1"/>
    <x v="3"/>
    <n v="15"/>
  </r>
  <r>
    <x v="731"/>
    <n v="1"/>
    <x v="3"/>
    <n v="20"/>
  </r>
  <r>
    <x v="732"/>
    <n v="1"/>
    <x v="3"/>
    <n v="19"/>
  </r>
  <r>
    <x v="733"/>
    <n v="1"/>
    <x v="3"/>
    <n v="23"/>
  </r>
  <r>
    <x v="734"/>
    <n v="1"/>
    <x v="3"/>
    <n v="10"/>
  </r>
  <r>
    <x v="735"/>
    <n v="1"/>
    <x v="3"/>
    <n v="13"/>
  </r>
  <r>
    <x v="736"/>
    <n v="1"/>
    <x v="3"/>
    <n v="21"/>
  </r>
  <r>
    <x v="737"/>
    <n v="1"/>
    <x v="3"/>
    <n v="16"/>
  </r>
  <r>
    <x v="738"/>
    <n v="1"/>
    <x v="3"/>
    <n v="14"/>
  </r>
  <r>
    <x v="739"/>
    <n v="1"/>
    <x v="3"/>
    <n v="28"/>
  </r>
  <r>
    <x v="740"/>
    <n v="1"/>
    <x v="3"/>
    <n v="13"/>
  </r>
  <r>
    <x v="741"/>
    <n v="1"/>
    <x v="3"/>
    <n v="15"/>
  </r>
  <r>
    <x v="742"/>
    <n v="1"/>
    <x v="3"/>
    <n v="6"/>
  </r>
  <r>
    <x v="743"/>
    <n v="1"/>
    <x v="3"/>
    <n v="14"/>
  </r>
  <r>
    <x v="744"/>
    <n v="1"/>
    <x v="3"/>
    <n v="14"/>
  </r>
  <r>
    <x v="745"/>
    <n v="1"/>
    <x v="3"/>
    <n v="11"/>
  </r>
  <r>
    <x v="746"/>
    <n v="1"/>
    <x v="3"/>
    <n v="19"/>
  </r>
  <r>
    <x v="747"/>
    <n v="1"/>
    <x v="3"/>
    <n v="18"/>
  </r>
  <r>
    <x v="748"/>
    <n v="1"/>
    <x v="3"/>
    <n v="15"/>
  </r>
  <r>
    <x v="749"/>
    <n v="1"/>
    <x v="3"/>
    <n v="9"/>
  </r>
  <r>
    <x v="750"/>
    <n v="1"/>
    <x v="3"/>
    <n v="13"/>
  </r>
  <r>
    <x v="751"/>
    <n v="1"/>
    <x v="3"/>
    <n v="6"/>
  </r>
  <r>
    <x v="752"/>
    <n v="1"/>
    <x v="3"/>
    <n v="10"/>
  </r>
  <r>
    <x v="753"/>
    <n v="1"/>
    <x v="3"/>
    <n v="13"/>
  </r>
  <r>
    <x v="754"/>
    <n v="1"/>
    <x v="3"/>
    <n v="18"/>
  </r>
  <r>
    <x v="755"/>
    <n v="1"/>
    <x v="3"/>
    <n v="9"/>
  </r>
  <r>
    <x v="756"/>
    <n v="1"/>
    <x v="3"/>
    <n v="11"/>
  </r>
  <r>
    <x v="757"/>
    <n v="1"/>
    <x v="3"/>
    <n v="14"/>
  </r>
  <r>
    <x v="758"/>
    <n v="1"/>
    <x v="3"/>
    <n v="15"/>
  </r>
  <r>
    <x v="759"/>
    <n v="1"/>
    <x v="3"/>
    <n v="18"/>
  </r>
  <r>
    <x v="760"/>
    <n v="1"/>
    <x v="3"/>
    <n v="14"/>
  </r>
  <r>
    <x v="761"/>
    <n v="1"/>
    <x v="3"/>
    <n v="15"/>
  </r>
  <r>
    <x v="762"/>
    <n v="1"/>
    <x v="3"/>
    <n v="9"/>
  </r>
  <r>
    <x v="763"/>
    <n v="1"/>
    <x v="3"/>
    <n v="17"/>
  </r>
  <r>
    <x v="764"/>
    <n v="1"/>
    <x v="3"/>
    <n v="13"/>
  </r>
  <r>
    <x v="765"/>
    <n v="1"/>
    <x v="3"/>
    <n v="14"/>
  </r>
  <r>
    <x v="766"/>
    <n v="1"/>
    <x v="3"/>
    <n v="13"/>
  </r>
  <r>
    <x v="767"/>
    <n v="1"/>
    <x v="3"/>
    <n v="13"/>
  </r>
  <r>
    <x v="768"/>
    <n v="1"/>
    <x v="3"/>
    <n v="23"/>
  </r>
  <r>
    <x v="769"/>
    <n v="1"/>
    <x v="3"/>
    <n v="5"/>
  </r>
  <r>
    <x v="770"/>
    <n v="1"/>
    <x v="3"/>
    <n v="15"/>
  </r>
  <r>
    <x v="771"/>
    <n v="1"/>
    <x v="3"/>
    <n v="15"/>
  </r>
  <r>
    <x v="772"/>
    <n v="1"/>
    <x v="3"/>
    <n v="17"/>
  </r>
  <r>
    <x v="773"/>
    <n v="1"/>
    <x v="3"/>
    <n v="13"/>
  </r>
  <r>
    <x v="774"/>
    <n v="1"/>
    <x v="3"/>
    <n v="15"/>
  </r>
  <r>
    <x v="775"/>
    <n v="1"/>
    <x v="3"/>
    <n v="20"/>
  </r>
  <r>
    <x v="776"/>
    <n v="1"/>
    <x v="3"/>
    <n v="17"/>
  </r>
  <r>
    <x v="777"/>
    <n v="1"/>
    <x v="3"/>
    <n v="15"/>
  </r>
  <r>
    <x v="778"/>
    <n v="1"/>
    <x v="3"/>
    <n v="6"/>
  </r>
  <r>
    <x v="779"/>
    <n v="1"/>
    <x v="3"/>
    <n v="20"/>
  </r>
  <r>
    <x v="780"/>
    <n v="1"/>
    <x v="3"/>
    <n v="19"/>
  </r>
  <r>
    <x v="781"/>
    <n v="1"/>
    <x v="3"/>
    <n v="12"/>
  </r>
  <r>
    <x v="782"/>
    <n v="1"/>
    <x v="3"/>
    <n v="13"/>
  </r>
  <r>
    <x v="783"/>
    <n v="1"/>
    <x v="3"/>
    <n v="9"/>
  </r>
  <r>
    <x v="784"/>
    <n v="1"/>
    <x v="3"/>
    <n v="14"/>
  </r>
  <r>
    <x v="785"/>
    <n v="1"/>
    <x v="3"/>
    <n v="11"/>
  </r>
  <r>
    <x v="786"/>
    <n v="1"/>
    <x v="3"/>
    <n v="11"/>
  </r>
  <r>
    <x v="787"/>
    <n v="1"/>
    <x v="3"/>
    <n v="21"/>
  </r>
  <r>
    <x v="788"/>
    <n v="1"/>
    <x v="3"/>
    <n v="22"/>
  </r>
  <r>
    <x v="789"/>
    <n v="1"/>
    <x v="3"/>
    <n v="23"/>
  </r>
  <r>
    <x v="790"/>
    <n v="1"/>
    <x v="3"/>
    <n v="10"/>
  </r>
  <r>
    <x v="791"/>
    <n v="1"/>
    <x v="3"/>
    <n v="25"/>
  </r>
  <r>
    <x v="792"/>
    <n v="1"/>
    <x v="3"/>
    <n v="18"/>
  </r>
  <r>
    <x v="793"/>
    <n v="1"/>
    <x v="3"/>
    <n v="19"/>
  </r>
  <r>
    <x v="794"/>
    <n v="1"/>
    <x v="3"/>
    <n v="7"/>
  </r>
  <r>
    <x v="795"/>
    <n v="1"/>
    <x v="3"/>
    <n v="21"/>
  </r>
  <r>
    <x v="796"/>
    <n v="1"/>
    <x v="3"/>
    <n v="25"/>
  </r>
  <r>
    <x v="797"/>
    <n v="1"/>
    <x v="3"/>
    <n v="17"/>
  </r>
  <r>
    <x v="798"/>
    <n v="1"/>
    <x v="3"/>
    <n v="13"/>
  </r>
  <r>
    <x v="799"/>
    <n v="1"/>
    <x v="3"/>
    <n v="14"/>
  </r>
  <r>
    <x v="800"/>
    <n v="1"/>
    <x v="3"/>
    <n v="18"/>
  </r>
  <r>
    <x v="801"/>
    <n v="1"/>
    <x v="3"/>
    <n v="12"/>
  </r>
  <r>
    <x v="802"/>
    <n v="1"/>
    <x v="3"/>
    <n v="25"/>
  </r>
  <r>
    <x v="803"/>
    <n v="1"/>
    <x v="3"/>
    <n v="20"/>
  </r>
  <r>
    <x v="804"/>
    <n v="1"/>
    <x v="3"/>
    <n v="17"/>
  </r>
  <r>
    <x v="805"/>
    <n v="1"/>
    <x v="3"/>
    <n v="18"/>
  </r>
  <r>
    <x v="806"/>
    <n v="1"/>
    <x v="3"/>
    <n v="17"/>
  </r>
  <r>
    <x v="807"/>
    <n v="1"/>
    <x v="3"/>
    <n v="21"/>
  </r>
  <r>
    <x v="808"/>
    <n v="1"/>
    <x v="3"/>
    <n v="15"/>
  </r>
  <r>
    <x v="809"/>
    <n v="1"/>
    <x v="3"/>
    <n v="20"/>
  </r>
  <r>
    <x v="810"/>
    <n v="1"/>
    <x v="3"/>
    <n v="13"/>
  </r>
  <r>
    <x v="811"/>
    <n v="1"/>
    <x v="3"/>
    <n v="12"/>
  </r>
  <r>
    <x v="812"/>
    <n v="1"/>
    <x v="3"/>
    <n v="15"/>
  </r>
  <r>
    <x v="813"/>
    <n v="1"/>
    <x v="3"/>
    <n v="13"/>
  </r>
  <r>
    <x v="814"/>
    <n v="1"/>
    <x v="3"/>
    <n v="17"/>
  </r>
  <r>
    <x v="815"/>
    <n v="1"/>
    <x v="3"/>
    <n v="18"/>
  </r>
  <r>
    <x v="816"/>
    <n v="1"/>
    <x v="3"/>
    <n v="19"/>
  </r>
  <r>
    <x v="817"/>
    <n v="1"/>
    <x v="3"/>
    <n v="26"/>
  </r>
  <r>
    <x v="818"/>
    <n v="1"/>
    <x v="3"/>
    <n v="20"/>
  </r>
  <r>
    <x v="819"/>
    <n v="1"/>
    <x v="3"/>
    <n v="24"/>
  </r>
  <r>
    <x v="820"/>
    <n v="1"/>
    <x v="3"/>
    <n v="12"/>
  </r>
  <r>
    <x v="821"/>
    <n v="1"/>
    <x v="3"/>
    <n v="21"/>
  </r>
  <r>
    <x v="822"/>
    <n v="1"/>
    <x v="3"/>
    <n v="26"/>
  </r>
  <r>
    <x v="823"/>
    <n v="1"/>
    <x v="3"/>
    <n v="30"/>
  </r>
  <r>
    <x v="824"/>
    <n v="1"/>
    <x v="3"/>
    <n v="32"/>
  </r>
  <r>
    <x v="825"/>
    <n v="1"/>
    <x v="3"/>
    <n v="12"/>
  </r>
  <r>
    <x v="826"/>
    <n v="1"/>
    <x v="3"/>
    <n v="28"/>
  </r>
  <r>
    <x v="827"/>
    <n v="1"/>
    <x v="3"/>
    <n v="23"/>
  </r>
  <r>
    <x v="828"/>
    <n v="1"/>
    <x v="3"/>
    <n v="24"/>
  </r>
  <r>
    <x v="829"/>
    <n v="1"/>
    <x v="3"/>
    <n v="20"/>
  </r>
  <r>
    <x v="830"/>
    <n v="1"/>
    <x v="3"/>
    <n v="27"/>
  </r>
  <r>
    <x v="831"/>
    <n v="1"/>
    <x v="3"/>
    <n v="19"/>
  </r>
  <r>
    <x v="832"/>
    <n v="1"/>
    <x v="3"/>
    <n v="15"/>
  </r>
  <r>
    <x v="833"/>
    <n v="1"/>
    <x v="3"/>
    <n v="21"/>
  </r>
  <r>
    <x v="834"/>
    <n v="1"/>
    <x v="3"/>
    <n v="19"/>
  </r>
  <r>
    <x v="835"/>
    <n v="1"/>
    <x v="3"/>
    <n v="26"/>
  </r>
  <r>
    <x v="836"/>
    <n v="1"/>
    <x v="3"/>
    <n v="22"/>
  </r>
  <r>
    <x v="837"/>
    <n v="1"/>
    <x v="3"/>
    <n v="18"/>
  </r>
  <r>
    <x v="838"/>
    <n v="1"/>
    <x v="3"/>
    <n v="27"/>
  </r>
  <r>
    <x v="839"/>
    <n v="1"/>
    <x v="3"/>
    <n v="13"/>
  </r>
  <r>
    <x v="840"/>
    <n v="1"/>
    <x v="3"/>
    <n v="21"/>
  </r>
  <r>
    <x v="841"/>
    <n v="1"/>
    <x v="3"/>
    <n v="21"/>
  </r>
  <r>
    <x v="842"/>
    <n v="1"/>
    <x v="3"/>
    <n v="27"/>
  </r>
  <r>
    <x v="843"/>
    <n v="1"/>
    <x v="3"/>
    <n v="25"/>
  </r>
  <r>
    <x v="844"/>
    <n v="1"/>
    <x v="3"/>
    <n v="25"/>
  </r>
  <r>
    <x v="845"/>
    <n v="1"/>
    <x v="3"/>
    <n v="26"/>
  </r>
  <r>
    <x v="846"/>
    <n v="1"/>
    <x v="3"/>
    <n v="16"/>
  </r>
  <r>
    <x v="847"/>
    <n v="1"/>
    <x v="3"/>
    <n v="24"/>
  </r>
  <r>
    <x v="848"/>
    <n v="1"/>
    <x v="3"/>
    <n v="20"/>
  </r>
  <r>
    <x v="849"/>
    <n v="1"/>
    <x v="3"/>
    <n v="26"/>
  </r>
  <r>
    <x v="850"/>
    <n v="1"/>
    <x v="3"/>
    <n v="26"/>
  </r>
  <r>
    <x v="851"/>
    <n v="1"/>
    <x v="3"/>
    <n v="24"/>
  </r>
  <r>
    <x v="852"/>
    <n v="1"/>
    <x v="3"/>
    <n v="21"/>
  </r>
  <r>
    <x v="853"/>
    <n v="1"/>
    <x v="3"/>
    <n v="21"/>
  </r>
  <r>
    <x v="854"/>
    <n v="1"/>
    <x v="3"/>
    <n v="16"/>
  </r>
  <r>
    <x v="855"/>
    <n v="1"/>
    <x v="3"/>
    <n v="14"/>
  </r>
  <r>
    <x v="856"/>
    <n v="1"/>
    <x v="3"/>
    <n v="18"/>
  </r>
  <r>
    <x v="857"/>
    <n v="1"/>
    <x v="3"/>
    <n v="32"/>
  </r>
  <r>
    <x v="858"/>
    <n v="1"/>
    <x v="3"/>
    <n v="30"/>
  </r>
  <r>
    <x v="859"/>
    <n v="1"/>
    <x v="3"/>
    <n v="25"/>
  </r>
  <r>
    <x v="860"/>
    <n v="1"/>
    <x v="3"/>
    <n v="15"/>
  </r>
  <r>
    <x v="861"/>
    <n v="1"/>
    <x v="3"/>
    <n v="20"/>
  </r>
  <r>
    <x v="862"/>
    <n v="1"/>
    <x v="3"/>
    <n v="18"/>
  </r>
  <r>
    <x v="863"/>
    <n v="1"/>
    <x v="3"/>
    <n v="22"/>
  </r>
  <r>
    <x v="864"/>
    <n v="1"/>
    <x v="3"/>
    <n v="34"/>
  </r>
  <r>
    <x v="865"/>
    <n v="1"/>
    <x v="3"/>
    <n v="21"/>
  </r>
  <r>
    <x v="866"/>
    <n v="1"/>
    <x v="3"/>
    <n v="34"/>
  </r>
  <r>
    <x v="867"/>
    <n v="1"/>
    <x v="3"/>
    <n v="24"/>
  </r>
  <r>
    <x v="868"/>
    <n v="1"/>
    <x v="3"/>
    <n v="22"/>
  </r>
  <r>
    <x v="869"/>
    <n v="1"/>
    <x v="3"/>
    <n v="19"/>
  </r>
  <r>
    <x v="870"/>
    <n v="1"/>
    <x v="3"/>
    <n v="23"/>
  </r>
  <r>
    <x v="871"/>
    <n v="1"/>
    <x v="3"/>
    <n v="29"/>
  </r>
  <r>
    <x v="872"/>
    <n v="1"/>
    <x v="3"/>
    <n v="28"/>
  </r>
  <r>
    <x v="873"/>
    <n v="1"/>
    <x v="3"/>
    <n v="28"/>
  </r>
  <r>
    <x v="874"/>
    <n v="1"/>
    <x v="3"/>
    <n v="15"/>
  </r>
  <r>
    <x v="875"/>
    <n v="1"/>
    <x v="3"/>
    <n v="16"/>
  </r>
  <r>
    <x v="876"/>
    <n v="1"/>
    <x v="3"/>
    <n v="24"/>
  </r>
  <r>
    <x v="877"/>
    <n v="1"/>
    <x v="3"/>
    <n v="21"/>
  </r>
  <r>
    <x v="878"/>
    <n v="1"/>
    <x v="3"/>
    <n v="32"/>
  </r>
  <r>
    <x v="879"/>
    <n v="1"/>
    <x v="3"/>
    <n v="31"/>
  </r>
  <r>
    <x v="880"/>
    <n v="1"/>
    <x v="3"/>
    <n v="29"/>
  </r>
  <r>
    <x v="881"/>
    <n v="1"/>
    <x v="3"/>
    <n v="16"/>
  </r>
  <r>
    <x v="882"/>
    <n v="1"/>
    <x v="3"/>
    <n v="25"/>
  </r>
  <r>
    <x v="883"/>
    <n v="1"/>
    <x v="3"/>
    <n v="24"/>
  </r>
  <r>
    <x v="884"/>
    <n v="1"/>
    <x v="3"/>
    <n v="25"/>
  </r>
  <r>
    <x v="885"/>
    <n v="1"/>
    <x v="3"/>
    <n v="33"/>
  </r>
  <r>
    <x v="886"/>
    <n v="1"/>
    <x v="3"/>
    <n v="26"/>
  </r>
  <r>
    <x v="887"/>
    <n v="1"/>
    <x v="3"/>
    <n v="31"/>
  </r>
  <r>
    <x v="888"/>
    <n v="1"/>
    <x v="3"/>
    <n v="12"/>
  </r>
  <r>
    <x v="889"/>
    <n v="1"/>
    <x v="3"/>
    <n v="30"/>
  </r>
  <r>
    <x v="890"/>
    <n v="1"/>
    <x v="3"/>
    <n v="17"/>
  </r>
  <r>
    <x v="891"/>
    <n v="1"/>
    <x v="3"/>
    <n v="23"/>
  </r>
  <r>
    <x v="892"/>
    <n v="1"/>
    <x v="3"/>
    <n v="16"/>
  </r>
  <r>
    <x v="893"/>
    <n v="1"/>
    <x v="3"/>
    <n v="27"/>
  </r>
  <r>
    <x v="894"/>
    <n v="1"/>
    <x v="3"/>
    <n v="32"/>
  </r>
  <r>
    <x v="895"/>
    <n v="1"/>
    <x v="3"/>
    <n v="21"/>
  </r>
  <r>
    <x v="896"/>
    <n v="1"/>
    <x v="3"/>
    <n v="16"/>
  </r>
  <r>
    <x v="897"/>
    <n v="1"/>
    <x v="3"/>
    <n v="23"/>
  </r>
  <r>
    <x v="898"/>
    <n v="1"/>
    <x v="3"/>
    <n v="21"/>
  </r>
  <r>
    <x v="899"/>
    <n v="1"/>
    <x v="3"/>
    <n v="26"/>
  </r>
  <r>
    <x v="900"/>
    <n v="1"/>
    <x v="3"/>
    <n v="24"/>
  </r>
  <r>
    <x v="901"/>
    <n v="1"/>
    <x v="3"/>
    <n v="26"/>
  </r>
  <r>
    <x v="902"/>
    <n v="1"/>
    <x v="3"/>
    <n v="14"/>
  </r>
  <r>
    <x v="903"/>
    <n v="1"/>
    <x v="3"/>
    <n v="19"/>
  </r>
  <r>
    <x v="904"/>
    <n v="1"/>
    <x v="3"/>
    <n v="21"/>
  </r>
  <r>
    <x v="905"/>
    <n v="1"/>
    <x v="3"/>
    <n v="24"/>
  </r>
  <r>
    <x v="906"/>
    <n v="1"/>
    <x v="3"/>
    <n v="21"/>
  </r>
  <r>
    <x v="907"/>
    <n v="1"/>
    <x v="3"/>
    <n v="29"/>
  </r>
  <r>
    <x v="908"/>
    <n v="1"/>
    <x v="3"/>
    <n v="27"/>
  </r>
  <r>
    <x v="909"/>
    <n v="1"/>
    <x v="3"/>
    <n v="12"/>
  </r>
  <r>
    <x v="910"/>
    <n v="1"/>
    <x v="3"/>
    <n v="25"/>
  </r>
  <r>
    <x v="911"/>
    <n v="1"/>
    <x v="3"/>
    <n v="30"/>
  </r>
  <r>
    <x v="912"/>
    <n v="1"/>
    <x v="3"/>
    <n v="24"/>
  </r>
  <r>
    <x v="913"/>
    <n v="1"/>
    <x v="3"/>
    <n v="30"/>
  </r>
  <r>
    <x v="914"/>
    <n v="1"/>
    <x v="3"/>
    <n v="32"/>
  </r>
  <r>
    <x v="915"/>
    <n v="1"/>
    <x v="3"/>
    <n v="37"/>
  </r>
  <r>
    <x v="916"/>
    <n v="1"/>
    <x v="3"/>
    <n v="17"/>
  </r>
  <r>
    <x v="917"/>
    <n v="1"/>
    <x v="3"/>
    <n v="18"/>
  </r>
  <r>
    <x v="918"/>
    <n v="1"/>
    <x v="3"/>
    <n v="29"/>
  </r>
  <r>
    <x v="919"/>
    <n v="1"/>
    <x v="3"/>
    <n v="20"/>
  </r>
  <r>
    <x v="920"/>
    <n v="1"/>
    <x v="3"/>
    <n v="22"/>
  </r>
  <r>
    <x v="921"/>
    <n v="1"/>
    <x v="3"/>
    <n v="39"/>
  </r>
  <r>
    <x v="922"/>
    <n v="1"/>
    <x v="3"/>
    <n v="16"/>
  </r>
  <r>
    <x v="923"/>
    <n v="1"/>
    <x v="3"/>
    <n v="21"/>
  </r>
  <r>
    <x v="924"/>
    <n v="1"/>
    <x v="3"/>
    <n v="35"/>
  </r>
  <r>
    <x v="925"/>
    <n v="1"/>
    <x v="3"/>
    <n v="16"/>
  </r>
  <r>
    <x v="926"/>
    <n v="1"/>
    <x v="3"/>
    <n v="32"/>
  </r>
  <r>
    <x v="927"/>
    <n v="1"/>
    <x v="3"/>
    <n v="23"/>
  </r>
  <r>
    <x v="928"/>
    <n v="1"/>
    <x v="3"/>
    <n v="18"/>
  </r>
  <r>
    <x v="929"/>
    <n v="1"/>
    <x v="3"/>
    <n v="29"/>
  </r>
  <r>
    <x v="930"/>
    <n v="1"/>
    <x v="3"/>
    <n v="18"/>
  </r>
  <r>
    <x v="931"/>
    <n v="1"/>
    <x v="3"/>
    <n v="19"/>
  </r>
  <r>
    <x v="932"/>
    <n v="1"/>
    <x v="3"/>
    <n v="22"/>
  </r>
  <r>
    <x v="933"/>
    <n v="1"/>
    <x v="3"/>
    <n v="26"/>
  </r>
  <r>
    <x v="934"/>
    <n v="1"/>
    <x v="3"/>
    <n v="26"/>
  </r>
  <r>
    <x v="935"/>
    <n v="1"/>
    <x v="3"/>
    <n v="25"/>
  </r>
  <r>
    <x v="936"/>
    <n v="1"/>
    <x v="3"/>
    <n v="29"/>
  </r>
  <r>
    <x v="937"/>
    <n v="1"/>
    <x v="3"/>
    <n v="14"/>
  </r>
  <r>
    <x v="938"/>
    <n v="1"/>
    <x v="3"/>
    <n v="30"/>
  </r>
  <r>
    <x v="939"/>
    <n v="1"/>
    <x v="3"/>
    <n v="29"/>
  </r>
  <r>
    <x v="940"/>
    <n v="1"/>
    <x v="3"/>
    <n v="30"/>
  </r>
  <r>
    <x v="941"/>
    <n v="1"/>
    <x v="3"/>
    <n v="27"/>
  </r>
  <r>
    <x v="942"/>
    <n v="1"/>
    <x v="3"/>
    <n v="21"/>
  </r>
  <r>
    <x v="943"/>
    <n v="1"/>
    <x v="3"/>
    <n v="24"/>
  </r>
  <r>
    <x v="944"/>
    <n v="1"/>
    <x v="3"/>
    <n v="17"/>
  </r>
  <r>
    <x v="945"/>
    <n v="1"/>
    <x v="3"/>
    <n v="19"/>
  </r>
  <r>
    <x v="946"/>
    <n v="1"/>
    <x v="3"/>
    <n v="27"/>
  </r>
  <r>
    <x v="947"/>
    <n v="1"/>
    <x v="3"/>
    <n v="19"/>
  </r>
  <r>
    <x v="948"/>
    <n v="1"/>
    <x v="3"/>
    <n v="21"/>
  </r>
  <r>
    <x v="949"/>
    <n v="1"/>
    <x v="3"/>
    <n v="19"/>
  </r>
  <r>
    <x v="950"/>
    <n v="1"/>
    <x v="3"/>
    <n v="24"/>
  </r>
  <r>
    <x v="951"/>
    <n v="1"/>
    <x v="3"/>
    <n v="17"/>
  </r>
  <r>
    <x v="952"/>
    <n v="1"/>
    <x v="3"/>
    <n v="19"/>
  </r>
  <r>
    <x v="953"/>
    <n v="1"/>
    <x v="3"/>
    <n v="21"/>
  </r>
  <r>
    <x v="954"/>
    <n v="1"/>
    <x v="3"/>
    <n v="34"/>
  </r>
  <r>
    <x v="955"/>
    <n v="1"/>
    <x v="3"/>
    <n v="16"/>
  </r>
  <r>
    <x v="956"/>
    <n v="1"/>
    <x v="3"/>
    <n v="27"/>
  </r>
  <r>
    <x v="957"/>
    <n v="1"/>
    <x v="3"/>
    <n v="32"/>
  </r>
  <r>
    <x v="958"/>
    <n v="1"/>
    <x v="3"/>
    <n v="26"/>
  </r>
  <r>
    <x v="959"/>
    <n v="1"/>
    <x v="3"/>
    <n v="32"/>
  </r>
  <r>
    <x v="960"/>
    <n v="1"/>
    <x v="3"/>
    <n v="18"/>
  </r>
  <r>
    <x v="961"/>
    <n v="1"/>
    <x v="3"/>
    <n v="13"/>
  </r>
  <r>
    <x v="962"/>
    <n v="1"/>
    <x v="3"/>
    <n v="27"/>
  </r>
  <r>
    <x v="963"/>
    <n v="1"/>
    <x v="3"/>
    <n v="27"/>
  </r>
  <r>
    <x v="964"/>
    <n v="1"/>
    <x v="3"/>
    <n v="30"/>
  </r>
  <r>
    <x v="965"/>
    <n v="1"/>
    <x v="3"/>
    <n v="15"/>
  </r>
  <r>
    <x v="966"/>
    <n v="1"/>
    <x v="3"/>
    <n v="17"/>
  </r>
  <r>
    <x v="967"/>
    <n v="1"/>
    <x v="3"/>
    <n v="16"/>
  </r>
  <r>
    <x v="968"/>
    <n v="1"/>
    <x v="3"/>
    <n v="22"/>
  </r>
  <r>
    <x v="969"/>
    <n v="1"/>
    <x v="3"/>
    <n v="23"/>
  </r>
  <r>
    <x v="970"/>
    <n v="1"/>
    <x v="3"/>
    <n v="23"/>
  </r>
  <r>
    <x v="971"/>
    <n v="1"/>
    <x v="3"/>
    <n v="25"/>
  </r>
  <r>
    <x v="972"/>
    <n v="1"/>
    <x v="3"/>
    <n v="20"/>
  </r>
  <r>
    <x v="973"/>
    <n v="1"/>
    <x v="3"/>
    <n v="18"/>
  </r>
  <r>
    <x v="974"/>
    <n v="1"/>
    <x v="3"/>
    <n v="14"/>
  </r>
  <r>
    <x v="975"/>
    <n v="1"/>
    <x v="3"/>
    <n v="24"/>
  </r>
  <r>
    <x v="976"/>
    <n v="1"/>
    <x v="3"/>
    <n v="20"/>
  </r>
  <r>
    <x v="977"/>
    <n v="1"/>
    <x v="3"/>
    <n v="21"/>
  </r>
  <r>
    <x v="978"/>
    <n v="1"/>
    <x v="3"/>
    <n v="30"/>
  </r>
  <r>
    <x v="979"/>
    <n v="1"/>
    <x v="3"/>
    <n v="16"/>
  </r>
  <r>
    <x v="980"/>
    <n v="1"/>
    <x v="3"/>
    <n v="16"/>
  </r>
  <r>
    <x v="981"/>
    <n v="1"/>
    <x v="3"/>
    <n v="24"/>
  </r>
  <r>
    <x v="982"/>
    <n v="1"/>
    <x v="3"/>
    <n v="20"/>
  </r>
  <r>
    <x v="983"/>
    <n v="1"/>
    <x v="3"/>
    <n v="25"/>
  </r>
  <r>
    <x v="984"/>
    <n v="1"/>
    <x v="3"/>
    <n v="34"/>
  </r>
  <r>
    <x v="985"/>
    <n v="1"/>
    <x v="3"/>
    <n v="23"/>
  </r>
  <r>
    <x v="986"/>
    <n v="1"/>
    <x v="3"/>
    <n v="16"/>
  </r>
  <r>
    <x v="987"/>
    <n v="1"/>
    <x v="3"/>
    <n v="25"/>
  </r>
  <r>
    <x v="988"/>
    <n v="1"/>
    <x v="3"/>
    <n v="26"/>
  </r>
  <r>
    <x v="989"/>
    <n v="1"/>
    <x v="3"/>
    <n v="25"/>
  </r>
  <r>
    <x v="990"/>
    <n v="1"/>
    <x v="3"/>
    <n v="17"/>
  </r>
  <r>
    <x v="991"/>
    <n v="1"/>
    <x v="3"/>
    <n v="31"/>
  </r>
  <r>
    <x v="992"/>
    <n v="1"/>
    <x v="3"/>
    <n v="27"/>
  </r>
  <r>
    <x v="993"/>
    <n v="1"/>
    <x v="3"/>
    <n v="20"/>
  </r>
  <r>
    <x v="994"/>
    <n v="1"/>
    <x v="3"/>
    <n v="16"/>
  </r>
  <r>
    <x v="995"/>
    <n v="1"/>
    <x v="3"/>
    <n v="20"/>
  </r>
  <r>
    <x v="996"/>
    <n v="1"/>
    <x v="3"/>
    <n v="29"/>
  </r>
  <r>
    <x v="997"/>
    <n v="1"/>
    <x v="3"/>
    <n v="13"/>
  </r>
  <r>
    <x v="998"/>
    <n v="1"/>
    <x v="3"/>
    <n v="23"/>
  </r>
  <r>
    <x v="999"/>
    <n v="1"/>
    <x v="3"/>
    <n v="16"/>
  </r>
  <r>
    <x v="1000"/>
    <n v="1"/>
    <x v="3"/>
    <n v="25"/>
  </r>
  <r>
    <x v="1001"/>
    <n v="1"/>
    <x v="3"/>
    <n v="17"/>
  </r>
  <r>
    <x v="1002"/>
    <n v="1"/>
    <x v="3"/>
    <n v="19"/>
  </r>
  <r>
    <x v="1003"/>
    <n v="1"/>
    <x v="3"/>
    <n v="21"/>
  </r>
  <r>
    <x v="1004"/>
    <n v="1"/>
    <x v="3"/>
    <n v="25"/>
  </r>
  <r>
    <x v="1005"/>
    <n v="1"/>
    <x v="3"/>
    <n v="22"/>
  </r>
  <r>
    <x v="1006"/>
    <n v="1"/>
    <x v="3"/>
    <n v="28"/>
  </r>
  <r>
    <x v="1007"/>
    <n v="1"/>
    <x v="3"/>
    <n v="9"/>
  </r>
  <r>
    <x v="1008"/>
    <n v="1"/>
    <x v="3"/>
    <n v="15"/>
  </r>
  <r>
    <x v="1009"/>
    <n v="1"/>
    <x v="3"/>
    <n v="23"/>
  </r>
  <r>
    <x v="1010"/>
    <n v="1"/>
    <x v="3"/>
    <n v="15"/>
  </r>
  <r>
    <x v="1011"/>
    <n v="1"/>
    <x v="3"/>
    <n v="16"/>
  </r>
  <r>
    <x v="1012"/>
    <n v="1"/>
    <x v="3"/>
    <n v="17"/>
  </r>
  <r>
    <x v="1013"/>
    <n v="1"/>
    <x v="3"/>
    <n v="26"/>
  </r>
  <r>
    <x v="1014"/>
    <n v="1"/>
    <x v="3"/>
    <n v="8"/>
  </r>
  <r>
    <x v="1015"/>
    <n v="1"/>
    <x v="3"/>
    <n v="18"/>
  </r>
  <r>
    <x v="1016"/>
    <n v="1"/>
    <x v="3"/>
    <n v="17"/>
  </r>
  <r>
    <x v="1017"/>
    <n v="1"/>
    <x v="3"/>
    <n v="20"/>
  </r>
  <r>
    <x v="1018"/>
    <n v="1"/>
    <x v="3"/>
    <n v="24"/>
  </r>
  <r>
    <x v="1019"/>
    <n v="1"/>
    <x v="3"/>
    <n v="16"/>
  </r>
  <r>
    <x v="1020"/>
    <n v="1"/>
    <x v="3"/>
    <n v="19"/>
  </r>
  <r>
    <x v="1021"/>
    <n v="1"/>
    <x v="3"/>
    <n v="16"/>
  </r>
  <r>
    <x v="1022"/>
    <n v="1"/>
    <x v="3"/>
    <n v="23"/>
  </r>
  <r>
    <x v="1023"/>
    <n v="1"/>
    <x v="3"/>
    <n v="21"/>
  </r>
  <r>
    <x v="1024"/>
    <n v="1"/>
    <x v="3"/>
    <n v="27"/>
  </r>
  <r>
    <x v="1025"/>
    <n v="1"/>
    <x v="3"/>
    <n v="27"/>
  </r>
  <r>
    <x v="1026"/>
    <n v="1"/>
    <x v="3"/>
    <n v="14"/>
  </r>
  <r>
    <x v="1027"/>
    <n v="1"/>
    <x v="3"/>
    <n v="36"/>
  </r>
  <r>
    <x v="1028"/>
    <n v="1"/>
    <x v="3"/>
    <n v="11"/>
  </r>
  <r>
    <x v="1029"/>
    <n v="1"/>
    <x v="3"/>
    <n v="20"/>
  </r>
  <r>
    <x v="1030"/>
    <n v="1"/>
    <x v="3"/>
    <n v="20"/>
  </r>
  <r>
    <x v="1031"/>
    <n v="1"/>
    <x v="3"/>
    <n v="18"/>
  </r>
  <r>
    <x v="1032"/>
    <n v="1"/>
    <x v="3"/>
    <n v="17"/>
  </r>
  <r>
    <x v="1033"/>
    <n v="1"/>
    <x v="3"/>
    <n v="15"/>
  </r>
  <r>
    <x v="1034"/>
    <n v="1"/>
    <x v="3"/>
    <n v="23"/>
  </r>
  <r>
    <x v="1035"/>
    <n v="1"/>
    <x v="3"/>
    <n v="16"/>
  </r>
  <r>
    <x v="1036"/>
    <n v="1"/>
    <x v="3"/>
    <n v="19"/>
  </r>
  <r>
    <x v="1037"/>
    <n v="1"/>
    <x v="3"/>
    <n v="26"/>
  </r>
  <r>
    <x v="1038"/>
    <n v="1"/>
    <x v="3"/>
    <n v="21"/>
  </r>
  <r>
    <x v="1039"/>
    <n v="1"/>
    <x v="3"/>
    <n v="17"/>
  </r>
  <r>
    <x v="1040"/>
    <n v="1"/>
    <x v="3"/>
    <n v="17"/>
  </r>
  <r>
    <x v="1041"/>
    <n v="1"/>
    <x v="3"/>
    <n v="22"/>
  </r>
  <r>
    <x v="1042"/>
    <n v="1"/>
    <x v="3"/>
    <n v="19"/>
  </r>
  <r>
    <x v="1043"/>
    <n v="1"/>
    <x v="3"/>
    <n v="16"/>
  </r>
  <r>
    <x v="1044"/>
    <n v="1"/>
    <x v="3"/>
    <n v="21"/>
  </r>
  <r>
    <x v="1045"/>
    <n v="1"/>
    <x v="3"/>
    <n v="21"/>
  </r>
  <r>
    <x v="1046"/>
    <n v="1"/>
    <x v="3"/>
    <n v="16"/>
  </r>
  <r>
    <x v="1047"/>
    <n v="1"/>
    <x v="3"/>
    <n v="23"/>
  </r>
  <r>
    <x v="1048"/>
    <n v="1"/>
    <x v="3"/>
    <n v="27"/>
  </r>
  <r>
    <x v="1049"/>
    <n v="1"/>
    <x v="3"/>
    <n v="14"/>
  </r>
  <r>
    <x v="1050"/>
    <n v="1"/>
    <x v="3"/>
    <n v="19"/>
  </r>
  <r>
    <x v="1051"/>
    <n v="1"/>
    <x v="3"/>
    <n v="9"/>
  </r>
  <r>
    <x v="1052"/>
    <n v="1"/>
    <x v="3"/>
    <n v="15"/>
  </r>
  <r>
    <x v="1053"/>
    <n v="1"/>
    <x v="3"/>
    <n v="16"/>
  </r>
  <r>
    <x v="1054"/>
    <n v="1"/>
    <x v="3"/>
    <n v="17"/>
  </r>
  <r>
    <x v="1055"/>
    <n v="1"/>
    <x v="3"/>
    <n v="28"/>
  </r>
  <r>
    <x v="1056"/>
    <n v="1"/>
    <x v="3"/>
    <n v="16"/>
  </r>
  <r>
    <x v="1057"/>
    <n v="1"/>
    <x v="3"/>
    <n v="23"/>
  </r>
  <r>
    <x v="1058"/>
    <n v="1"/>
    <x v="3"/>
    <n v="23"/>
  </r>
  <r>
    <x v="1059"/>
    <n v="1"/>
    <x v="3"/>
    <n v="18"/>
  </r>
  <r>
    <x v="1060"/>
    <n v="1"/>
    <x v="3"/>
    <n v="28"/>
  </r>
  <r>
    <x v="1061"/>
    <n v="1"/>
    <x v="3"/>
    <n v="31"/>
  </r>
  <r>
    <x v="1062"/>
    <n v="1"/>
    <x v="3"/>
    <n v="24"/>
  </r>
  <r>
    <x v="1063"/>
    <n v="1"/>
    <x v="3"/>
    <n v="20"/>
  </r>
  <r>
    <x v="1064"/>
    <n v="1"/>
    <x v="3"/>
    <n v="18"/>
  </r>
  <r>
    <x v="1065"/>
    <n v="1"/>
    <x v="3"/>
    <n v="17"/>
  </r>
  <r>
    <x v="1066"/>
    <n v="1"/>
    <x v="3"/>
    <n v="12"/>
  </r>
  <r>
    <x v="1067"/>
    <n v="1"/>
    <x v="3"/>
    <n v="16"/>
  </r>
  <r>
    <x v="1068"/>
    <n v="1"/>
    <x v="3"/>
    <n v="25"/>
  </r>
  <r>
    <x v="1069"/>
    <n v="1"/>
    <x v="3"/>
    <n v="16"/>
  </r>
  <r>
    <x v="1070"/>
    <n v="1"/>
    <x v="3"/>
    <n v="9"/>
  </r>
  <r>
    <x v="1071"/>
    <n v="1"/>
    <x v="3"/>
    <n v="11"/>
  </r>
  <r>
    <x v="1072"/>
    <n v="1"/>
    <x v="3"/>
    <n v="13"/>
  </r>
  <r>
    <x v="1073"/>
    <n v="1"/>
    <x v="3"/>
    <n v="23"/>
  </r>
  <r>
    <x v="1074"/>
    <n v="1"/>
    <x v="3"/>
    <n v="7"/>
  </r>
  <r>
    <x v="1075"/>
    <n v="1"/>
    <x v="3"/>
    <n v="18"/>
  </r>
  <r>
    <x v="1076"/>
    <n v="1"/>
    <x v="3"/>
    <n v="16"/>
  </r>
  <r>
    <x v="1077"/>
    <n v="1"/>
    <x v="3"/>
    <n v="12"/>
  </r>
  <r>
    <x v="1078"/>
    <n v="1"/>
    <x v="3"/>
    <n v="11"/>
  </r>
  <r>
    <x v="1079"/>
    <n v="1"/>
    <x v="3"/>
    <n v="17"/>
  </r>
  <r>
    <x v="1080"/>
    <n v="1"/>
    <x v="3"/>
    <n v="16"/>
  </r>
  <r>
    <x v="1081"/>
    <n v="1"/>
    <x v="3"/>
    <n v="24"/>
  </r>
  <r>
    <x v="1082"/>
    <n v="1"/>
    <x v="3"/>
    <n v="10"/>
  </r>
  <r>
    <x v="1083"/>
    <n v="1"/>
    <x v="3"/>
    <n v="14"/>
  </r>
  <r>
    <x v="1084"/>
    <n v="1"/>
    <x v="3"/>
    <n v="11"/>
  </r>
  <r>
    <x v="1085"/>
    <n v="1"/>
    <x v="3"/>
    <n v="12"/>
  </r>
  <r>
    <x v="1086"/>
    <n v="1"/>
    <x v="3"/>
    <n v="11"/>
  </r>
  <r>
    <x v="1087"/>
    <n v="1"/>
    <x v="3"/>
    <n v="16"/>
  </r>
  <r>
    <x v="1088"/>
    <n v="1"/>
    <x v="3"/>
    <n v="17"/>
  </r>
  <r>
    <x v="1089"/>
    <n v="1"/>
    <x v="3"/>
    <n v="14"/>
  </r>
  <r>
    <x v="1090"/>
    <n v="1"/>
    <x v="3"/>
    <n v="18"/>
  </r>
  <r>
    <x v="1091"/>
    <n v="1"/>
    <x v="3"/>
    <n v="5"/>
  </r>
  <r>
    <x v="1092"/>
    <n v="1"/>
    <x v="3"/>
    <n v="15"/>
  </r>
  <r>
    <x v="1093"/>
    <n v="1"/>
    <x v="3"/>
    <n v="15"/>
  </r>
  <r>
    <x v="1094"/>
    <n v="1"/>
    <x v="3"/>
    <n v="22"/>
  </r>
  <r>
    <x v="1095"/>
    <n v="1"/>
    <x v="3"/>
    <n v="15"/>
  </r>
  <r>
    <x v="1096"/>
    <n v="1"/>
    <x v="3"/>
    <n v="15"/>
  </r>
  <r>
    <x v="1097"/>
    <n v="1"/>
    <x v="3"/>
    <n v="21"/>
  </r>
  <r>
    <x v="1098"/>
    <n v="1"/>
    <x v="3"/>
    <n v="12"/>
  </r>
  <r>
    <x v="1099"/>
    <n v="1"/>
    <x v="3"/>
    <n v="12"/>
  </r>
  <r>
    <x v="1100"/>
    <n v="1"/>
    <x v="3"/>
    <n v="12"/>
  </r>
  <r>
    <x v="1101"/>
    <n v="1"/>
    <x v="3"/>
    <n v="16"/>
  </r>
  <r>
    <x v="1102"/>
    <n v="1"/>
    <x v="3"/>
    <n v="10"/>
  </r>
  <r>
    <x v="1103"/>
    <n v="1"/>
    <x v="3"/>
    <n v="23"/>
  </r>
  <r>
    <x v="1104"/>
    <n v="1"/>
    <x v="3"/>
    <n v="13"/>
  </r>
  <r>
    <x v="1105"/>
    <n v="1"/>
    <x v="3"/>
    <n v="11"/>
  </r>
  <r>
    <x v="1106"/>
    <n v="1"/>
    <x v="3"/>
    <n v="10"/>
  </r>
  <r>
    <x v="1107"/>
    <n v="1"/>
    <x v="3"/>
    <n v="12"/>
  </r>
  <r>
    <x v="1108"/>
    <n v="1"/>
    <x v="3"/>
    <n v="14"/>
  </r>
  <r>
    <x v="1109"/>
    <n v="1"/>
    <x v="3"/>
    <n v="12"/>
  </r>
  <r>
    <x v="1110"/>
    <n v="1"/>
    <x v="3"/>
    <n v="12"/>
  </r>
  <r>
    <x v="1111"/>
    <n v="1"/>
    <x v="3"/>
    <n v="19"/>
  </r>
  <r>
    <x v="1112"/>
    <n v="1"/>
    <x v="3"/>
    <n v="7"/>
  </r>
  <r>
    <x v="1113"/>
    <n v="1"/>
    <x v="3"/>
    <n v="17"/>
  </r>
  <r>
    <x v="1114"/>
    <n v="1"/>
    <x v="3"/>
    <n v="14"/>
  </r>
  <r>
    <x v="1115"/>
    <n v="1"/>
    <x v="3"/>
    <n v="13"/>
  </r>
  <r>
    <x v="1116"/>
    <n v="1"/>
    <x v="3"/>
    <n v="17"/>
  </r>
  <r>
    <x v="1117"/>
    <n v="1"/>
    <x v="3"/>
    <n v="10"/>
  </r>
  <r>
    <x v="1118"/>
    <n v="1"/>
    <x v="3"/>
    <n v="25"/>
  </r>
  <r>
    <x v="1119"/>
    <n v="1"/>
    <x v="3"/>
    <n v="11"/>
  </r>
  <r>
    <x v="1120"/>
    <n v="1"/>
    <x v="3"/>
    <n v="12"/>
  </r>
  <r>
    <x v="1121"/>
    <n v="1"/>
    <x v="3"/>
    <n v="12"/>
  </r>
  <r>
    <x v="1122"/>
    <n v="1"/>
    <x v="3"/>
    <n v="15"/>
  </r>
  <r>
    <x v="1123"/>
    <n v="1"/>
    <x v="3"/>
    <n v="19"/>
  </r>
  <r>
    <x v="1124"/>
    <n v="1"/>
    <x v="3"/>
    <n v="19"/>
  </r>
  <r>
    <x v="1125"/>
    <n v="1"/>
    <x v="3"/>
    <n v="17"/>
  </r>
  <r>
    <x v="1126"/>
    <n v="1"/>
    <x v="3"/>
    <n v="10"/>
  </r>
  <r>
    <x v="1127"/>
    <n v="1"/>
    <x v="3"/>
    <n v="14"/>
  </r>
  <r>
    <x v="1128"/>
    <n v="1"/>
    <x v="3"/>
    <n v="20"/>
  </r>
  <r>
    <x v="1129"/>
    <n v="1"/>
    <x v="3"/>
    <n v="20"/>
  </r>
  <r>
    <x v="1130"/>
    <n v="1"/>
    <x v="3"/>
    <n v="10"/>
  </r>
  <r>
    <x v="1131"/>
    <n v="1"/>
    <x v="3"/>
    <n v="21"/>
  </r>
  <r>
    <x v="1132"/>
    <n v="1"/>
    <x v="3"/>
    <n v="17"/>
  </r>
  <r>
    <x v="1133"/>
    <n v="1"/>
    <x v="3"/>
    <n v="15"/>
  </r>
  <r>
    <x v="1134"/>
    <n v="1"/>
    <x v="3"/>
    <n v="12"/>
  </r>
  <r>
    <x v="1135"/>
    <n v="1"/>
    <x v="3"/>
    <n v="25"/>
  </r>
  <r>
    <x v="1136"/>
    <n v="1"/>
    <x v="3"/>
    <n v="24"/>
  </r>
  <r>
    <x v="1137"/>
    <n v="1"/>
    <x v="3"/>
    <n v="13"/>
  </r>
  <r>
    <x v="1138"/>
    <n v="1"/>
    <x v="3"/>
    <n v="17"/>
  </r>
  <r>
    <x v="1139"/>
    <n v="1"/>
    <x v="3"/>
    <n v="21"/>
  </r>
  <r>
    <x v="1140"/>
    <n v="1"/>
    <x v="3"/>
    <n v="11"/>
  </r>
  <r>
    <x v="1141"/>
    <n v="1"/>
    <x v="3"/>
    <n v="8"/>
  </r>
  <r>
    <x v="1142"/>
    <n v="1"/>
    <x v="3"/>
    <n v="11"/>
  </r>
  <r>
    <x v="1143"/>
    <n v="1"/>
    <x v="3"/>
    <n v="15"/>
  </r>
  <r>
    <x v="1144"/>
    <n v="1"/>
    <x v="3"/>
    <n v="24"/>
  </r>
  <r>
    <x v="1145"/>
    <n v="1"/>
    <x v="3"/>
    <n v="26"/>
  </r>
  <r>
    <x v="1146"/>
    <n v="1"/>
    <x v="3"/>
    <n v="28"/>
  </r>
  <r>
    <x v="1147"/>
    <n v="1"/>
    <x v="3"/>
    <n v="13"/>
  </r>
  <r>
    <x v="1148"/>
    <n v="1"/>
    <x v="3"/>
    <n v="20"/>
  </r>
  <r>
    <x v="1149"/>
    <n v="1"/>
    <x v="3"/>
    <n v="14"/>
  </r>
  <r>
    <x v="1150"/>
    <n v="1"/>
    <x v="3"/>
    <n v="15"/>
  </r>
  <r>
    <x v="1151"/>
    <n v="1"/>
    <x v="3"/>
    <n v="26"/>
  </r>
  <r>
    <x v="1152"/>
    <n v="1"/>
    <x v="3"/>
    <n v="16"/>
  </r>
  <r>
    <x v="1153"/>
    <n v="1"/>
    <x v="3"/>
    <n v="14"/>
  </r>
  <r>
    <x v="1154"/>
    <n v="1"/>
    <x v="3"/>
    <n v="11"/>
  </r>
  <r>
    <x v="1155"/>
    <n v="1"/>
    <x v="3"/>
    <n v="16"/>
  </r>
  <r>
    <x v="1156"/>
    <n v="1"/>
    <x v="3"/>
    <n v="21"/>
  </r>
  <r>
    <x v="1157"/>
    <n v="1"/>
    <x v="3"/>
    <n v="15"/>
  </r>
  <r>
    <x v="1158"/>
    <n v="1"/>
    <x v="3"/>
    <n v="20"/>
  </r>
  <r>
    <x v="1159"/>
    <n v="1"/>
    <x v="3"/>
    <n v="20"/>
  </r>
  <r>
    <x v="1160"/>
    <n v="1"/>
    <x v="3"/>
    <n v="23"/>
  </r>
  <r>
    <x v="1161"/>
    <n v="1"/>
    <x v="3"/>
    <n v="16"/>
  </r>
  <r>
    <x v="1162"/>
    <n v="1"/>
    <x v="3"/>
    <n v="18"/>
  </r>
  <r>
    <x v="1163"/>
    <n v="1"/>
    <x v="3"/>
    <n v="17"/>
  </r>
  <r>
    <x v="1164"/>
    <n v="1"/>
    <x v="3"/>
    <n v="24"/>
  </r>
  <r>
    <x v="1165"/>
    <n v="1"/>
    <x v="3"/>
    <n v="20"/>
  </r>
  <r>
    <x v="1166"/>
    <n v="1"/>
    <x v="3"/>
    <n v="25"/>
  </r>
  <r>
    <x v="1167"/>
    <n v="1"/>
    <x v="3"/>
    <n v="18"/>
  </r>
  <r>
    <x v="1168"/>
    <n v="1"/>
    <x v="3"/>
    <n v="10"/>
  </r>
  <r>
    <x v="1169"/>
    <n v="1"/>
    <x v="3"/>
    <n v="18"/>
  </r>
  <r>
    <x v="1170"/>
    <n v="1"/>
    <x v="3"/>
    <n v="22"/>
  </r>
  <r>
    <x v="1171"/>
    <n v="1"/>
    <x v="3"/>
    <n v="24"/>
  </r>
  <r>
    <x v="1172"/>
    <n v="1"/>
    <x v="3"/>
    <n v="23"/>
  </r>
  <r>
    <x v="1173"/>
    <n v="1"/>
    <x v="3"/>
    <n v="27"/>
  </r>
  <r>
    <x v="1174"/>
    <n v="1"/>
    <x v="3"/>
    <n v="18"/>
  </r>
  <r>
    <x v="1175"/>
    <n v="1"/>
    <x v="3"/>
    <n v="13"/>
  </r>
  <r>
    <x v="1176"/>
    <n v="1"/>
    <x v="3"/>
    <n v="17"/>
  </r>
  <r>
    <x v="1177"/>
    <n v="1"/>
    <x v="3"/>
    <n v="20"/>
  </r>
  <r>
    <x v="1178"/>
    <n v="1"/>
    <x v="3"/>
    <n v="22"/>
  </r>
  <r>
    <x v="1179"/>
    <n v="1"/>
    <x v="3"/>
    <n v="28"/>
  </r>
  <r>
    <x v="1180"/>
    <n v="1"/>
    <x v="3"/>
    <n v="12"/>
  </r>
  <r>
    <x v="1181"/>
    <n v="1"/>
    <x v="3"/>
    <n v="20"/>
  </r>
  <r>
    <x v="1182"/>
    <n v="1"/>
    <x v="3"/>
    <n v="17"/>
  </r>
  <r>
    <x v="1183"/>
    <n v="1"/>
    <x v="3"/>
    <n v="16"/>
  </r>
  <r>
    <x v="1184"/>
    <n v="1"/>
    <x v="3"/>
    <n v="14"/>
  </r>
  <r>
    <x v="1185"/>
    <n v="1"/>
    <x v="3"/>
    <n v="20"/>
  </r>
  <r>
    <x v="1186"/>
    <n v="1"/>
    <x v="3"/>
    <n v="26"/>
  </r>
  <r>
    <x v="1187"/>
    <n v="1"/>
    <x v="3"/>
    <n v="26"/>
  </r>
  <r>
    <x v="1188"/>
    <n v="1"/>
    <x v="3"/>
    <n v="22"/>
  </r>
  <r>
    <x v="1189"/>
    <n v="1"/>
    <x v="3"/>
    <n v="18"/>
  </r>
  <r>
    <x v="1190"/>
    <n v="1"/>
    <x v="3"/>
    <n v="25"/>
  </r>
  <r>
    <x v="1191"/>
    <n v="1"/>
    <x v="3"/>
    <n v="17"/>
  </r>
  <r>
    <x v="1192"/>
    <n v="1"/>
    <x v="3"/>
    <n v="25"/>
  </r>
  <r>
    <x v="1193"/>
    <n v="1"/>
    <x v="3"/>
    <n v="28"/>
  </r>
  <r>
    <x v="1194"/>
    <n v="1"/>
    <x v="3"/>
    <n v="30"/>
  </r>
  <r>
    <x v="1195"/>
    <n v="1"/>
    <x v="3"/>
    <n v="21"/>
  </r>
  <r>
    <x v="1196"/>
    <n v="1"/>
    <x v="3"/>
    <n v="29"/>
  </r>
  <r>
    <x v="1197"/>
    <n v="1"/>
    <x v="3"/>
    <n v="20"/>
  </r>
  <r>
    <x v="1198"/>
    <n v="1"/>
    <x v="3"/>
    <n v="20"/>
  </r>
  <r>
    <x v="1199"/>
    <n v="1"/>
    <x v="3"/>
    <n v="21"/>
  </r>
  <r>
    <x v="1200"/>
    <n v="1"/>
    <x v="3"/>
    <n v="22"/>
  </r>
  <r>
    <x v="1201"/>
    <n v="1"/>
    <x v="3"/>
    <n v="27"/>
  </r>
  <r>
    <x v="1202"/>
    <n v="1"/>
    <x v="3"/>
    <n v="26"/>
  </r>
  <r>
    <x v="1203"/>
    <n v="1"/>
    <x v="3"/>
    <n v="19"/>
  </r>
  <r>
    <x v="1204"/>
    <n v="1"/>
    <x v="3"/>
    <n v="22"/>
  </r>
  <r>
    <x v="1205"/>
    <n v="1"/>
    <x v="3"/>
    <n v="29"/>
  </r>
  <r>
    <x v="1206"/>
    <n v="1"/>
    <x v="3"/>
    <n v="21"/>
  </r>
  <r>
    <x v="1207"/>
    <n v="1"/>
    <x v="3"/>
    <n v="23"/>
  </r>
  <r>
    <x v="1208"/>
    <n v="1"/>
    <x v="3"/>
    <n v="26"/>
  </r>
  <r>
    <x v="1209"/>
    <n v="1"/>
    <x v="3"/>
    <n v="26"/>
  </r>
  <r>
    <x v="1210"/>
    <n v="1"/>
    <x v="3"/>
    <n v="18"/>
  </r>
  <r>
    <x v="1211"/>
    <n v="1"/>
    <x v="3"/>
    <n v="22"/>
  </r>
  <r>
    <x v="1212"/>
    <n v="1"/>
    <x v="3"/>
    <n v="27"/>
  </r>
  <r>
    <x v="1213"/>
    <n v="1"/>
    <x v="3"/>
    <n v="20"/>
  </r>
  <r>
    <x v="1214"/>
    <n v="1"/>
    <x v="3"/>
    <n v="24"/>
  </r>
  <r>
    <x v="1215"/>
    <n v="1"/>
    <x v="3"/>
    <n v="26"/>
  </r>
  <r>
    <x v="1216"/>
    <n v="1"/>
    <x v="3"/>
    <n v="22"/>
  </r>
  <r>
    <x v="1217"/>
    <n v="1"/>
    <x v="3"/>
    <n v="25"/>
  </r>
  <r>
    <x v="1218"/>
    <n v="1"/>
    <x v="3"/>
    <n v="25"/>
  </r>
  <r>
    <x v="1219"/>
    <n v="1"/>
    <x v="3"/>
    <n v="20"/>
  </r>
  <r>
    <x v="1220"/>
    <n v="1"/>
    <x v="3"/>
    <n v="31"/>
  </r>
  <r>
    <x v="1221"/>
    <n v="1"/>
    <x v="3"/>
    <n v="32"/>
  </r>
  <r>
    <x v="1222"/>
    <n v="1"/>
    <x v="3"/>
    <n v="24"/>
  </r>
  <r>
    <x v="1223"/>
    <n v="1"/>
    <x v="3"/>
    <n v="23"/>
  </r>
  <r>
    <x v="1224"/>
    <n v="1"/>
    <x v="3"/>
    <n v="27"/>
  </r>
  <r>
    <x v="1225"/>
    <n v="1"/>
    <x v="3"/>
    <n v="29"/>
  </r>
  <r>
    <x v="1226"/>
    <n v="1"/>
    <x v="3"/>
    <n v="27"/>
  </r>
  <r>
    <x v="1227"/>
    <n v="1"/>
    <x v="3"/>
    <n v="23"/>
  </r>
  <r>
    <x v="1228"/>
    <n v="1"/>
    <x v="3"/>
    <n v="25"/>
  </r>
  <r>
    <x v="1229"/>
    <n v="1"/>
    <x v="3"/>
    <n v="40"/>
  </r>
  <r>
    <x v="1230"/>
    <n v="1"/>
    <x v="3"/>
    <n v="27"/>
  </r>
  <r>
    <x v="1231"/>
    <n v="1"/>
    <x v="3"/>
    <n v="24"/>
  </r>
  <r>
    <x v="1232"/>
    <n v="1"/>
    <x v="3"/>
    <n v="17"/>
  </r>
  <r>
    <x v="1233"/>
    <n v="1"/>
    <x v="3"/>
    <n v="25"/>
  </r>
  <r>
    <x v="1234"/>
    <n v="1"/>
    <x v="3"/>
    <n v="19"/>
  </r>
  <r>
    <x v="1235"/>
    <n v="1"/>
    <x v="3"/>
    <n v="23"/>
  </r>
  <r>
    <x v="1236"/>
    <n v="1"/>
    <x v="3"/>
    <n v="21"/>
  </r>
  <r>
    <x v="1237"/>
    <n v="1"/>
    <x v="3"/>
    <n v="29"/>
  </r>
  <r>
    <x v="1238"/>
    <n v="1"/>
    <x v="3"/>
    <n v="19"/>
  </r>
  <r>
    <x v="1239"/>
    <n v="1"/>
    <x v="3"/>
    <n v="25"/>
  </r>
  <r>
    <x v="1240"/>
    <n v="1"/>
    <x v="3"/>
    <n v="28"/>
  </r>
  <r>
    <x v="1241"/>
    <n v="1"/>
    <x v="3"/>
    <n v="21"/>
  </r>
  <r>
    <x v="1242"/>
    <n v="1"/>
    <x v="3"/>
    <n v="22"/>
  </r>
  <r>
    <x v="1243"/>
    <n v="1"/>
    <x v="3"/>
    <n v="22"/>
  </r>
  <r>
    <x v="1244"/>
    <n v="1"/>
    <x v="3"/>
    <n v="35"/>
  </r>
  <r>
    <x v="1245"/>
    <n v="1"/>
    <x v="3"/>
    <n v="22"/>
  </r>
  <r>
    <x v="1246"/>
    <n v="1"/>
    <x v="3"/>
    <n v="27"/>
  </r>
  <r>
    <x v="1247"/>
    <n v="1"/>
    <x v="3"/>
    <n v="27"/>
  </r>
  <r>
    <x v="1248"/>
    <n v="1"/>
    <x v="3"/>
    <n v="29"/>
  </r>
  <r>
    <x v="1249"/>
    <n v="1"/>
    <x v="3"/>
    <n v="25"/>
  </r>
  <r>
    <x v="1250"/>
    <n v="1"/>
    <x v="3"/>
    <n v="24"/>
  </r>
  <r>
    <x v="1251"/>
    <n v="1"/>
    <x v="3"/>
    <n v="34"/>
  </r>
  <r>
    <x v="1252"/>
    <n v="1"/>
    <x v="3"/>
    <n v="27"/>
  </r>
  <r>
    <x v="1253"/>
    <n v="1"/>
    <x v="3"/>
    <n v="25"/>
  </r>
  <r>
    <x v="1254"/>
    <n v="1"/>
    <x v="3"/>
    <n v="30"/>
  </r>
  <r>
    <x v="1255"/>
    <n v="1"/>
    <x v="3"/>
    <n v="27"/>
  </r>
  <r>
    <x v="1256"/>
    <n v="1"/>
    <x v="3"/>
    <n v="28"/>
  </r>
  <r>
    <x v="1257"/>
    <n v="1"/>
    <x v="3"/>
    <n v="27"/>
  </r>
  <r>
    <x v="1258"/>
    <n v="1"/>
    <x v="3"/>
    <n v="32"/>
  </r>
  <r>
    <x v="1259"/>
    <n v="1"/>
    <x v="3"/>
    <n v="16"/>
  </r>
  <r>
    <x v="1260"/>
    <n v="1"/>
    <x v="3"/>
    <n v="21"/>
  </r>
  <r>
    <x v="1261"/>
    <n v="1"/>
    <x v="3"/>
    <n v="29"/>
  </r>
  <r>
    <x v="1262"/>
    <n v="1"/>
    <x v="3"/>
    <n v="23"/>
  </r>
  <r>
    <x v="1263"/>
    <n v="1"/>
    <x v="3"/>
    <n v="29"/>
  </r>
  <r>
    <x v="1264"/>
    <n v="1"/>
    <x v="3"/>
    <n v="30"/>
  </r>
  <r>
    <x v="1265"/>
    <n v="1"/>
    <x v="3"/>
    <n v="30"/>
  </r>
  <r>
    <x v="1266"/>
    <n v="1"/>
    <x v="3"/>
    <n v="21"/>
  </r>
  <r>
    <x v="1267"/>
    <n v="1"/>
    <x v="3"/>
    <n v="25"/>
  </r>
  <r>
    <x v="1268"/>
    <n v="1"/>
    <x v="3"/>
    <n v="20"/>
  </r>
  <r>
    <x v="1269"/>
    <n v="1"/>
    <x v="3"/>
    <n v="34"/>
  </r>
  <r>
    <x v="1270"/>
    <n v="1"/>
    <x v="3"/>
    <n v="24"/>
  </r>
  <r>
    <x v="1271"/>
    <n v="1"/>
    <x v="3"/>
    <n v="39"/>
  </r>
  <r>
    <x v="1272"/>
    <n v="1"/>
    <x v="3"/>
    <n v="38"/>
  </r>
  <r>
    <x v="1273"/>
    <n v="1"/>
    <x v="3"/>
    <n v="28"/>
  </r>
  <r>
    <x v="1274"/>
    <n v="1"/>
    <x v="3"/>
    <n v="14"/>
  </r>
  <r>
    <x v="1275"/>
    <n v="1"/>
    <x v="3"/>
    <n v="29"/>
  </r>
  <r>
    <x v="1276"/>
    <n v="1"/>
    <x v="3"/>
    <n v="25"/>
  </r>
  <r>
    <x v="1277"/>
    <n v="1"/>
    <x v="3"/>
    <n v="29"/>
  </r>
  <r>
    <x v="1278"/>
    <n v="1"/>
    <x v="3"/>
    <n v="28"/>
  </r>
  <r>
    <x v="1279"/>
    <n v="1"/>
    <x v="3"/>
    <n v="19"/>
  </r>
  <r>
    <x v="1280"/>
    <n v="1"/>
    <x v="3"/>
    <n v="26"/>
  </r>
  <r>
    <x v="1281"/>
    <n v="1"/>
    <x v="3"/>
    <n v="27"/>
  </r>
  <r>
    <x v="1282"/>
    <n v="1"/>
    <x v="3"/>
    <n v="23"/>
  </r>
  <r>
    <x v="1283"/>
    <n v="1"/>
    <x v="3"/>
    <n v="32"/>
  </r>
  <r>
    <x v="1284"/>
    <n v="1"/>
    <x v="3"/>
    <n v="32"/>
  </r>
  <r>
    <x v="1285"/>
    <n v="1"/>
    <x v="3"/>
    <n v="30"/>
  </r>
  <r>
    <x v="1286"/>
    <n v="1"/>
    <x v="3"/>
    <n v="31"/>
  </r>
  <r>
    <x v="1287"/>
    <n v="1"/>
    <x v="3"/>
    <n v="19"/>
  </r>
  <r>
    <x v="1288"/>
    <n v="1"/>
    <x v="3"/>
    <n v="25"/>
  </r>
  <r>
    <x v="1289"/>
    <n v="1"/>
    <x v="3"/>
    <n v="19"/>
  </r>
  <r>
    <x v="1290"/>
    <n v="1"/>
    <x v="3"/>
    <n v="19"/>
  </r>
  <r>
    <x v="1291"/>
    <n v="1"/>
    <x v="3"/>
    <n v="35"/>
  </r>
  <r>
    <x v="1292"/>
    <n v="1"/>
    <x v="3"/>
    <n v="26"/>
  </r>
  <r>
    <x v="1293"/>
    <n v="1"/>
    <x v="3"/>
    <n v="41"/>
  </r>
  <r>
    <x v="1294"/>
    <n v="1"/>
    <x v="3"/>
    <n v="27"/>
  </r>
  <r>
    <x v="1295"/>
    <n v="1"/>
    <x v="3"/>
    <n v="21"/>
  </r>
  <r>
    <x v="1296"/>
    <n v="1"/>
    <x v="3"/>
    <n v="29"/>
  </r>
  <r>
    <x v="1297"/>
    <n v="1"/>
    <x v="3"/>
    <n v="27"/>
  </r>
  <r>
    <x v="1298"/>
    <n v="1"/>
    <x v="3"/>
    <n v="34"/>
  </r>
  <r>
    <x v="1299"/>
    <n v="1"/>
    <x v="3"/>
    <n v="31"/>
  </r>
  <r>
    <x v="1300"/>
    <n v="1"/>
    <x v="3"/>
    <n v="40"/>
  </r>
  <r>
    <x v="1301"/>
    <n v="1"/>
    <x v="3"/>
    <n v="15"/>
  </r>
  <r>
    <x v="1302"/>
    <n v="1"/>
    <x v="3"/>
    <n v="24"/>
  </r>
  <r>
    <x v="1303"/>
    <n v="1"/>
    <x v="3"/>
    <n v="33"/>
  </r>
  <r>
    <x v="1304"/>
    <n v="1"/>
    <x v="3"/>
    <n v="35"/>
  </r>
  <r>
    <x v="1305"/>
    <n v="1"/>
    <x v="3"/>
    <n v="23"/>
  </r>
  <r>
    <x v="1306"/>
    <n v="1"/>
    <x v="3"/>
    <n v="25"/>
  </r>
  <r>
    <x v="1307"/>
    <n v="1"/>
    <x v="3"/>
    <n v="31"/>
  </r>
  <r>
    <x v="1308"/>
    <n v="1"/>
    <x v="3"/>
    <n v="28"/>
  </r>
  <r>
    <x v="1309"/>
    <n v="1"/>
    <x v="3"/>
    <n v="29"/>
  </r>
  <r>
    <x v="1310"/>
    <n v="1"/>
    <x v="3"/>
    <n v="17"/>
  </r>
  <r>
    <x v="1311"/>
    <n v="1"/>
    <x v="3"/>
    <n v="19"/>
  </r>
  <r>
    <x v="1312"/>
    <n v="1"/>
    <x v="3"/>
    <n v="31"/>
  </r>
  <r>
    <x v="1313"/>
    <n v="1"/>
    <x v="3"/>
    <n v="31"/>
  </r>
  <r>
    <x v="1314"/>
    <n v="1"/>
    <x v="3"/>
    <n v="35"/>
  </r>
  <r>
    <x v="1315"/>
    <n v="1"/>
    <x v="3"/>
    <n v="15"/>
  </r>
  <r>
    <x v="1316"/>
    <n v="1"/>
    <x v="3"/>
    <n v="11"/>
  </r>
  <r>
    <x v="1317"/>
    <n v="1"/>
    <x v="3"/>
    <n v="15"/>
  </r>
  <r>
    <x v="1318"/>
    <n v="1"/>
    <x v="3"/>
    <n v="28"/>
  </r>
  <r>
    <x v="1319"/>
    <n v="1"/>
    <x v="3"/>
    <n v="22"/>
  </r>
  <r>
    <x v="1320"/>
    <n v="1"/>
    <x v="3"/>
    <n v="21"/>
  </r>
  <r>
    <x v="1321"/>
    <n v="1"/>
    <x v="3"/>
    <n v="29"/>
  </r>
  <r>
    <x v="1322"/>
    <n v="1"/>
    <x v="3"/>
    <n v="17"/>
  </r>
  <r>
    <x v="1323"/>
    <n v="1"/>
    <x v="3"/>
    <n v="21"/>
  </r>
  <r>
    <x v="1324"/>
    <n v="1"/>
    <x v="3"/>
    <n v="16"/>
  </r>
  <r>
    <x v="1325"/>
    <n v="1"/>
    <x v="3"/>
    <n v="30"/>
  </r>
  <r>
    <x v="1326"/>
    <n v="1"/>
    <x v="3"/>
    <n v="27"/>
  </r>
  <r>
    <x v="1327"/>
    <n v="1"/>
    <x v="3"/>
    <n v="27"/>
  </r>
  <r>
    <x v="1328"/>
    <n v="1"/>
    <x v="3"/>
    <n v="33"/>
  </r>
  <r>
    <x v="1329"/>
    <n v="1"/>
    <x v="3"/>
    <n v="17"/>
  </r>
  <r>
    <x v="1330"/>
    <n v="1"/>
    <x v="3"/>
    <n v="18"/>
  </r>
  <r>
    <x v="1331"/>
    <n v="1"/>
    <x v="3"/>
    <n v="31"/>
  </r>
  <r>
    <x v="1332"/>
    <n v="1"/>
    <x v="3"/>
    <n v="21"/>
  </r>
  <r>
    <x v="1333"/>
    <n v="1"/>
    <x v="3"/>
    <n v="28"/>
  </r>
  <r>
    <x v="1334"/>
    <n v="1"/>
    <x v="3"/>
    <n v="32"/>
  </r>
  <r>
    <x v="1335"/>
    <n v="1"/>
    <x v="3"/>
    <n v="25"/>
  </r>
  <r>
    <x v="1336"/>
    <n v="1"/>
    <x v="3"/>
    <n v="23"/>
  </r>
  <r>
    <x v="1337"/>
    <n v="1"/>
    <x v="3"/>
    <n v="21"/>
  </r>
  <r>
    <x v="1338"/>
    <n v="1"/>
    <x v="3"/>
    <n v="21"/>
  </r>
  <r>
    <x v="1339"/>
    <n v="1"/>
    <x v="3"/>
    <n v="13"/>
  </r>
  <r>
    <x v="1340"/>
    <n v="1"/>
    <x v="3"/>
    <n v="22"/>
  </r>
  <r>
    <x v="1341"/>
    <n v="1"/>
    <x v="3"/>
    <n v="35"/>
  </r>
  <r>
    <x v="1342"/>
    <n v="1"/>
    <x v="3"/>
    <n v="23"/>
  </r>
  <r>
    <x v="1343"/>
    <n v="1"/>
    <x v="3"/>
    <n v="25"/>
  </r>
  <r>
    <x v="1344"/>
    <n v="1"/>
    <x v="3"/>
    <n v="22"/>
  </r>
  <r>
    <x v="1345"/>
    <n v="1"/>
    <x v="3"/>
    <n v="18"/>
  </r>
  <r>
    <x v="1346"/>
    <n v="1"/>
    <x v="3"/>
    <n v="16"/>
  </r>
  <r>
    <x v="1347"/>
    <n v="1"/>
    <x v="3"/>
    <n v="18"/>
  </r>
  <r>
    <x v="1348"/>
    <n v="1"/>
    <x v="3"/>
    <n v="24"/>
  </r>
  <r>
    <x v="1349"/>
    <n v="1"/>
    <x v="3"/>
    <n v="26"/>
  </r>
  <r>
    <x v="1350"/>
    <n v="1"/>
    <x v="3"/>
    <n v="15"/>
  </r>
  <r>
    <x v="1351"/>
    <n v="1"/>
    <x v="3"/>
    <n v="22"/>
  </r>
  <r>
    <x v="1352"/>
    <n v="1"/>
    <x v="3"/>
    <n v="18"/>
  </r>
  <r>
    <x v="1353"/>
    <n v="1"/>
    <x v="3"/>
    <n v="40"/>
  </r>
  <r>
    <x v="1354"/>
    <n v="1"/>
    <x v="3"/>
    <n v="25"/>
  </r>
  <r>
    <x v="1355"/>
    <n v="1"/>
    <x v="3"/>
    <n v="27"/>
  </r>
  <r>
    <x v="1356"/>
    <n v="1"/>
    <x v="3"/>
    <n v="24"/>
  </r>
  <r>
    <x v="1357"/>
    <n v="1"/>
    <x v="3"/>
    <n v="21"/>
  </r>
  <r>
    <x v="1358"/>
    <n v="1"/>
    <x v="3"/>
    <n v="23"/>
  </r>
  <r>
    <x v="1359"/>
    <n v="1"/>
    <x v="3"/>
    <n v="19"/>
  </r>
  <r>
    <x v="1360"/>
    <n v="1"/>
    <x v="3"/>
    <n v="21"/>
  </r>
  <r>
    <x v="1361"/>
    <n v="1"/>
    <x v="3"/>
    <n v="32"/>
  </r>
  <r>
    <x v="1362"/>
    <n v="1"/>
    <x v="3"/>
    <n v="19"/>
  </r>
  <r>
    <x v="1363"/>
    <n v="1"/>
    <x v="3"/>
    <n v="31"/>
  </r>
  <r>
    <x v="1364"/>
    <n v="1"/>
    <x v="3"/>
    <n v="18"/>
  </r>
  <r>
    <x v="1365"/>
    <n v="1"/>
    <x v="3"/>
    <n v="17"/>
  </r>
  <r>
    <x v="1366"/>
    <n v="1"/>
    <x v="3"/>
    <n v="26"/>
  </r>
  <r>
    <x v="1367"/>
    <n v="1"/>
    <x v="3"/>
    <n v="24"/>
  </r>
  <r>
    <x v="1368"/>
    <n v="1"/>
    <x v="3"/>
    <n v="25"/>
  </r>
  <r>
    <x v="1369"/>
    <n v="1"/>
    <x v="3"/>
    <n v="25"/>
  </r>
  <r>
    <x v="1370"/>
    <n v="1"/>
    <x v="3"/>
    <n v="19"/>
  </r>
  <r>
    <x v="1371"/>
    <n v="1"/>
    <x v="3"/>
    <n v="19"/>
  </r>
  <r>
    <x v="1372"/>
    <n v="1"/>
    <x v="3"/>
    <n v="12"/>
  </r>
  <r>
    <x v="1373"/>
    <n v="1"/>
    <x v="3"/>
    <n v="24"/>
  </r>
  <r>
    <x v="1374"/>
    <n v="1"/>
    <x v="3"/>
    <n v="19"/>
  </r>
  <r>
    <x v="1375"/>
    <n v="1"/>
    <x v="3"/>
    <n v="16"/>
  </r>
  <r>
    <x v="1376"/>
    <n v="1"/>
    <x v="3"/>
    <n v="31"/>
  </r>
  <r>
    <x v="1377"/>
    <n v="1"/>
    <x v="3"/>
    <n v="32"/>
  </r>
  <r>
    <x v="1378"/>
    <n v="1"/>
    <x v="3"/>
    <n v="23"/>
  </r>
  <r>
    <x v="1379"/>
    <n v="1"/>
    <x v="3"/>
    <n v="19"/>
  </r>
  <r>
    <x v="1380"/>
    <n v="1"/>
    <x v="3"/>
    <n v="28"/>
  </r>
  <r>
    <x v="1381"/>
    <n v="1"/>
    <x v="3"/>
    <n v="25"/>
  </r>
  <r>
    <x v="1382"/>
    <n v="1"/>
    <x v="3"/>
    <n v="21"/>
  </r>
  <r>
    <x v="1383"/>
    <n v="1"/>
    <x v="3"/>
    <n v="23"/>
  </r>
  <r>
    <x v="1384"/>
    <n v="1"/>
    <x v="3"/>
    <n v="27"/>
  </r>
  <r>
    <x v="1385"/>
    <n v="1"/>
    <x v="3"/>
    <n v="10"/>
  </r>
  <r>
    <x v="1386"/>
    <n v="1"/>
    <x v="3"/>
    <n v="27"/>
  </r>
  <r>
    <x v="1387"/>
    <n v="1"/>
    <x v="3"/>
    <n v="17"/>
  </r>
  <r>
    <x v="1388"/>
    <n v="1"/>
    <x v="3"/>
    <n v="26"/>
  </r>
  <r>
    <x v="1389"/>
    <n v="1"/>
    <x v="3"/>
    <n v="24"/>
  </r>
  <r>
    <x v="1390"/>
    <n v="1"/>
    <x v="3"/>
    <n v="35"/>
  </r>
  <r>
    <x v="1391"/>
    <n v="1"/>
    <x v="3"/>
    <n v="23"/>
  </r>
  <r>
    <x v="1392"/>
    <n v="1"/>
    <x v="3"/>
    <n v="13"/>
  </r>
  <r>
    <x v="1393"/>
    <n v="1"/>
    <x v="3"/>
    <n v="25"/>
  </r>
  <r>
    <x v="1394"/>
    <n v="1"/>
    <x v="3"/>
    <n v="13"/>
  </r>
  <r>
    <x v="1395"/>
    <n v="1"/>
    <x v="3"/>
    <n v="21"/>
  </r>
  <r>
    <x v="1396"/>
    <n v="1"/>
    <x v="3"/>
    <n v="31"/>
  </r>
  <r>
    <x v="1397"/>
    <n v="1"/>
    <x v="3"/>
    <n v="28"/>
  </r>
  <r>
    <x v="1398"/>
    <n v="1"/>
    <x v="3"/>
    <n v="17"/>
  </r>
  <r>
    <x v="1399"/>
    <n v="1"/>
    <x v="3"/>
    <n v="14"/>
  </r>
  <r>
    <x v="1400"/>
    <n v="1"/>
    <x v="3"/>
    <n v="15"/>
  </r>
  <r>
    <x v="1401"/>
    <n v="1"/>
    <x v="3"/>
    <n v="15"/>
  </r>
  <r>
    <x v="1402"/>
    <n v="1"/>
    <x v="3"/>
    <n v="22"/>
  </r>
  <r>
    <x v="1403"/>
    <n v="1"/>
    <x v="3"/>
    <n v="19"/>
  </r>
  <r>
    <x v="1404"/>
    <n v="1"/>
    <x v="3"/>
    <n v="23"/>
  </r>
  <r>
    <x v="1405"/>
    <n v="1"/>
    <x v="3"/>
    <n v="29"/>
  </r>
  <r>
    <x v="1406"/>
    <n v="1"/>
    <x v="3"/>
    <n v="24"/>
  </r>
  <r>
    <x v="1407"/>
    <n v="1"/>
    <x v="3"/>
    <n v="14"/>
  </r>
  <r>
    <x v="1408"/>
    <n v="1"/>
    <x v="3"/>
    <n v="19"/>
  </r>
  <r>
    <x v="1409"/>
    <n v="1"/>
    <x v="3"/>
    <n v="35"/>
  </r>
  <r>
    <x v="1410"/>
    <n v="1"/>
    <x v="3"/>
    <n v="19"/>
  </r>
  <r>
    <x v="1411"/>
    <n v="1"/>
    <x v="3"/>
    <n v="26"/>
  </r>
  <r>
    <x v="1412"/>
    <n v="1"/>
    <x v="3"/>
    <n v="24"/>
  </r>
  <r>
    <x v="1413"/>
    <n v="1"/>
    <x v="3"/>
    <n v="14"/>
  </r>
  <r>
    <x v="1414"/>
    <n v="1"/>
    <x v="3"/>
    <n v="15"/>
  </r>
  <r>
    <x v="1415"/>
    <n v="1"/>
    <x v="3"/>
    <n v="23"/>
  </r>
  <r>
    <x v="1416"/>
    <n v="1"/>
    <x v="3"/>
    <n v="25"/>
  </r>
  <r>
    <x v="1417"/>
    <n v="1"/>
    <x v="3"/>
    <n v="21"/>
  </r>
  <r>
    <x v="1418"/>
    <n v="1"/>
    <x v="3"/>
    <n v="21"/>
  </r>
  <r>
    <x v="1419"/>
    <n v="1"/>
    <x v="3"/>
    <n v="30"/>
  </r>
  <r>
    <x v="1420"/>
    <n v="1"/>
    <x v="3"/>
    <n v="14"/>
  </r>
  <r>
    <x v="1421"/>
    <n v="1"/>
    <x v="3"/>
    <n v="17"/>
  </r>
  <r>
    <x v="1422"/>
    <n v="1"/>
    <x v="3"/>
    <n v="14"/>
  </r>
  <r>
    <x v="1423"/>
    <n v="1"/>
    <x v="3"/>
    <n v="23"/>
  </r>
  <r>
    <x v="1424"/>
    <n v="1"/>
    <x v="3"/>
    <n v="23"/>
  </r>
  <r>
    <x v="1425"/>
    <n v="1"/>
    <x v="3"/>
    <n v="26"/>
  </r>
  <r>
    <x v="1426"/>
    <n v="1"/>
    <x v="3"/>
    <n v="24"/>
  </r>
  <r>
    <x v="1427"/>
    <n v="1"/>
    <x v="3"/>
    <n v="17"/>
  </r>
  <r>
    <x v="1428"/>
    <n v="1"/>
    <x v="3"/>
    <n v="23"/>
  </r>
  <r>
    <x v="1429"/>
    <n v="1"/>
    <x v="3"/>
    <n v="29"/>
  </r>
  <r>
    <x v="1430"/>
    <n v="1"/>
    <x v="3"/>
    <n v="23"/>
  </r>
  <r>
    <x v="1431"/>
    <n v="1"/>
    <x v="3"/>
    <n v="18"/>
  </r>
  <r>
    <x v="1432"/>
    <n v="1"/>
    <x v="3"/>
    <n v="22"/>
  </r>
  <r>
    <x v="1433"/>
    <n v="1"/>
    <x v="3"/>
    <n v="27"/>
  </r>
  <r>
    <x v="1434"/>
    <n v="1"/>
    <x v="3"/>
    <n v="16"/>
  </r>
  <r>
    <x v="1435"/>
    <n v="1"/>
    <x v="3"/>
    <n v="16"/>
  </r>
  <r>
    <x v="1436"/>
    <n v="1"/>
    <x v="3"/>
    <n v="10"/>
  </r>
  <r>
    <x v="1437"/>
    <n v="1"/>
    <x v="3"/>
    <n v="20"/>
  </r>
  <r>
    <x v="1438"/>
    <n v="1"/>
    <x v="3"/>
    <n v="22"/>
  </r>
  <r>
    <x v="1439"/>
    <n v="1"/>
    <x v="3"/>
    <n v="14"/>
  </r>
  <r>
    <x v="1440"/>
    <n v="1"/>
    <x v="3"/>
    <n v="24"/>
  </r>
  <r>
    <x v="1441"/>
    <n v="1"/>
    <x v="3"/>
    <n v="15"/>
  </r>
  <r>
    <x v="1442"/>
    <n v="1"/>
    <x v="3"/>
    <n v="12"/>
  </r>
  <r>
    <x v="1443"/>
    <n v="1"/>
    <x v="3"/>
    <n v="14"/>
  </r>
  <r>
    <x v="1444"/>
    <n v="1"/>
    <x v="3"/>
    <n v="15"/>
  </r>
  <r>
    <x v="1445"/>
    <n v="1"/>
    <x v="3"/>
    <n v="25"/>
  </r>
  <r>
    <x v="1446"/>
    <n v="1"/>
    <x v="3"/>
    <n v="14"/>
  </r>
  <r>
    <x v="1447"/>
    <n v="1"/>
    <x v="3"/>
    <n v="25"/>
  </r>
  <r>
    <x v="1448"/>
    <n v="1"/>
    <x v="3"/>
    <n v="17"/>
  </r>
  <r>
    <x v="1449"/>
    <n v="1"/>
    <x v="3"/>
    <n v="15"/>
  </r>
  <r>
    <x v="1450"/>
    <n v="1"/>
    <x v="3"/>
    <n v="16"/>
  </r>
  <r>
    <x v="1451"/>
    <n v="1"/>
    <x v="3"/>
    <n v="17"/>
  </r>
  <r>
    <x v="1452"/>
    <n v="1"/>
    <x v="3"/>
    <n v="24"/>
  </r>
  <r>
    <x v="1453"/>
    <n v="1"/>
    <x v="3"/>
    <n v="14"/>
  </r>
  <r>
    <x v="1454"/>
    <n v="1"/>
    <x v="3"/>
    <n v="21"/>
  </r>
  <r>
    <x v="1455"/>
    <n v="1"/>
    <x v="3"/>
    <n v="11"/>
  </r>
  <r>
    <x v="1456"/>
    <n v="1"/>
    <x v="3"/>
    <n v="15"/>
  </r>
  <r>
    <x v="1457"/>
    <n v="1"/>
    <x v="3"/>
    <n v="17"/>
  </r>
  <r>
    <x v="1458"/>
    <n v="1"/>
    <x v="3"/>
    <n v="21"/>
  </r>
  <r>
    <x v="1459"/>
    <n v="1"/>
    <x v="3"/>
    <n v="20"/>
  </r>
  <r>
    <x v="1460"/>
    <n v="1"/>
    <x v="3"/>
    <n v="15"/>
  </r>
  <r>
    <x v="1461"/>
    <n v="1"/>
    <x v="3"/>
    <n v="21"/>
  </r>
  <r>
    <x v="1462"/>
    <n v="1"/>
    <x v="3"/>
    <n v="15"/>
  </r>
  <r>
    <x v="1463"/>
    <n v="1"/>
    <x v="3"/>
    <n v="12"/>
  </r>
  <r>
    <x v="1464"/>
    <n v="1"/>
    <x v="3"/>
    <n v="14"/>
  </r>
  <r>
    <x v="1465"/>
    <n v="1"/>
    <x v="3"/>
    <n v="10"/>
  </r>
  <r>
    <x v="1466"/>
    <n v="1"/>
    <x v="3"/>
    <n v="10"/>
  </r>
  <r>
    <x v="1467"/>
    <n v="1"/>
    <x v="3"/>
    <n v="21"/>
  </r>
  <r>
    <x v="1468"/>
    <n v="1"/>
    <x v="3"/>
    <n v="16"/>
  </r>
  <r>
    <x v="1469"/>
    <n v="1"/>
    <x v="3"/>
    <n v="5"/>
  </r>
  <r>
    <x v="1470"/>
    <n v="1"/>
    <x v="3"/>
    <n v="18"/>
  </r>
  <r>
    <x v="1471"/>
    <n v="1"/>
    <x v="3"/>
    <n v="16"/>
  </r>
  <r>
    <x v="1472"/>
    <n v="1"/>
    <x v="3"/>
    <n v="13"/>
  </r>
  <r>
    <x v="1473"/>
    <n v="1"/>
    <x v="3"/>
    <n v="16"/>
  </r>
  <r>
    <x v="1474"/>
    <n v="1"/>
    <x v="3"/>
    <n v="19"/>
  </r>
  <r>
    <x v="1475"/>
    <n v="1"/>
    <x v="3"/>
    <n v="18"/>
  </r>
  <r>
    <x v="1476"/>
    <n v="1"/>
    <x v="3"/>
    <n v="13"/>
  </r>
  <r>
    <x v="1477"/>
    <n v="1"/>
    <x v="3"/>
    <n v="19"/>
  </r>
  <r>
    <x v="1478"/>
    <n v="1"/>
    <x v="3"/>
    <n v="13"/>
  </r>
  <r>
    <x v="1479"/>
    <n v="1"/>
    <x v="3"/>
    <n v="10"/>
  </r>
  <r>
    <x v="1480"/>
    <n v="1"/>
    <x v="3"/>
    <n v="19"/>
  </r>
  <r>
    <x v="1481"/>
    <n v="1"/>
    <x v="3"/>
    <n v="17"/>
  </r>
  <r>
    <x v="1482"/>
    <n v="1"/>
    <x v="3"/>
    <n v="29"/>
  </r>
  <r>
    <x v="1483"/>
    <n v="1"/>
    <x v="3"/>
    <n v="18"/>
  </r>
  <r>
    <x v="1484"/>
    <n v="1"/>
    <x v="3"/>
    <n v="21"/>
  </r>
  <r>
    <x v="1485"/>
    <n v="1"/>
    <x v="3"/>
    <n v="15"/>
  </r>
  <r>
    <x v="1486"/>
    <n v="1"/>
    <x v="3"/>
    <n v="13"/>
  </r>
  <r>
    <x v="1487"/>
    <n v="1"/>
    <x v="3"/>
    <n v="13"/>
  </r>
  <r>
    <x v="1488"/>
    <n v="1"/>
    <x v="3"/>
    <n v="17"/>
  </r>
  <r>
    <x v="1489"/>
    <n v="1"/>
    <x v="3"/>
    <n v="20"/>
  </r>
  <r>
    <x v="1490"/>
    <n v="1"/>
    <x v="3"/>
    <n v="17"/>
  </r>
  <r>
    <x v="1491"/>
    <n v="1"/>
    <x v="3"/>
    <n v="10"/>
  </r>
  <r>
    <x v="1492"/>
    <n v="1"/>
    <x v="3"/>
    <n v="15"/>
  </r>
  <r>
    <x v="1493"/>
    <n v="1"/>
    <x v="3"/>
    <n v="17"/>
  </r>
  <r>
    <x v="1494"/>
    <n v="1"/>
    <x v="3"/>
    <n v="19"/>
  </r>
  <r>
    <x v="1495"/>
    <n v="1"/>
    <x v="3"/>
    <n v="18"/>
  </r>
  <r>
    <x v="1496"/>
    <n v="1"/>
    <x v="3"/>
    <n v="20"/>
  </r>
  <r>
    <x v="1497"/>
    <n v="1"/>
    <x v="3"/>
    <n v="13"/>
  </r>
  <r>
    <x v="1498"/>
    <n v="1"/>
    <x v="3"/>
    <n v="13"/>
  </r>
  <r>
    <x v="1499"/>
    <n v="1"/>
    <x v="3"/>
    <n v="13"/>
  </r>
  <r>
    <x v="1500"/>
    <n v="1"/>
    <x v="3"/>
    <n v="8"/>
  </r>
  <r>
    <x v="1501"/>
    <n v="1"/>
    <x v="3"/>
    <n v="20"/>
  </r>
  <r>
    <x v="1502"/>
    <n v="1"/>
    <x v="3"/>
    <n v="28"/>
  </r>
  <r>
    <x v="1503"/>
    <n v="1"/>
    <x v="3"/>
    <n v="22"/>
  </r>
  <r>
    <x v="1504"/>
    <n v="1"/>
    <x v="3"/>
    <n v="15"/>
  </r>
  <r>
    <x v="1505"/>
    <n v="1"/>
    <x v="3"/>
    <n v="13"/>
  </r>
  <r>
    <x v="1506"/>
    <n v="1"/>
    <x v="3"/>
    <n v="12"/>
  </r>
  <r>
    <x v="1507"/>
    <n v="1"/>
    <x v="3"/>
    <n v="15"/>
  </r>
  <r>
    <x v="1508"/>
    <n v="1"/>
    <x v="3"/>
    <n v="21"/>
  </r>
  <r>
    <x v="1509"/>
    <n v="1"/>
    <x v="3"/>
    <n v="15"/>
  </r>
  <r>
    <x v="1510"/>
    <n v="1"/>
    <x v="3"/>
    <n v="32"/>
  </r>
  <r>
    <x v="1511"/>
    <n v="1"/>
    <x v="3"/>
    <n v="13"/>
  </r>
  <r>
    <x v="1512"/>
    <n v="1"/>
    <x v="3"/>
    <n v="13"/>
  </r>
  <r>
    <x v="1513"/>
    <n v="1"/>
    <x v="3"/>
    <n v="16"/>
  </r>
  <r>
    <x v="1514"/>
    <n v="1"/>
    <x v="3"/>
    <n v="19"/>
  </r>
  <r>
    <x v="1515"/>
    <n v="1"/>
    <x v="3"/>
    <n v="9"/>
  </r>
  <r>
    <x v="1516"/>
    <n v="1"/>
    <x v="3"/>
    <n v="9"/>
  </r>
  <r>
    <x v="1517"/>
    <n v="1"/>
    <x v="3"/>
    <n v="22"/>
  </r>
  <r>
    <x v="1518"/>
    <n v="1"/>
    <x v="3"/>
    <n v="13"/>
  </r>
  <r>
    <x v="1519"/>
    <n v="1"/>
    <x v="3"/>
    <n v="21"/>
  </r>
  <r>
    <x v="1520"/>
    <n v="1"/>
    <x v="3"/>
    <n v="19"/>
  </r>
  <r>
    <x v="1521"/>
    <n v="1"/>
    <x v="3"/>
    <n v="23"/>
  </r>
  <r>
    <x v="1522"/>
    <n v="1"/>
    <x v="3"/>
    <n v="25"/>
  </r>
  <r>
    <x v="1523"/>
    <n v="1"/>
    <x v="3"/>
    <n v="15"/>
  </r>
  <r>
    <x v="1524"/>
    <n v="1"/>
    <x v="3"/>
    <n v="16"/>
  </r>
  <r>
    <x v="1525"/>
    <n v="1"/>
    <x v="3"/>
    <n v="12"/>
  </r>
  <r>
    <x v="1526"/>
    <n v="1"/>
    <x v="3"/>
    <n v="18"/>
  </r>
  <r>
    <x v="1527"/>
    <n v="1"/>
    <x v="3"/>
    <n v="18"/>
  </r>
  <r>
    <x v="1528"/>
    <n v="1"/>
    <x v="3"/>
    <n v="25"/>
  </r>
  <r>
    <x v="1529"/>
    <n v="1"/>
    <x v="3"/>
    <n v="24"/>
  </r>
  <r>
    <x v="1530"/>
    <n v="1"/>
    <x v="3"/>
    <n v="17"/>
  </r>
  <r>
    <x v="1531"/>
    <n v="1"/>
    <x v="3"/>
    <n v="22"/>
  </r>
  <r>
    <x v="1532"/>
    <n v="1"/>
    <x v="3"/>
    <n v="20"/>
  </r>
  <r>
    <x v="1533"/>
    <n v="1"/>
    <x v="3"/>
    <n v="16"/>
  </r>
  <r>
    <x v="1534"/>
    <n v="1"/>
    <x v="3"/>
    <n v="21"/>
  </r>
  <r>
    <x v="1535"/>
    <n v="1"/>
    <x v="3"/>
    <n v="19"/>
  </r>
  <r>
    <x v="1536"/>
    <n v="1"/>
    <x v="3"/>
    <n v="20"/>
  </r>
  <r>
    <x v="1537"/>
    <n v="1"/>
    <x v="3"/>
    <n v="27"/>
  </r>
  <r>
    <x v="1538"/>
    <n v="1"/>
    <x v="3"/>
    <n v="21"/>
  </r>
  <r>
    <x v="1539"/>
    <n v="1"/>
    <x v="3"/>
    <n v="17"/>
  </r>
  <r>
    <x v="1540"/>
    <n v="1"/>
    <x v="3"/>
    <n v="27"/>
  </r>
  <r>
    <x v="1541"/>
    <n v="1"/>
    <x v="3"/>
    <n v="17"/>
  </r>
  <r>
    <x v="1542"/>
    <n v="1"/>
    <x v="3"/>
    <n v="23"/>
  </r>
  <r>
    <x v="1543"/>
    <n v="1"/>
    <x v="3"/>
    <n v="18"/>
  </r>
  <r>
    <x v="1544"/>
    <n v="1"/>
    <x v="3"/>
    <n v="27"/>
  </r>
  <r>
    <x v="1545"/>
    <n v="1"/>
    <x v="3"/>
    <n v="23"/>
  </r>
  <r>
    <x v="1546"/>
    <n v="1"/>
    <x v="3"/>
    <n v="19"/>
  </r>
  <r>
    <x v="1547"/>
    <n v="1"/>
    <x v="3"/>
    <n v="18"/>
  </r>
  <r>
    <x v="1548"/>
    <n v="1"/>
    <x v="3"/>
    <n v="22"/>
  </r>
  <r>
    <x v="1549"/>
    <n v="1"/>
    <x v="3"/>
    <n v="17"/>
  </r>
  <r>
    <x v="1550"/>
    <n v="1"/>
    <x v="3"/>
    <n v="16"/>
  </r>
  <r>
    <x v="1551"/>
    <n v="1"/>
    <x v="3"/>
    <n v="37"/>
  </r>
  <r>
    <x v="1552"/>
    <n v="1"/>
    <x v="3"/>
    <n v="28"/>
  </r>
  <r>
    <x v="1553"/>
    <n v="1"/>
    <x v="3"/>
    <n v="19"/>
  </r>
  <r>
    <x v="1554"/>
    <n v="1"/>
    <x v="3"/>
    <n v="18"/>
  </r>
  <r>
    <x v="1555"/>
    <n v="1"/>
    <x v="3"/>
    <n v="16"/>
  </r>
  <r>
    <x v="1556"/>
    <n v="1"/>
    <x v="3"/>
    <n v="28"/>
  </r>
  <r>
    <x v="1557"/>
    <n v="1"/>
    <x v="3"/>
    <n v="18"/>
  </r>
  <r>
    <x v="1558"/>
    <n v="1"/>
    <x v="3"/>
    <n v="28"/>
  </r>
  <r>
    <x v="1559"/>
    <n v="1"/>
    <x v="3"/>
    <n v="23"/>
  </r>
  <r>
    <x v="1560"/>
    <n v="1"/>
    <x v="3"/>
    <n v="19"/>
  </r>
  <r>
    <x v="1561"/>
    <n v="1"/>
    <x v="3"/>
    <n v="28"/>
  </r>
  <r>
    <x v="1562"/>
    <n v="1"/>
    <x v="3"/>
    <n v="23"/>
  </r>
  <r>
    <x v="1563"/>
    <n v="1"/>
    <x v="3"/>
    <n v="30"/>
  </r>
  <r>
    <x v="1564"/>
    <n v="1"/>
    <x v="3"/>
    <n v="19"/>
  </r>
  <r>
    <x v="1565"/>
    <n v="1"/>
    <x v="3"/>
    <n v="18"/>
  </r>
  <r>
    <x v="1566"/>
    <n v="1"/>
    <x v="3"/>
    <n v="23"/>
  </r>
  <r>
    <x v="1567"/>
    <n v="1"/>
    <x v="3"/>
    <n v="15"/>
  </r>
  <r>
    <x v="1568"/>
    <n v="1"/>
    <x v="3"/>
    <n v="30"/>
  </r>
  <r>
    <x v="1569"/>
    <n v="1"/>
    <x v="3"/>
    <n v="23"/>
  </r>
  <r>
    <x v="1570"/>
    <n v="1"/>
    <x v="3"/>
    <n v="29"/>
  </r>
  <r>
    <x v="1571"/>
    <n v="1"/>
    <x v="3"/>
    <n v="23"/>
  </r>
  <r>
    <x v="1572"/>
    <n v="1"/>
    <x v="3"/>
    <n v="31"/>
  </r>
  <r>
    <x v="1573"/>
    <n v="1"/>
    <x v="3"/>
    <n v="36"/>
  </r>
  <r>
    <x v="1574"/>
    <n v="1"/>
    <x v="3"/>
    <n v="20"/>
  </r>
  <r>
    <x v="1575"/>
    <n v="1"/>
    <x v="3"/>
    <n v="17"/>
  </r>
  <r>
    <x v="1576"/>
    <n v="1"/>
    <x v="3"/>
    <n v="16"/>
  </r>
  <r>
    <x v="1577"/>
    <n v="1"/>
    <x v="3"/>
    <n v="27"/>
  </r>
  <r>
    <x v="1578"/>
    <n v="1"/>
    <x v="3"/>
    <n v="24"/>
  </r>
  <r>
    <x v="1579"/>
    <n v="1"/>
    <x v="3"/>
    <n v="26"/>
  </r>
  <r>
    <x v="1580"/>
    <n v="1"/>
    <x v="3"/>
    <n v="32"/>
  </r>
  <r>
    <x v="1581"/>
    <n v="1"/>
    <x v="3"/>
    <n v="13"/>
  </r>
  <r>
    <x v="1582"/>
    <n v="1"/>
    <x v="3"/>
    <n v="26"/>
  </r>
  <r>
    <x v="1583"/>
    <n v="1"/>
    <x v="3"/>
    <n v="24"/>
  </r>
  <r>
    <x v="1584"/>
    <n v="1"/>
    <x v="3"/>
    <n v="18"/>
  </r>
  <r>
    <x v="1585"/>
    <n v="1"/>
    <x v="3"/>
    <n v="23"/>
  </r>
  <r>
    <x v="1586"/>
    <n v="1"/>
    <x v="3"/>
    <n v="27"/>
  </r>
  <r>
    <x v="1587"/>
    <n v="1"/>
    <x v="3"/>
    <n v="33"/>
  </r>
  <r>
    <x v="1588"/>
    <n v="1"/>
    <x v="3"/>
    <n v="11"/>
  </r>
  <r>
    <x v="1589"/>
    <n v="1"/>
    <x v="3"/>
    <n v="18"/>
  </r>
  <r>
    <x v="1590"/>
    <n v="1"/>
    <x v="3"/>
    <n v="14"/>
  </r>
  <r>
    <x v="1591"/>
    <n v="1"/>
    <x v="3"/>
    <n v="33"/>
  </r>
  <r>
    <x v="1592"/>
    <n v="1"/>
    <x v="3"/>
    <n v="35"/>
  </r>
  <r>
    <x v="1593"/>
    <n v="1"/>
    <x v="3"/>
    <n v="28"/>
  </r>
  <r>
    <x v="1594"/>
    <n v="1"/>
    <x v="3"/>
    <n v="17"/>
  </r>
  <r>
    <x v="1595"/>
    <n v="1"/>
    <x v="3"/>
    <n v="18"/>
  </r>
  <r>
    <x v="1596"/>
    <n v="1"/>
    <x v="3"/>
    <n v="19"/>
  </r>
  <r>
    <x v="1597"/>
    <n v="1"/>
    <x v="3"/>
    <n v="23"/>
  </r>
  <r>
    <x v="1598"/>
    <n v="1"/>
    <x v="3"/>
    <n v="27"/>
  </r>
  <r>
    <x v="1599"/>
    <n v="1"/>
    <x v="3"/>
    <n v="26"/>
  </r>
  <r>
    <x v="1600"/>
    <n v="1"/>
    <x v="3"/>
    <n v="33"/>
  </r>
  <r>
    <x v="1601"/>
    <n v="1"/>
    <x v="3"/>
    <n v="30"/>
  </r>
  <r>
    <x v="1602"/>
    <n v="1"/>
    <x v="3"/>
    <n v="22"/>
  </r>
  <r>
    <x v="1603"/>
    <n v="1"/>
    <x v="3"/>
    <n v="22"/>
  </r>
  <r>
    <x v="1604"/>
    <n v="1"/>
    <x v="3"/>
    <n v="28"/>
  </r>
  <r>
    <x v="1605"/>
    <n v="1"/>
    <x v="3"/>
    <n v="26"/>
  </r>
  <r>
    <x v="1606"/>
    <n v="1"/>
    <x v="3"/>
    <n v="33"/>
  </r>
  <r>
    <x v="1607"/>
    <n v="1"/>
    <x v="3"/>
    <n v="24"/>
  </r>
  <r>
    <x v="1608"/>
    <n v="1"/>
    <x v="3"/>
    <n v="26"/>
  </r>
  <r>
    <x v="1609"/>
    <n v="1"/>
    <x v="3"/>
    <n v="14"/>
  </r>
  <r>
    <x v="1610"/>
    <n v="1"/>
    <x v="3"/>
    <n v="26"/>
  </r>
  <r>
    <x v="1611"/>
    <n v="1"/>
    <x v="3"/>
    <n v="25"/>
  </r>
  <r>
    <x v="1612"/>
    <n v="1"/>
    <x v="3"/>
    <n v="22"/>
  </r>
  <r>
    <x v="1613"/>
    <n v="1"/>
    <x v="3"/>
    <n v="19"/>
  </r>
  <r>
    <x v="1614"/>
    <n v="1"/>
    <x v="3"/>
    <n v="34"/>
  </r>
  <r>
    <x v="1615"/>
    <n v="1"/>
    <x v="3"/>
    <n v="36"/>
  </r>
  <r>
    <x v="1616"/>
    <n v="1"/>
    <x v="3"/>
    <n v="24"/>
  </r>
  <r>
    <x v="1617"/>
    <n v="1"/>
    <x v="3"/>
    <n v="27"/>
  </r>
  <r>
    <x v="1618"/>
    <n v="1"/>
    <x v="3"/>
    <n v="20"/>
  </r>
  <r>
    <x v="1619"/>
    <n v="1"/>
    <x v="3"/>
    <n v="31"/>
  </r>
  <r>
    <x v="1620"/>
    <n v="1"/>
    <x v="3"/>
    <n v="25"/>
  </r>
  <r>
    <x v="1621"/>
    <n v="1"/>
    <x v="3"/>
    <n v="40"/>
  </r>
  <r>
    <x v="1622"/>
    <n v="1"/>
    <x v="3"/>
    <n v="29"/>
  </r>
  <r>
    <x v="1623"/>
    <n v="1"/>
    <x v="3"/>
    <n v="30"/>
  </r>
  <r>
    <x v="1624"/>
    <n v="1"/>
    <x v="3"/>
    <n v="28"/>
  </r>
  <r>
    <x v="1625"/>
    <n v="1"/>
    <x v="3"/>
    <n v="17"/>
  </r>
  <r>
    <x v="1626"/>
    <n v="1"/>
    <x v="3"/>
    <n v="23"/>
  </r>
  <r>
    <x v="1627"/>
    <n v="1"/>
    <x v="3"/>
    <n v="27"/>
  </r>
  <r>
    <x v="1628"/>
    <n v="1"/>
    <x v="3"/>
    <n v="18"/>
  </r>
  <r>
    <x v="1629"/>
    <n v="1"/>
    <x v="3"/>
    <n v="36"/>
  </r>
  <r>
    <x v="1630"/>
    <n v="1"/>
    <x v="3"/>
    <n v="22"/>
  </r>
  <r>
    <x v="1631"/>
    <n v="1"/>
    <x v="3"/>
    <n v="27"/>
  </r>
  <r>
    <x v="1632"/>
    <n v="1"/>
    <x v="3"/>
    <n v="22"/>
  </r>
  <r>
    <x v="1633"/>
    <n v="1"/>
    <x v="3"/>
    <n v="27"/>
  </r>
  <r>
    <x v="1634"/>
    <n v="1"/>
    <x v="3"/>
    <n v="27"/>
  </r>
  <r>
    <x v="1635"/>
    <n v="1"/>
    <x v="3"/>
    <n v="41"/>
  </r>
  <r>
    <x v="1636"/>
    <n v="1"/>
    <x v="3"/>
    <n v="34"/>
  </r>
  <r>
    <x v="1637"/>
    <n v="1"/>
    <x v="3"/>
    <n v="22"/>
  </r>
  <r>
    <x v="1638"/>
    <n v="1"/>
    <x v="3"/>
    <n v="27"/>
  </r>
  <r>
    <x v="1639"/>
    <n v="1"/>
    <x v="3"/>
    <n v="18"/>
  </r>
  <r>
    <x v="1640"/>
    <n v="1"/>
    <x v="3"/>
    <n v="32"/>
  </r>
  <r>
    <x v="1641"/>
    <n v="1"/>
    <x v="3"/>
    <n v="29"/>
  </r>
  <r>
    <x v="1642"/>
    <n v="1"/>
    <x v="3"/>
    <n v="37"/>
  </r>
  <r>
    <x v="1643"/>
    <n v="1"/>
    <x v="3"/>
    <n v="39"/>
  </r>
  <r>
    <x v="1644"/>
    <n v="1"/>
    <x v="3"/>
    <n v="18"/>
  </r>
  <r>
    <x v="1645"/>
    <n v="1"/>
    <x v="3"/>
    <n v="30"/>
  </r>
  <r>
    <x v="1646"/>
    <n v="1"/>
    <x v="3"/>
    <n v="30"/>
  </r>
  <r>
    <x v="1647"/>
    <n v="1"/>
    <x v="3"/>
    <n v="26"/>
  </r>
  <r>
    <x v="1648"/>
    <n v="1"/>
    <x v="3"/>
    <n v="35"/>
  </r>
  <r>
    <x v="1649"/>
    <n v="1"/>
    <x v="3"/>
    <n v="35"/>
  </r>
  <r>
    <x v="1650"/>
    <n v="1"/>
    <x v="3"/>
    <n v="39"/>
  </r>
  <r>
    <x v="1651"/>
    <n v="1"/>
    <x v="3"/>
    <n v="17"/>
  </r>
  <r>
    <x v="1652"/>
    <n v="1"/>
    <x v="3"/>
    <n v="22"/>
  </r>
  <r>
    <x v="1653"/>
    <n v="1"/>
    <x v="3"/>
    <n v="27"/>
  </r>
  <r>
    <x v="1654"/>
    <n v="1"/>
    <x v="3"/>
    <n v="35"/>
  </r>
  <r>
    <x v="1655"/>
    <n v="1"/>
    <x v="3"/>
    <n v="31"/>
  </r>
  <r>
    <x v="1656"/>
    <n v="1"/>
    <x v="3"/>
    <n v="38"/>
  </r>
  <r>
    <x v="1657"/>
    <n v="1"/>
    <x v="3"/>
    <n v="26"/>
  </r>
  <r>
    <x v="1658"/>
    <n v="1"/>
    <x v="3"/>
    <n v="22"/>
  </r>
  <r>
    <x v="1659"/>
    <n v="1"/>
    <x v="3"/>
    <n v="21"/>
  </r>
  <r>
    <x v="1660"/>
    <n v="1"/>
    <x v="3"/>
    <n v="22"/>
  </r>
  <r>
    <x v="1661"/>
    <n v="1"/>
    <x v="3"/>
    <n v="23"/>
  </r>
  <r>
    <x v="1662"/>
    <n v="1"/>
    <x v="3"/>
    <n v="41"/>
  </r>
  <r>
    <x v="1663"/>
    <n v="1"/>
    <x v="3"/>
    <n v="28"/>
  </r>
  <r>
    <x v="1664"/>
    <n v="1"/>
    <x v="3"/>
    <n v="40"/>
  </r>
  <r>
    <x v="1665"/>
    <n v="1"/>
    <x v="3"/>
    <n v="19"/>
  </r>
  <r>
    <x v="1666"/>
    <n v="1"/>
    <x v="3"/>
    <n v="29"/>
  </r>
  <r>
    <x v="1667"/>
    <n v="1"/>
    <x v="3"/>
    <n v="26"/>
  </r>
  <r>
    <x v="1668"/>
    <n v="1"/>
    <x v="3"/>
    <n v="33"/>
  </r>
  <r>
    <x v="1669"/>
    <n v="1"/>
    <x v="3"/>
    <n v="40"/>
  </r>
  <r>
    <x v="1670"/>
    <n v="1"/>
    <x v="3"/>
    <n v="30"/>
  </r>
  <r>
    <x v="1671"/>
    <n v="1"/>
    <x v="3"/>
    <n v="31"/>
  </r>
  <r>
    <x v="1672"/>
    <n v="1"/>
    <x v="3"/>
    <n v="27"/>
  </r>
  <r>
    <x v="1673"/>
    <n v="1"/>
    <x v="3"/>
    <n v="16"/>
  </r>
  <r>
    <x v="1674"/>
    <n v="1"/>
    <x v="3"/>
    <n v="20"/>
  </r>
  <r>
    <x v="1675"/>
    <n v="1"/>
    <x v="3"/>
    <n v="24"/>
  </r>
  <r>
    <x v="1676"/>
    <n v="1"/>
    <x v="3"/>
    <n v="25"/>
  </r>
  <r>
    <x v="1677"/>
    <n v="1"/>
    <x v="3"/>
    <n v="26"/>
  </r>
  <r>
    <x v="1678"/>
    <n v="1"/>
    <x v="3"/>
    <n v="23"/>
  </r>
  <r>
    <x v="1679"/>
    <n v="1"/>
    <x v="3"/>
    <n v="23"/>
  </r>
  <r>
    <x v="1680"/>
    <n v="1"/>
    <x v="3"/>
    <n v="24"/>
  </r>
  <r>
    <x v="1681"/>
    <n v="1"/>
    <x v="3"/>
    <n v="26"/>
  </r>
  <r>
    <x v="1682"/>
    <n v="1"/>
    <x v="3"/>
    <n v="21"/>
  </r>
  <r>
    <x v="1683"/>
    <n v="1"/>
    <x v="3"/>
    <n v="23"/>
  </r>
  <r>
    <x v="1684"/>
    <n v="1"/>
    <x v="3"/>
    <n v="39"/>
  </r>
  <r>
    <x v="1685"/>
    <n v="1"/>
    <x v="3"/>
    <n v="34"/>
  </r>
  <r>
    <x v="1686"/>
    <n v="1"/>
    <x v="3"/>
    <n v="23"/>
  </r>
  <r>
    <x v="1687"/>
    <n v="1"/>
    <x v="3"/>
    <n v="16"/>
  </r>
  <r>
    <x v="1688"/>
    <n v="1"/>
    <x v="3"/>
    <n v="16"/>
  </r>
  <r>
    <x v="1689"/>
    <n v="1"/>
    <x v="3"/>
    <n v="28"/>
  </r>
  <r>
    <x v="1690"/>
    <n v="1"/>
    <x v="3"/>
    <n v="31"/>
  </r>
  <r>
    <x v="1691"/>
    <n v="1"/>
    <x v="3"/>
    <n v="37"/>
  </r>
  <r>
    <x v="1692"/>
    <n v="1"/>
    <x v="3"/>
    <n v="27"/>
  </r>
  <r>
    <x v="1693"/>
    <n v="1"/>
    <x v="3"/>
    <n v="16"/>
  </r>
  <r>
    <x v="1694"/>
    <n v="1"/>
    <x v="3"/>
    <n v="22"/>
  </r>
  <r>
    <x v="1695"/>
    <n v="1"/>
    <x v="3"/>
    <n v="23"/>
  </r>
  <r>
    <x v="1696"/>
    <n v="1"/>
    <x v="3"/>
    <n v="33"/>
  </r>
  <r>
    <x v="1697"/>
    <n v="1"/>
    <x v="3"/>
    <n v="23"/>
  </r>
  <r>
    <x v="1698"/>
    <n v="1"/>
    <x v="3"/>
    <n v="26"/>
  </r>
  <r>
    <x v="1699"/>
    <n v="1"/>
    <x v="3"/>
    <n v="43"/>
  </r>
  <r>
    <x v="1700"/>
    <n v="1"/>
    <x v="3"/>
    <n v="17"/>
  </r>
  <r>
    <x v="1701"/>
    <n v="1"/>
    <x v="3"/>
    <n v="26"/>
  </r>
  <r>
    <x v="1702"/>
    <n v="1"/>
    <x v="3"/>
    <n v="22"/>
  </r>
  <r>
    <x v="1703"/>
    <n v="1"/>
    <x v="3"/>
    <n v="27"/>
  </r>
  <r>
    <x v="1704"/>
    <n v="1"/>
    <x v="3"/>
    <n v="20"/>
  </r>
  <r>
    <x v="1705"/>
    <n v="1"/>
    <x v="3"/>
    <n v="22"/>
  </r>
  <r>
    <x v="1706"/>
    <n v="1"/>
    <x v="3"/>
    <n v="20"/>
  </r>
  <r>
    <x v="1707"/>
    <n v="1"/>
    <x v="3"/>
    <n v="24"/>
  </r>
  <r>
    <x v="1708"/>
    <n v="1"/>
    <x v="3"/>
    <n v="20"/>
  </r>
  <r>
    <x v="1709"/>
    <n v="1"/>
    <x v="3"/>
    <n v="21"/>
  </r>
  <r>
    <x v="1710"/>
    <n v="1"/>
    <x v="3"/>
    <n v="20"/>
  </r>
  <r>
    <x v="1711"/>
    <n v="1"/>
    <x v="3"/>
    <n v="20"/>
  </r>
  <r>
    <x v="1712"/>
    <n v="1"/>
    <x v="3"/>
    <n v="20"/>
  </r>
  <r>
    <x v="1713"/>
    <n v="1"/>
    <x v="3"/>
    <n v="31"/>
  </r>
  <r>
    <x v="1714"/>
    <n v="1"/>
    <x v="3"/>
    <n v="15"/>
  </r>
  <r>
    <x v="1715"/>
    <n v="1"/>
    <x v="3"/>
    <n v="24"/>
  </r>
  <r>
    <x v="1716"/>
    <n v="1"/>
    <x v="3"/>
    <n v="23"/>
  </r>
  <r>
    <x v="1717"/>
    <n v="1"/>
    <x v="3"/>
    <n v="26"/>
  </r>
  <r>
    <x v="1718"/>
    <n v="1"/>
    <x v="3"/>
    <n v="19"/>
  </r>
  <r>
    <x v="1719"/>
    <n v="1"/>
    <x v="3"/>
    <n v="15"/>
  </r>
  <r>
    <x v="1720"/>
    <n v="1"/>
    <x v="3"/>
    <n v="22"/>
  </r>
  <r>
    <x v="1721"/>
    <n v="1"/>
    <x v="3"/>
    <n v="16"/>
  </r>
  <r>
    <x v="1722"/>
    <n v="1"/>
    <x v="3"/>
    <n v="26"/>
  </r>
  <r>
    <x v="1723"/>
    <n v="1"/>
    <x v="3"/>
    <n v="22"/>
  </r>
  <r>
    <x v="1724"/>
    <n v="1"/>
    <x v="3"/>
    <n v="29"/>
  </r>
  <r>
    <x v="1725"/>
    <n v="1"/>
    <x v="3"/>
    <n v="23"/>
  </r>
  <r>
    <x v="1726"/>
    <n v="1"/>
    <x v="3"/>
    <n v="27"/>
  </r>
  <r>
    <x v="1727"/>
    <n v="1"/>
    <x v="3"/>
    <n v="21"/>
  </r>
  <r>
    <x v="1728"/>
    <n v="1"/>
    <x v="3"/>
    <n v="19"/>
  </r>
  <r>
    <x v="1729"/>
    <n v="1"/>
    <x v="3"/>
    <n v="19"/>
  </r>
  <r>
    <x v="1730"/>
    <n v="1"/>
    <x v="3"/>
    <n v="27"/>
  </r>
  <r>
    <x v="1731"/>
    <n v="1"/>
    <x v="3"/>
    <n v="17"/>
  </r>
  <r>
    <x v="1732"/>
    <n v="1"/>
    <x v="3"/>
    <n v="19"/>
  </r>
  <r>
    <x v="1733"/>
    <n v="1"/>
    <x v="3"/>
    <n v="22"/>
  </r>
  <r>
    <x v="1734"/>
    <n v="1"/>
    <x v="3"/>
    <n v="22"/>
  </r>
  <r>
    <x v="1735"/>
    <n v="1"/>
    <x v="3"/>
    <n v="21"/>
  </r>
  <r>
    <x v="1736"/>
    <n v="1"/>
    <x v="3"/>
    <n v="17"/>
  </r>
  <r>
    <x v="1737"/>
    <n v="1"/>
    <x v="3"/>
    <n v="24"/>
  </r>
  <r>
    <x v="1738"/>
    <n v="1"/>
    <x v="3"/>
    <n v="25"/>
  </r>
  <r>
    <x v="1739"/>
    <n v="1"/>
    <x v="3"/>
    <n v="23"/>
  </r>
  <r>
    <x v="1740"/>
    <n v="1"/>
    <x v="3"/>
    <n v="19"/>
  </r>
  <r>
    <x v="1741"/>
    <n v="1"/>
    <x v="3"/>
    <n v="21"/>
  </r>
  <r>
    <x v="1742"/>
    <n v="1"/>
    <x v="3"/>
    <n v="21"/>
  </r>
  <r>
    <x v="1743"/>
    <n v="1"/>
    <x v="3"/>
    <n v="22"/>
  </r>
  <r>
    <x v="1744"/>
    <n v="1"/>
    <x v="3"/>
    <n v="26"/>
  </r>
  <r>
    <x v="1745"/>
    <n v="1"/>
    <x v="3"/>
    <n v="22"/>
  </r>
  <r>
    <x v="1746"/>
    <n v="1"/>
    <x v="3"/>
    <n v="24"/>
  </r>
  <r>
    <x v="1747"/>
    <n v="1"/>
    <x v="3"/>
    <n v="26"/>
  </r>
  <r>
    <x v="1748"/>
    <n v="1"/>
    <x v="3"/>
    <n v="30"/>
  </r>
  <r>
    <x v="1749"/>
    <n v="1"/>
    <x v="3"/>
    <n v="21"/>
  </r>
  <r>
    <x v="1750"/>
    <n v="1"/>
    <x v="3"/>
    <n v="14"/>
  </r>
  <r>
    <x v="1751"/>
    <n v="1"/>
    <x v="3"/>
    <n v="22"/>
  </r>
  <r>
    <x v="1752"/>
    <n v="1"/>
    <x v="3"/>
    <n v="28"/>
  </r>
  <r>
    <x v="1753"/>
    <n v="1"/>
    <x v="3"/>
    <n v="20"/>
  </r>
  <r>
    <x v="1754"/>
    <n v="1"/>
    <x v="3"/>
    <n v="23"/>
  </r>
  <r>
    <x v="1755"/>
    <n v="1"/>
    <x v="3"/>
    <n v="16"/>
  </r>
  <r>
    <x v="1756"/>
    <n v="1"/>
    <x v="3"/>
    <n v="17"/>
  </r>
  <r>
    <x v="1757"/>
    <n v="1"/>
    <x v="3"/>
    <n v="30"/>
  </r>
  <r>
    <x v="1758"/>
    <n v="1"/>
    <x v="3"/>
    <n v="21"/>
  </r>
  <r>
    <x v="1759"/>
    <n v="1"/>
    <x v="3"/>
    <n v="17"/>
  </r>
  <r>
    <x v="1760"/>
    <n v="1"/>
    <x v="3"/>
    <n v="24"/>
  </r>
  <r>
    <x v="1761"/>
    <n v="1"/>
    <x v="3"/>
    <n v="26"/>
  </r>
  <r>
    <x v="1762"/>
    <n v="1"/>
    <x v="3"/>
    <n v="31"/>
  </r>
  <r>
    <x v="1763"/>
    <n v="1"/>
    <x v="3"/>
    <n v="7"/>
  </r>
  <r>
    <x v="1764"/>
    <n v="1"/>
    <x v="3"/>
    <n v="20"/>
  </r>
  <r>
    <x v="1765"/>
    <n v="1"/>
    <x v="3"/>
    <n v="23"/>
  </r>
  <r>
    <x v="1766"/>
    <n v="1"/>
    <x v="3"/>
    <n v="22"/>
  </r>
  <r>
    <x v="1767"/>
    <n v="1"/>
    <x v="3"/>
    <n v="20"/>
  </r>
  <r>
    <x v="1768"/>
    <n v="1"/>
    <x v="3"/>
    <n v="17"/>
  </r>
  <r>
    <x v="1769"/>
    <n v="1"/>
    <x v="3"/>
    <n v="21"/>
  </r>
  <r>
    <x v="1770"/>
    <n v="1"/>
    <x v="3"/>
    <n v="20"/>
  </r>
  <r>
    <x v="1771"/>
    <n v="1"/>
    <x v="3"/>
    <n v="25"/>
  </r>
  <r>
    <x v="1772"/>
    <n v="1"/>
    <x v="3"/>
    <n v="16"/>
  </r>
  <r>
    <x v="1773"/>
    <n v="1"/>
    <x v="3"/>
    <n v="22"/>
  </r>
  <r>
    <x v="1774"/>
    <n v="1"/>
    <x v="3"/>
    <n v="31"/>
  </r>
  <r>
    <x v="1775"/>
    <n v="1"/>
    <x v="3"/>
    <n v="27"/>
  </r>
  <r>
    <x v="1776"/>
    <n v="1"/>
    <x v="3"/>
    <n v="36"/>
  </r>
  <r>
    <x v="1777"/>
    <n v="1"/>
    <x v="3"/>
    <n v="16"/>
  </r>
  <r>
    <x v="1778"/>
    <n v="1"/>
    <x v="3"/>
    <n v="19"/>
  </r>
  <r>
    <x v="1779"/>
    <n v="1"/>
    <x v="3"/>
    <n v="27"/>
  </r>
  <r>
    <x v="1780"/>
    <n v="1"/>
    <x v="3"/>
    <n v="21"/>
  </r>
  <r>
    <x v="1781"/>
    <n v="1"/>
    <x v="3"/>
    <n v="24"/>
  </r>
  <r>
    <x v="1782"/>
    <n v="1"/>
    <x v="3"/>
    <n v="29"/>
  </r>
  <r>
    <x v="1783"/>
    <n v="1"/>
    <x v="3"/>
    <n v="30"/>
  </r>
  <r>
    <x v="1784"/>
    <n v="1"/>
    <x v="3"/>
    <n v="18"/>
  </r>
  <r>
    <x v="1785"/>
    <n v="1"/>
    <x v="3"/>
    <n v="30"/>
  </r>
  <r>
    <x v="1786"/>
    <n v="1"/>
    <x v="3"/>
    <n v="24"/>
  </r>
  <r>
    <x v="1787"/>
    <n v="1"/>
    <x v="3"/>
    <n v="23"/>
  </r>
  <r>
    <x v="1788"/>
    <n v="1"/>
    <x v="3"/>
    <n v="25"/>
  </r>
  <r>
    <x v="1789"/>
    <n v="1"/>
    <x v="3"/>
    <n v="29"/>
  </r>
  <r>
    <x v="1790"/>
    <n v="1"/>
    <x v="3"/>
    <n v="28"/>
  </r>
  <r>
    <x v="1791"/>
    <n v="1"/>
    <x v="3"/>
    <n v="21"/>
  </r>
  <r>
    <x v="1792"/>
    <n v="1"/>
    <x v="3"/>
    <n v="23"/>
  </r>
  <r>
    <x v="1793"/>
    <n v="1"/>
    <x v="3"/>
    <n v="18"/>
  </r>
  <r>
    <x v="1794"/>
    <n v="1"/>
    <x v="3"/>
    <n v="16"/>
  </r>
  <r>
    <x v="1795"/>
    <n v="1"/>
    <x v="3"/>
    <n v="23"/>
  </r>
  <r>
    <x v="1796"/>
    <n v="1"/>
    <x v="3"/>
    <n v="16"/>
  </r>
  <r>
    <x v="1797"/>
    <n v="1"/>
    <x v="3"/>
    <n v="15"/>
  </r>
  <r>
    <x v="1798"/>
    <n v="1"/>
    <x v="3"/>
    <n v="10"/>
  </r>
  <r>
    <x v="1799"/>
    <n v="1"/>
    <x v="3"/>
    <n v="15"/>
  </r>
  <r>
    <x v="1800"/>
    <n v="1"/>
    <x v="3"/>
    <n v="13"/>
  </r>
  <r>
    <x v="1801"/>
    <n v="1"/>
    <x v="3"/>
    <n v="14"/>
  </r>
  <r>
    <x v="1802"/>
    <n v="1"/>
    <x v="3"/>
    <n v="16"/>
  </r>
  <r>
    <x v="1803"/>
    <n v="1"/>
    <x v="3"/>
    <n v="22"/>
  </r>
  <r>
    <x v="1804"/>
    <n v="1"/>
    <x v="3"/>
    <n v="18"/>
  </r>
  <r>
    <x v="1805"/>
    <n v="1"/>
    <x v="3"/>
    <n v="10"/>
  </r>
  <r>
    <x v="1806"/>
    <n v="1"/>
    <x v="3"/>
    <n v="17"/>
  </r>
  <r>
    <x v="1807"/>
    <n v="1"/>
    <x v="3"/>
    <n v="11"/>
  </r>
  <r>
    <x v="1808"/>
    <n v="1"/>
    <x v="3"/>
    <n v="18"/>
  </r>
  <r>
    <x v="1809"/>
    <n v="1"/>
    <x v="3"/>
    <n v="15"/>
  </r>
  <r>
    <x v="1810"/>
    <n v="1"/>
    <x v="3"/>
    <n v="19"/>
  </r>
  <r>
    <x v="1811"/>
    <n v="1"/>
    <x v="3"/>
    <n v="14"/>
  </r>
  <r>
    <x v="1812"/>
    <n v="1"/>
    <x v="3"/>
    <n v="11"/>
  </r>
  <r>
    <x v="1813"/>
    <n v="1"/>
    <x v="3"/>
    <n v="17"/>
  </r>
  <r>
    <x v="1814"/>
    <n v="1"/>
    <x v="3"/>
    <n v="22"/>
  </r>
  <r>
    <x v="1815"/>
    <n v="1"/>
    <x v="3"/>
    <n v="16"/>
  </r>
  <r>
    <x v="1816"/>
    <n v="1"/>
    <x v="3"/>
    <n v="16"/>
  </r>
  <r>
    <x v="1817"/>
    <n v="1"/>
    <x v="3"/>
    <n v="17"/>
  </r>
  <r>
    <x v="1818"/>
    <n v="1"/>
    <x v="3"/>
    <n v="11"/>
  </r>
  <r>
    <x v="1819"/>
    <n v="1"/>
    <x v="3"/>
    <n v="11"/>
  </r>
  <r>
    <x v="1820"/>
    <n v="1"/>
    <x v="3"/>
    <n v="15"/>
  </r>
  <r>
    <x v="1821"/>
    <n v="1"/>
    <x v="3"/>
    <n v="16"/>
  </r>
  <r>
    <x v="1822"/>
    <n v="1"/>
    <x v="3"/>
    <n v="20"/>
  </r>
  <r>
    <x v="1823"/>
    <n v="1"/>
    <x v="3"/>
    <n v="25"/>
  </r>
  <r>
    <x v="1824"/>
    <n v="1"/>
    <x v="3"/>
    <n v="19"/>
  </r>
  <r>
    <x v="1825"/>
    <n v="1"/>
    <x v="3"/>
    <n v="15"/>
  </r>
  <r>
    <x v="0"/>
    <n v="1"/>
    <x v="4"/>
    <n v="11"/>
  </r>
  <r>
    <x v="1"/>
    <n v="1"/>
    <x v="4"/>
    <n v="6"/>
  </r>
  <r>
    <x v="2"/>
    <n v="1"/>
    <x v="4"/>
    <n v="8"/>
  </r>
  <r>
    <x v="3"/>
    <n v="1"/>
    <x v="4"/>
    <n v="9"/>
  </r>
  <r>
    <x v="4"/>
    <n v="1"/>
    <x v="4"/>
    <n v="8"/>
  </r>
  <r>
    <x v="5"/>
    <n v="1"/>
    <x v="4"/>
    <n v="13"/>
  </r>
  <r>
    <x v="6"/>
    <n v="1"/>
    <x v="4"/>
    <n v="11"/>
  </r>
  <r>
    <x v="7"/>
    <n v="1"/>
    <x v="4"/>
    <n v="10"/>
  </r>
  <r>
    <x v="8"/>
    <n v="1"/>
    <x v="4"/>
    <n v="7"/>
  </r>
  <r>
    <x v="9"/>
    <n v="1"/>
    <x v="4"/>
    <n v="8"/>
  </r>
  <r>
    <x v="10"/>
    <n v="1"/>
    <x v="4"/>
    <n v="10"/>
  </r>
  <r>
    <x v="11"/>
    <n v="1"/>
    <x v="4"/>
    <n v="8"/>
  </r>
  <r>
    <x v="12"/>
    <n v="1"/>
    <x v="4"/>
    <n v="11"/>
  </r>
  <r>
    <x v="13"/>
    <n v="1"/>
    <x v="4"/>
    <n v="5"/>
  </r>
  <r>
    <x v="14"/>
    <n v="1"/>
    <x v="4"/>
    <n v="10"/>
  </r>
  <r>
    <x v="15"/>
    <n v="1"/>
    <x v="4"/>
    <n v="6"/>
  </r>
  <r>
    <x v="16"/>
    <n v="1"/>
    <x v="4"/>
    <n v="7"/>
  </r>
  <r>
    <x v="17"/>
    <n v="1"/>
    <x v="4"/>
    <n v="10"/>
  </r>
  <r>
    <x v="18"/>
    <n v="1"/>
    <x v="4"/>
    <n v="8"/>
  </r>
  <r>
    <x v="19"/>
    <n v="1"/>
    <x v="4"/>
    <n v="9"/>
  </r>
  <r>
    <x v="20"/>
    <n v="1"/>
    <x v="4"/>
    <n v="4"/>
  </r>
  <r>
    <x v="21"/>
    <n v="1"/>
    <x v="4"/>
    <n v="9"/>
  </r>
  <r>
    <x v="22"/>
    <n v="1"/>
    <x v="4"/>
    <n v="6"/>
  </r>
  <r>
    <x v="23"/>
    <n v="1"/>
    <x v="4"/>
    <n v="12"/>
  </r>
  <r>
    <x v="24"/>
    <n v="1"/>
    <x v="4"/>
    <n v="5"/>
  </r>
  <r>
    <x v="25"/>
    <n v="1"/>
    <x v="4"/>
    <n v="7"/>
  </r>
  <r>
    <x v="26"/>
    <n v="1"/>
    <x v="4"/>
    <n v="18"/>
  </r>
  <r>
    <x v="27"/>
    <n v="1"/>
    <x v="4"/>
    <n v="9"/>
  </r>
  <r>
    <x v="28"/>
    <n v="1"/>
    <x v="4"/>
    <n v="9"/>
  </r>
  <r>
    <x v="29"/>
    <n v="1"/>
    <x v="4"/>
    <n v="9"/>
  </r>
  <r>
    <x v="30"/>
    <n v="1"/>
    <x v="4"/>
    <n v="13"/>
  </r>
  <r>
    <x v="31"/>
    <n v="1"/>
    <x v="4"/>
    <n v="8"/>
  </r>
  <r>
    <x v="32"/>
    <n v="1"/>
    <x v="4"/>
    <n v="16"/>
  </r>
  <r>
    <x v="33"/>
    <n v="1"/>
    <x v="4"/>
    <n v="11"/>
  </r>
  <r>
    <x v="34"/>
    <n v="1"/>
    <x v="4"/>
    <n v="8"/>
  </r>
  <r>
    <x v="35"/>
    <n v="1"/>
    <x v="4"/>
    <n v="15"/>
  </r>
  <r>
    <x v="36"/>
    <n v="1"/>
    <x v="4"/>
    <n v="7"/>
  </r>
  <r>
    <x v="37"/>
    <n v="1"/>
    <x v="4"/>
    <n v="10"/>
  </r>
  <r>
    <x v="38"/>
    <n v="1"/>
    <x v="4"/>
    <n v="7"/>
  </r>
  <r>
    <x v="39"/>
    <n v="1"/>
    <x v="4"/>
    <n v="8"/>
  </r>
  <r>
    <x v="40"/>
    <n v="1"/>
    <x v="4"/>
    <n v="10"/>
  </r>
  <r>
    <x v="41"/>
    <n v="1"/>
    <x v="4"/>
    <n v="13"/>
  </r>
  <r>
    <x v="42"/>
    <n v="1"/>
    <x v="4"/>
    <n v="13"/>
  </r>
  <r>
    <x v="43"/>
    <n v="1"/>
    <x v="4"/>
    <n v="8"/>
  </r>
  <r>
    <x v="44"/>
    <n v="1"/>
    <x v="4"/>
    <n v="10"/>
  </r>
  <r>
    <x v="45"/>
    <n v="1"/>
    <x v="4"/>
    <n v="11"/>
  </r>
  <r>
    <x v="46"/>
    <n v="1"/>
    <x v="4"/>
    <n v="10"/>
  </r>
  <r>
    <x v="47"/>
    <n v="1"/>
    <x v="4"/>
    <n v="11"/>
  </r>
  <r>
    <x v="48"/>
    <n v="1"/>
    <x v="4"/>
    <n v="5"/>
  </r>
  <r>
    <x v="49"/>
    <n v="1"/>
    <x v="4"/>
    <n v="10"/>
  </r>
  <r>
    <x v="50"/>
    <n v="1"/>
    <x v="4"/>
    <n v="7"/>
  </r>
  <r>
    <x v="51"/>
    <n v="1"/>
    <x v="4"/>
    <n v="11"/>
  </r>
  <r>
    <x v="52"/>
    <n v="1"/>
    <x v="4"/>
    <n v="15"/>
  </r>
  <r>
    <x v="53"/>
    <n v="1"/>
    <x v="4"/>
    <n v="13"/>
  </r>
  <r>
    <x v="54"/>
    <n v="1"/>
    <x v="4"/>
    <n v="9"/>
  </r>
  <r>
    <x v="55"/>
    <n v="1"/>
    <x v="4"/>
    <n v="3"/>
  </r>
  <r>
    <x v="56"/>
    <n v="1"/>
    <x v="4"/>
    <n v="6"/>
  </r>
  <r>
    <x v="57"/>
    <n v="1"/>
    <x v="4"/>
    <n v="9"/>
  </r>
  <r>
    <x v="58"/>
    <n v="1"/>
    <x v="4"/>
    <n v="12"/>
  </r>
  <r>
    <x v="59"/>
    <n v="1"/>
    <x v="4"/>
    <n v="11"/>
  </r>
  <r>
    <x v="60"/>
    <n v="1"/>
    <x v="4"/>
    <n v="16"/>
  </r>
  <r>
    <x v="61"/>
    <n v="1"/>
    <x v="4"/>
    <n v="11"/>
  </r>
  <r>
    <x v="62"/>
    <n v="1"/>
    <x v="4"/>
    <n v="6"/>
  </r>
  <r>
    <x v="63"/>
    <n v="1"/>
    <x v="4"/>
    <n v="10"/>
  </r>
  <r>
    <x v="64"/>
    <n v="1"/>
    <x v="4"/>
    <n v="9"/>
  </r>
  <r>
    <x v="65"/>
    <n v="1"/>
    <x v="4"/>
    <n v="15"/>
  </r>
  <r>
    <x v="66"/>
    <n v="1"/>
    <x v="4"/>
    <n v="9"/>
  </r>
  <r>
    <x v="67"/>
    <n v="1"/>
    <x v="4"/>
    <n v="7"/>
  </r>
  <r>
    <x v="68"/>
    <n v="1"/>
    <x v="4"/>
    <n v="18"/>
  </r>
  <r>
    <x v="69"/>
    <n v="1"/>
    <x v="4"/>
    <n v="9"/>
  </r>
  <r>
    <x v="70"/>
    <n v="1"/>
    <x v="4"/>
    <n v="11"/>
  </r>
  <r>
    <x v="71"/>
    <n v="1"/>
    <x v="4"/>
    <n v="15"/>
  </r>
  <r>
    <x v="72"/>
    <n v="1"/>
    <x v="4"/>
    <n v="9"/>
  </r>
  <r>
    <x v="73"/>
    <n v="1"/>
    <x v="4"/>
    <n v="13"/>
  </r>
  <r>
    <x v="74"/>
    <n v="1"/>
    <x v="4"/>
    <n v="15"/>
  </r>
  <r>
    <x v="75"/>
    <n v="1"/>
    <x v="4"/>
    <n v="19"/>
  </r>
  <r>
    <x v="76"/>
    <n v="1"/>
    <x v="4"/>
    <n v="7"/>
  </r>
  <r>
    <x v="77"/>
    <n v="1"/>
    <x v="4"/>
    <n v="12"/>
  </r>
  <r>
    <x v="78"/>
    <n v="1"/>
    <x v="4"/>
    <n v="12"/>
  </r>
  <r>
    <x v="79"/>
    <n v="1"/>
    <x v="4"/>
    <n v="16"/>
  </r>
  <r>
    <x v="80"/>
    <n v="1"/>
    <x v="4"/>
    <n v="7"/>
  </r>
  <r>
    <x v="81"/>
    <n v="1"/>
    <x v="4"/>
    <n v="13"/>
  </r>
  <r>
    <x v="82"/>
    <n v="1"/>
    <x v="4"/>
    <n v="14"/>
  </r>
  <r>
    <x v="83"/>
    <n v="1"/>
    <x v="4"/>
    <n v="10"/>
  </r>
  <r>
    <x v="84"/>
    <n v="1"/>
    <x v="4"/>
    <n v="11"/>
  </r>
  <r>
    <x v="85"/>
    <n v="1"/>
    <x v="4"/>
    <n v="16"/>
  </r>
  <r>
    <x v="86"/>
    <n v="1"/>
    <x v="4"/>
    <n v="11"/>
  </r>
  <r>
    <x v="87"/>
    <n v="1"/>
    <x v="4"/>
    <n v="15"/>
  </r>
  <r>
    <x v="88"/>
    <n v="1"/>
    <x v="4"/>
    <n v="16"/>
  </r>
  <r>
    <x v="89"/>
    <n v="1"/>
    <x v="4"/>
    <n v="15"/>
  </r>
  <r>
    <x v="90"/>
    <n v="1"/>
    <x v="4"/>
    <n v="14"/>
  </r>
  <r>
    <x v="91"/>
    <n v="1"/>
    <x v="4"/>
    <n v="13"/>
  </r>
  <r>
    <x v="92"/>
    <n v="1"/>
    <x v="4"/>
    <n v="8"/>
  </r>
  <r>
    <x v="93"/>
    <n v="1"/>
    <x v="4"/>
    <n v="22"/>
  </r>
  <r>
    <x v="94"/>
    <n v="1"/>
    <x v="4"/>
    <n v="13"/>
  </r>
  <r>
    <x v="95"/>
    <n v="1"/>
    <x v="4"/>
    <n v="18"/>
  </r>
  <r>
    <x v="96"/>
    <n v="1"/>
    <x v="4"/>
    <n v="11"/>
  </r>
  <r>
    <x v="97"/>
    <n v="1"/>
    <x v="4"/>
    <n v="15"/>
  </r>
  <r>
    <x v="98"/>
    <n v="1"/>
    <x v="4"/>
    <n v="7"/>
  </r>
  <r>
    <x v="99"/>
    <n v="1"/>
    <x v="4"/>
    <n v="8"/>
  </r>
  <r>
    <x v="100"/>
    <n v="1"/>
    <x v="4"/>
    <n v="16"/>
  </r>
  <r>
    <x v="101"/>
    <n v="1"/>
    <x v="4"/>
    <n v="15"/>
  </r>
  <r>
    <x v="102"/>
    <n v="1"/>
    <x v="4"/>
    <n v="18"/>
  </r>
  <r>
    <x v="103"/>
    <n v="1"/>
    <x v="4"/>
    <n v="18"/>
  </r>
  <r>
    <x v="104"/>
    <n v="1"/>
    <x v="4"/>
    <n v="11"/>
  </r>
  <r>
    <x v="105"/>
    <n v="1"/>
    <x v="4"/>
    <n v="10"/>
  </r>
  <r>
    <x v="106"/>
    <n v="1"/>
    <x v="4"/>
    <n v="14"/>
  </r>
  <r>
    <x v="107"/>
    <n v="1"/>
    <x v="4"/>
    <n v="17"/>
  </r>
  <r>
    <x v="108"/>
    <n v="1"/>
    <x v="4"/>
    <n v="17"/>
  </r>
  <r>
    <x v="109"/>
    <n v="1"/>
    <x v="4"/>
    <n v="13"/>
  </r>
  <r>
    <x v="110"/>
    <n v="1"/>
    <x v="4"/>
    <n v="20"/>
  </r>
  <r>
    <x v="111"/>
    <n v="1"/>
    <x v="4"/>
    <n v="11"/>
  </r>
  <r>
    <x v="112"/>
    <n v="1"/>
    <x v="4"/>
    <n v="11"/>
  </r>
  <r>
    <x v="113"/>
    <n v="1"/>
    <x v="4"/>
    <n v="16"/>
  </r>
  <r>
    <x v="114"/>
    <n v="1"/>
    <x v="4"/>
    <n v="13"/>
  </r>
  <r>
    <x v="115"/>
    <n v="1"/>
    <x v="4"/>
    <n v="15"/>
  </r>
  <r>
    <x v="116"/>
    <n v="1"/>
    <x v="4"/>
    <n v="15"/>
  </r>
  <r>
    <x v="117"/>
    <n v="1"/>
    <x v="4"/>
    <n v="14"/>
  </r>
  <r>
    <x v="118"/>
    <n v="1"/>
    <x v="4"/>
    <n v="14"/>
  </r>
  <r>
    <x v="119"/>
    <n v="1"/>
    <x v="4"/>
    <n v="10"/>
  </r>
  <r>
    <x v="120"/>
    <n v="1"/>
    <x v="4"/>
    <n v="15"/>
  </r>
  <r>
    <x v="121"/>
    <n v="1"/>
    <x v="4"/>
    <n v="11"/>
  </r>
  <r>
    <x v="122"/>
    <n v="1"/>
    <x v="4"/>
    <n v="18"/>
  </r>
  <r>
    <x v="123"/>
    <n v="1"/>
    <x v="4"/>
    <n v="15"/>
  </r>
  <r>
    <x v="124"/>
    <n v="1"/>
    <x v="4"/>
    <n v="19"/>
  </r>
  <r>
    <x v="125"/>
    <n v="1"/>
    <x v="4"/>
    <n v="12"/>
  </r>
  <r>
    <x v="126"/>
    <n v="1"/>
    <x v="4"/>
    <n v="17"/>
  </r>
  <r>
    <x v="127"/>
    <n v="1"/>
    <x v="4"/>
    <n v="16"/>
  </r>
  <r>
    <x v="128"/>
    <n v="1"/>
    <x v="4"/>
    <n v="20"/>
  </r>
  <r>
    <x v="129"/>
    <n v="1"/>
    <x v="4"/>
    <n v="10"/>
  </r>
  <r>
    <x v="130"/>
    <n v="1"/>
    <x v="4"/>
    <n v="21"/>
  </r>
  <r>
    <x v="131"/>
    <n v="1"/>
    <x v="4"/>
    <n v="15"/>
  </r>
  <r>
    <x v="132"/>
    <n v="1"/>
    <x v="4"/>
    <n v="5"/>
  </r>
  <r>
    <x v="133"/>
    <n v="1"/>
    <x v="4"/>
    <n v="12"/>
  </r>
  <r>
    <x v="134"/>
    <n v="1"/>
    <x v="4"/>
    <n v="23"/>
  </r>
  <r>
    <x v="135"/>
    <n v="1"/>
    <x v="4"/>
    <n v="19"/>
  </r>
  <r>
    <x v="136"/>
    <n v="1"/>
    <x v="4"/>
    <n v="18"/>
  </r>
  <r>
    <x v="137"/>
    <n v="1"/>
    <x v="4"/>
    <n v="18"/>
  </r>
  <r>
    <x v="138"/>
    <n v="1"/>
    <x v="4"/>
    <n v="21"/>
  </r>
  <r>
    <x v="139"/>
    <n v="1"/>
    <x v="4"/>
    <n v="12"/>
  </r>
  <r>
    <x v="140"/>
    <n v="1"/>
    <x v="4"/>
    <n v="10"/>
  </r>
  <r>
    <x v="141"/>
    <n v="1"/>
    <x v="4"/>
    <n v="22"/>
  </r>
  <r>
    <x v="142"/>
    <n v="1"/>
    <x v="4"/>
    <n v="24"/>
  </r>
  <r>
    <x v="143"/>
    <n v="1"/>
    <x v="4"/>
    <n v="20"/>
  </r>
  <r>
    <x v="144"/>
    <n v="1"/>
    <x v="4"/>
    <n v="21"/>
  </r>
  <r>
    <x v="145"/>
    <n v="1"/>
    <x v="4"/>
    <n v="14"/>
  </r>
  <r>
    <x v="146"/>
    <n v="1"/>
    <x v="4"/>
    <n v="14"/>
  </r>
  <r>
    <x v="147"/>
    <n v="1"/>
    <x v="4"/>
    <n v="15"/>
  </r>
  <r>
    <x v="148"/>
    <n v="1"/>
    <x v="4"/>
    <n v="13"/>
  </r>
  <r>
    <x v="149"/>
    <n v="1"/>
    <x v="4"/>
    <n v="14"/>
  </r>
  <r>
    <x v="150"/>
    <n v="1"/>
    <x v="4"/>
    <n v="13"/>
  </r>
  <r>
    <x v="151"/>
    <n v="1"/>
    <x v="4"/>
    <n v="18"/>
  </r>
  <r>
    <x v="152"/>
    <n v="1"/>
    <x v="4"/>
    <n v="18"/>
  </r>
  <r>
    <x v="153"/>
    <n v="1"/>
    <x v="4"/>
    <n v="17"/>
  </r>
  <r>
    <x v="154"/>
    <n v="1"/>
    <x v="4"/>
    <n v="12"/>
  </r>
  <r>
    <x v="155"/>
    <n v="1"/>
    <x v="4"/>
    <n v="10"/>
  </r>
  <r>
    <x v="156"/>
    <n v="1"/>
    <x v="4"/>
    <n v="20"/>
  </r>
  <r>
    <x v="157"/>
    <n v="1"/>
    <x v="4"/>
    <n v="14"/>
  </r>
  <r>
    <x v="158"/>
    <n v="1"/>
    <x v="4"/>
    <n v="22"/>
  </r>
  <r>
    <x v="159"/>
    <n v="1"/>
    <x v="4"/>
    <n v="19"/>
  </r>
  <r>
    <x v="160"/>
    <n v="1"/>
    <x v="4"/>
    <n v="16"/>
  </r>
  <r>
    <x v="161"/>
    <n v="1"/>
    <x v="4"/>
    <n v="14"/>
  </r>
  <r>
    <x v="162"/>
    <n v="1"/>
    <x v="4"/>
    <n v="14"/>
  </r>
  <r>
    <x v="163"/>
    <n v="1"/>
    <x v="4"/>
    <n v="8"/>
  </r>
  <r>
    <x v="164"/>
    <n v="1"/>
    <x v="4"/>
    <n v="18"/>
  </r>
  <r>
    <x v="165"/>
    <n v="1"/>
    <x v="4"/>
    <n v="19"/>
  </r>
  <r>
    <x v="166"/>
    <n v="1"/>
    <x v="4"/>
    <n v="19"/>
  </r>
  <r>
    <x v="167"/>
    <n v="1"/>
    <x v="4"/>
    <n v="11"/>
  </r>
  <r>
    <x v="168"/>
    <n v="1"/>
    <x v="4"/>
    <n v="14"/>
  </r>
  <r>
    <x v="169"/>
    <n v="1"/>
    <x v="4"/>
    <n v="15"/>
  </r>
  <r>
    <x v="170"/>
    <n v="1"/>
    <x v="4"/>
    <n v="16"/>
  </r>
  <r>
    <x v="171"/>
    <n v="1"/>
    <x v="4"/>
    <n v="16"/>
  </r>
  <r>
    <x v="172"/>
    <n v="1"/>
    <x v="4"/>
    <n v="13"/>
  </r>
  <r>
    <x v="173"/>
    <n v="1"/>
    <x v="4"/>
    <n v="17"/>
  </r>
  <r>
    <x v="174"/>
    <n v="1"/>
    <x v="4"/>
    <n v="13"/>
  </r>
  <r>
    <x v="175"/>
    <n v="1"/>
    <x v="4"/>
    <n v="17"/>
  </r>
  <r>
    <x v="176"/>
    <n v="1"/>
    <x v="4"/>
    <n v="15"/>
  </r>
  <r>
    <x v="177"/>
    <n v="1"/>
    <x v="4"/>
    <n v="24"/>
  </r>
  <r>
    <x v="178"/>
    <n v="1"/>
    <x v="4"/>
    <n v="19"/>
  </r>
  <r>
    <x v="179"/>
    <n v="1"/>
    <x v="4"/>
    <n v="19"/>
  </r>
  <r>
    <x v="180"/>
    <n v="1"/>
    <x v="4"/>
    <n v="30"/>
  </r>
  <r>
    <x v="181"/>
    <n v="1"/>
    <x v="4"/>
    <n v="13"/>
  </r>
  <r>
    <x v="182"/>
    <n v="1"/>
    <x v="4"/>
    <n v="9"/>
  </r>
  <r>
    <x v="183"/>
    <n v="1"/>
    <x v="4"/>
    <n v="16"/>
  </r>
  <r>
    <x v="184"/>
    <n v="1"/>
    <x v="4"/>
    <n v="19"/>
  </r>
  <r>
    <x v="185"/>
    <n v="1"/>
    <x v="4"/>
    <n v="16"/>
  </r>
  <r>
    <x v="186"/>
    <n v="1"/>
    <x v="4"/>
    <n v="17"/>
  </r>
  <r>
    <x v="187"/>
    <n v="1"/>
    <x v="4"/>
    <n v="14"/>
  </r>
  <r>
    <x v="188"/>
    <n v="1"/>
    <x v="4"/>
    <n v="16"/>
  </r>
  <r>
    <x v="189"/>
    <n v="1"/>
    <x v="4"/>
    <n v="17"/>
  </r>
  <r>
    <x v="190"/>
    <n v="1"/>
    <x v="4"/>
    <n v="18"/>
  </r>
  <r>
    <x v="191"/>
    <n v="1"/>
    <x v="4"/>
    <n v="19"/>
  </r>
  <r>
    <x v="192"/>
    <n v="1"/>
    <x v="4"/>
    <n v="16"/>
  </r>
  <r>
    <x v="193"/>
    <n v="1"/>
    <x v="4"/>
    <n v="17"/>
  </r>
  <r>
    <x v="194"/>
    <n v="1"/>
    <x v="4"/>
    <n v="15"/>
  </r>
  <r>
    <x v="195"/>
    <n v="1"/>
    <x v="4"/>
    <n v="12"/>
  </r>
  <r>
    <x v="196"/>
    <n v="1"/>
    <x v="4"/>
    <n v="17"/>
  </r>
  <r>
    <x v="197"/>
    <n v="1"/>
    <x v="4"/>
    <n v="11"/>
  </r>
  <r>
    <x v="198"/>
    <n v="1"/>
    <x v="4"/>
    <n v="26"/>
  </r>
  <r>
    <x v="199"/>
    <n v="1"/>
    <x v="4"/>
    <n v="17"/>
  </r>
  <r>
    <x v="200"/>
    <n v="1"/>
    <x v="4"/>
    <n v="20"/>
  </r>
  <r>
    <x v="201"/>
    <n v="1"/>
    <x v="4"/>
    <n v="19"/>
  </r>
  <r>
    <x v="202"/>
    <n v="1"/>
    <x v="4"/>
    <n v="17"/>
  </r>
  <r>
    <x v="203"/>
    <n v="1"/>
    <x v="4"/>
    <n v="17"/>
  </r>
  <r>
    <x v="204"/>
    <n v="1"/>
    <x v="4"/>
    <n v="22"/>
  </r>
  <r>
    <x v="205"/>
    <n v="1"/>
    <x v="4"/>
    <n v="20"/>
  </r>
  <r>
    <x v="206"/>
    <n v="1"/>
    <x v="4"/>
    <n v="18"/>
  </r>
  <r>
    <x v="207"/>
    <n v="1"/>
    <x v="4"/>
    <n v="19"/>
  </r>
  <r>
    <x v="208"/>
    <n v="1"/>
    <x v="4"/>
    <n v="18"/>
  </r>
  <r>
    <x v="209"/>
    <n v="1"/>
    <x v="4"/>
    <n v="14"/>
  </r>
  <r>
    <x v="210"/>
    <n v="1"/>
    <x v="4"/>
    <n v="17"/>
  </r>
  <r>
    <x v="211"/>
    <n v="1"/>
    <x v="4"/>
    <n v="13"/>
  </r>
  <r>
    <x v="212"/>
    <n v="1"/>
    <x v="4"/>
    <n v="9"/>
  </r>
  <r>
    <x v="213"/>
    <n v="1"/>
    <x v="4"/>
    <n v="17"/>
  </r>
  <r>
    <x v="214"/>
    <n v="1"/>
    <x v="4"/>
    <n v="17"/>
  </r>
  <r>
    <x v="215"/>
    <n v="1"/>
    <x v="4"/>
    <n v="15"/>
  </r>
  <r>
    <x v="216"/>
    <n v="1"/>
    <x v="4"/>
    <n v="6"/>
  </r>
  <r>
    <x v="217"/>
    <n v="1"/>
    <x v="4"/>
    <n v="16"/>
  </r>
  <r>
    <x v="218"/>
    <n v="1"/>
    <x v="4"/>
    <n v="12"/>
  </r>
  <r>
    <x v="219"/>
    <n v="1"/>
    <x v="4"/>
    <n v="12"/>
  </r>
  <r>
    <x v="220"/>
    <n v="1"/>
    <x v="4"/>
    <n v="12"/>
  </r>
  <r>
    <x v="221"/>
    <n v="1"/>
    <x v="4"/>
    <n v="17"/>
  </r>
  <r>
    <x v="222"/>
    <n v="1"/>
    <x v="4"/>
    <n v="17"/>
  </r>
  <r>
    <x v="223"/>
    <n v="1"/>
    <x v="4"/>
    <n v="8"/>
  </r>
  <r>
    <x v="224"/>
    <n v="1"/>
    <x v="4"/>
    <n v="16"/>
  </r>
  <r>
    <x v="225"/>
    <n v="1"/>
    <x v="4"/>
    <n v="22"/>
  </r>
  <r>
    <x v="226"/>
    <n v="1"/>
    <x v="4"/>
    <n v="23"/>
  </r>
  <r>
    <x v="227"/>
    <n v="1"/>
    <x v="4"/>
    <n v="29"/>
  </r>
  <r>
    <x v="228"/>
    <n v="1"/>
    <x v="4"/>
    <n v="16"/>
  </r>
  <r>
    <x v="229"/>
    <n v="1"/>
    <x v="4"/>
    <n v="22"/>
  </r>
  <r>
    <x v="230"/>
    <n v="1"/>
    <x v="4"/>
    <n v="16"/>
  </r>
  <r>
    <x v="231"/>
    <n v="1"/>
    <x v="4"/>
    <n v="16"/>
  </r>
  <r>
    <x v="232"/>
    <n v="1"/>
    <x v="4"/>
    <n v="13"/>
  </r>
  <r>
    <x v="233"/>
    <n v="1"/>
    <x v="4"/>
    <n v="17"/>
  </r>
  <r>
    <x v="234"/>
    <n v="1"/>
    <x v="4"/>
    <n v="24"/>
  </r>
  <r>
    <x v="235"/>
    <n v="1"/>
    <x v="4"/>
    <n v="13"/>
  </r>
  <r>
    <x v="236"/>
    <n v="1"/>
    <x v="4"/>
    <n v="25"/>
  </r>
  <r>
    <x v="237"/>
    <n v="1"/>
    <x v="4"/>
    <n v="17"/>
  </r>
  <r>
    <x v="238"/>
    <n v="1"/>
    <x v="4"/>
    <n v="11"/>
  </r>
  <r>
    <x v="239"/>
    <n v="1"/>
    <x v="4"/>
    <n v="10"/>
  </r>
  <r>
    <x v="240"/>
    <n v="1"/>
    <x v="4"/>
    <n v="13"/>
  </r>
  <r>
    <x v="241"/>
    <n v="1"/>
    <x v="4"/>
    <n v="20"/>
  </r>
  <r>
    <x v="242"/>
    <n v="1"/>
    <x v="4"/>
    <n v="27"/>
  </r>
  <r>
    <x v="243"/>
    <n v="1"/>
    <x v="4"/>
    <n v="14"/>
  </r>
  <r>
    <x v="244"/>
    <n v="1"/>
    <x v="4"/>
    <n v="13"/>
  </r>
  <r>
    <x v="245"/>
    <n v="1"/>
    <x v="4"/>
    <n v="18"/>
  </r>
  <r>
    <x v="246"/>
    <n v="1"/>
    <x v="4"/>
    <n v="6"/>
  </r>
  <r>
    <x v="247"/>
    <n v="1"/>
    <x v="4"/>
    <n v="15"/>
  </r>
  <r>
    <x v="248"/>
    <n v="1"/>
    <x v="4"/>
    <n v="8"/>
  </r>
  <r>
    <x v="249"/>
    <n v="1"/>
    <x v="4"/>
    <n v="12"/>
  </r>
  <r>
    <x v="250"/>
    <n v="1"/>
    <x v="4"/>
    <n v="14"/>
  </r>
  <r>
    <x v="251"/>
    <n v="1"/>
    <x v="4"/>
    <n v="14"/>
  </r>
  <r>
    <x v="252"/>
    <n v="1"/>
    <x v="4"/>
    <n v="17"/>
  </r>
  <r>
    <x v="253"/>
    <n v="1"/>
    <x v="4"/>
    <n v="12"/>
  </r>
  <r>
    <x v="254"/>
    <n v="1"/>
    <x v="4"/>
    <n v="19"/>
  </r>
  <r>
    <x v="255"/>
    <n v="1"/>
    <x v="4"/>
    <n v="11"/>
  </r>
  <r>
    <x v="256"/>
    <n v="1"/>
    <x v="4"/>
    <n v="20"/>
  </r>
  <r>
    <x v="257"/>
    <n v="1"/>
    <x v="4"/>
    <n v="15"/>
  </r>
  <r>
    <x v="258"/>
    <n v="1"/>
    <x v="4"/>
    <n v="12"/>
  </r>
  <r>
    <x v="259"/>
    <n v="1"/>
    <x v="4"/>
    <n v="14"/>
  </r>
  <r>
    <x v="260"/>
    <n v="1"/>
    <x v="4"/>
    <n v="10"/>
  </r>
  <r>
    <x v="261"/>
    <n v="1"/>
    <x v="4"/>
    <n v="11"/>
  </r>
  <r>
    <x v="262"/>
    <n v="1"/>
    <x v="4"/>
    <n v="15"/>
  </r>
  <r>
    <x v="263"/>
    <n v="1"/>
    <x v="4"/>
    <n v="16"/>
  </r>
  <r>
    <x v="264"/>
    <n v="1"/>
    <x v="4"/>
    <n v="18"/>
  </r>
  <r>
    <x v="265"/>
    <n v="1"/>
    <x v="4"/>
    <n v="19"/>
  </r>
  <r>
    <x v="266"/>
    <n v="1"/>
    <x v="4"/>
    <n v="19"/>
  </r>
  <r>
    <x v="267"/>
    <n v="1"/>
    <x v="4"/>
    <n v="16"/>
  </r>
  <r>
    <x v="268"/>
    <n v="1"/>
    <x v="4"/>
    <n v="7"/>
  </r>
  <r>
    <x v="269"/>
    <n v="1"/>
    <x v="4"/>
    <n v="17"/>
  </r>
  <r>
    <x v="270"/>
    <n v="1"/>
    <x v="4"/>
    <n v="12"/>
  </r>
  <r>
    <x v="271"/>
    <n v="1"/>
    <x v="4"/>
    <n v="21"/>
  </r>
  <r>
    <x v="272"/>
    <n v="1"/>
    <x v="4"/>
    <n v="15"/>
  </r>
  <r>
    <x v="273"/>
    <n v="1"/>
    <x v="4"/>
    <n v="11"/>
  </r>
  <r>
    <x v="274"/>
    <n v="1"/>
    <x v="4"/>
    <n v="16"/>
  </r>
  <r>
    <x v="275"/>
    <n v="1"/>
    <x v="4"/>
    <n v="19"/>
  </r>
  <r>
    <x v="276"/>
    <n v="1"/>
    <x v="4"/>
    <n v="23"/>
  </r>
  <r>
    <x v="277"/>
    <n v="1"/>
    <x v="4"/>
    <n v="17"/>
  </r>
  <r>
    <x v="278"/>
    <n v="1"/>
    <x v="4"/>
    <n v="19"/>
  </r>
  <r>
    <x v="279"/>
    <n v="1"/>
    <x v="4"/>
    <n v="8"/>
  </r>
  <r>
    <x v="280"/>
    <n v="1"/>
    <x v="4"/>
    <n v="12"/>
  </r>
  <r>
    <x v="281"/>
    <n v="1"/>
    <x v="4"/>
    <n v="8"/>
  </r>
  <r>
    <x v="282"/>
    <n v="1"/>
    <x v="4"/>
    <n v="8"/>
  </r>
  <r>
    <x v="283"/>
    <n v="1"/>
    <x v="4"/>
    <n v="11"/>
  </r>
  <r>
    <x v="284"/>
    <n v="1"/>
    <x v="4"/>
    <n v="13"/>
  </r>
  <r>
    <x v="285"/>
    <n v="1"/>
    <x v="4"/>
    <n v="15"/>
  </r>
  <r>
    <x v="286"/>
    <n v="1"/>
    <x v="4"/>
    <n v="16"/>
  </r>
  <r>
    <x v="287"/>
    <n v="1"/>
    <x v="4"/>
    <n v="17"/>
  </r>
  <r>
    <x v="288"/>
    <n v="1"/>
    <x v="4"/>
    <n v="11"/>
  </r>
  <r>
    <x v="289"/>
    <n v="1"/>
    <x v="4"/>
    <n v="13"/>
  </r>
  <r>
    <x v="290"/>
    <n v="1"/>
    <x v="4"/>
    <n v="10"/>
  </r>
  <r>
    <x v="291"/>
    <n v="1"/>
    <x v="4"/>
    <n v="16"/>
  </r>
  <r>
    <x v="292"/>
    <n v="1"/>
    <x v="4"/>
    <n v="19"/>
  </r>
  <r>
    <x v="293"/>
    <n v="1"/>
    <x v="4"/>
    <n v="7"/>
  </r>
  <r>
    <x v="294"/>
    <n v="1"/>
    <x v="4"/>
    <n v="14"/>
  </r>
  <r>
    <x v="295"/>
    <n v="1"/>
    <x v="4"/>
    <n v="15"/>
  </r>
  <r>
    <x v="296"/>
    <n v="1"/>
    <x v="4"/>
    <n v="23"/>
  </r>
  <r>
    <x v="297"/>
    <n v="1"/>
    <x v="4"/>
    <n v="10"/>
  </r>
  <r>
    <x v="298"/>
    <n v="1"/>
    <x v="4"/>
    <n v="13"/>
  </r>
  <r>
    <x v="299"/>
    <n v="1"/>
    <x v="4"/>
    <n v="11"/>
  </r>
  <r>
    <x v="300"/>
    <n v="1"/>
    <x v="4"/>
    <n v="11"/>
  </r>
  <r>
    <x v="301"/>
    <n v="1"/>
    <x v="4"/>
    <n v="13"/>
  </r>
  <r>
    <x v="302"/>
    <n v="1"/>
    <x v="4"/>
    <n v="13"/>
  </r>
  <r>
    <x v="303"/>
    <n v="1"/>
    <x v="4"/>
    <n v="14"/>
  </r>
  <r>
    <x v="304"/>
    <n v="1"/>
    <x v="4"/>
    <n v="18"/>
  </r>
  <r>
    <x v="305"/>
    <n v="1"/>
    <x v="4"/>
    <n v="11"/>
  </r>
  <r>
    <x v="306"/>
    <n v="1"/>
    <x v="4"/>
    <n v="18"/>
  </r>
  <r>
    <x v="307"/>
    <n v="1"/>
    <x v="4"/>
    <n v="3"/>
  </r>
  <r>
    <x v="308"/>
    <n v="1"/>
    <x v="4"/>
    <n v="21"/>
  </r>
  <r>
    <x v="309"/>
    <n v="1"/>
    <x v="4"/>
    <n v="15"/>
  </r>
  <r>
    <x v="310"/>
    <n v="1"/>
    <x v="4"/>
    <n v="13"/>
  </r>
  <r>
    <x v="311"/>
    <n v="1"/>
    <x v="4"/>
    <n v="12"/>
  </r>
  <r>
    <x v="312"/>
    <n v="1"/>
    <x v="4"/>
    <n v="11"/>
  </r>
  <r>
    <x v="313"/>
    <n v="1"/>
    <x v="4"/>
    <n v="14"/>
  </r>
  <r>
    <x v="314"/>
    <n v="1"/>
    <x v="4"/>
    <n v="11"/>
  </r>
  <r>
    <x v="315"/>
    <n v="1"/>
    <x v="4"/>
    <n v="16"/>
  </r>
  <r>
    <x v="316"/>
    <n v="1"/>
    <x v="4"/>
    <n v="10"/>
  </r>
  <r>
    <x v="317"/>
    <n v="1"/>
    <x v="4"/>
    <n v="11"/>
  </r>
  <r>
    <x v="318"/>
    <n v="1"/>
    <x v="4"/>
    <n v="16"/>
  </r>
  <r>
    <x v="319"/>
    <n v="1"/>
    <x v="4"/>
    <n v="15"/>
  </r>
  <r>
    <x v="320"/>
    <n v="1"/>
    <x v="4"/>
    <n v="14"/>
  </r>
  <r>
    <x v="321"/>
    <n v="1"/>
    <x v="4"/>
    <n v="6"/>
  </r>
  <r>
    <x v="322"/>
    <n v="1"/>
    <x v="4"/>
    <n v="16"/>
  </r>
  <r>
    <x v="323"/>
    <n v="1"/>
    <x v="4"/>
    <n v="22"/>
  </r>
  <r>
    <x v="324"/>
    <n v="1"/>
    <x v="4"/>
    <n v="12"/>
  </r>
  <r>
    <x v="325"/>
    <n v="1"/>
    <x v="4"/>
    <n v="13"/>
  </r>
  <r>
    <x v="326"/>
    <n v="1"/>
    <x v="4"/>
    <n v="19"/>
  </r>
  <r>
    <x v="327"/>
    <n v="1"/>
    <x v="4"/>
    <n v="15"/>
  </r>
  <r>
    <x v="328"/>
    <n v="1"/>
    <x v="4"/>
    <n v="16"/>
  </r>
  <r>
    <x v="329"/>
    <n v="1"/>
    <x v="4"/>
    <n v="19"/>
  </r>
  <r>
    <x v="330"/>
    <n v="1"/>
    <x v="4"/>
    <n v="10"/>
  </r>
  <r>
    <x v="331"/>
    <n v="1"/>
    <x v="4"/>
    <n v="12"/>
  </r>
  <r>
    <x v="332"/>
    <n v="1"/>
    <x v="4"/>
    <n v="19"/>
  </r>
  <r>
    <x v="333"/>
    <n v="1"/>
    <x v="4"/>
    <n v="14"/>
  </r>
  <r>
    <x v="334"/>
    <n v="1"/>
    <x v="4"/>
    <n v="10"/>
  </r>
  <r>
    <x v="335"/>
    <n v="1"/>
    <x v="4"/>
    <n v="13"/>
  </r>
  <r>
    <x v="336"/>
    <n v="1"/>
    <x v="4"/>
    <n v="8"/>
  </r>
  <r>
    <x v="337"/>
    <n v="1"/>
    <x v="4"/>
    <n v="16"/>
  </r>
  <r>
    <x v="338"/>
    <n v="1"/>
    <x v="4"/>
    <n v="9"/>
  </r>
  <r>
    <x v="339"/>
    <n v="1"/>
    <x v="4"/>
    <n v="12"/>
  </r>
  <r>
    <x v="340"/>
    <n v="1"/>
    <x v="4"/>
    <n v="12"/>
  </r>
  <r>
    <x v="341"/>
    <n v="1"/>
    <x v="4"/>
    <n v="15"/>
  </r>
  <r>
    <x v="342"/>
    <n v="1"/>
    <x v="4"/>
    <n v="7"/>
  </r>
  <r>
    <x v="343"/>
    <n v="1"/>
    <x v="4"/>
    <n v="6"/>
  </r>
  <r>
    <x v="344"/>
    <n v="1"/>
    <x v="4"/>
    <n v="13"/>
  </r>
  <r>
    <x v="345"/>
    <n v="1"/>
    <x v="4"/>
    <n v="15"/>
  </r>
  <r>
    <x v="346"/>
    <n v="1"/>
    <x v="4"/>
    <n v="15"/>
  </r>
  <r>
    <x v="347"/>
    <n v="1"/>
    <x v="4"/>
    <n v="15"/>
  </r>
  <r>
    <x v="348"/>
    <n v="1"/>
    <x v="4"/>
    <n v="15"/>
  </r>
  <r>
    <x v="349"/>
    <n v="1"/>
    <x v="4"/>
    <n v="7"/>
  </r>
  <r>
    <x v="350"/>
    <n v="1"/>
    <x v="4"/>
    <n v="10"/>
  </r>
  <r>
    <x v="351"/>
    <n v="1"/>
    <x v="4"/>
    <n v="9"/>
  </r>
  <r>
    <x v="352"/>
    <n v="1"/>
    <x v="4"/>
    <n v="13"/>
  </r>
  <r>
    <x v="353"/>
    <n v="1"/>
    <x v="4"/>
    <n v="10"/>
  </r>
  <r>
    <x v="354"/>
    <n v="1"/>
    <x v="4"/>
    <n v="18"/>
  </r>
  <r>
    <x v="355"/>
    <n v="1"/>
    <x v="4"/>
    <n v="17"/>
  </r>
  <r>
    <x v="356"/>
    <n v="1"/>
    <x v="4"/>
    <n v="12"/>
  </r>
  <r>
    <x v="357"/>
    <n v="1"/>
    <x v="4"/>
    <n v="12"/>
  </r>
  <r>
    <x v="358"/>
    <n v="1"/>
    <x v="4"/>
    <n v="5"/>
  </r>
  <r>
    <x v="359"/>
    <n v="1"/>
    <x v="4"/>
    <n v="12"/>
  </r>
  <r>
    <x v="360"/>
    <n v="1"/>
    <x v="4"/>
    <n v="11"/>
  </r>
  <r>
    <x v="361"/>
    <n v="1"/>
    <x v="4"/>
    <n v="10"/>
  </r>
  <r>
    <x v="362"/>
    <n v="1"/>
    <x v="4"/>
    <n v="14"/>
  </r>
  <r>
    <x v="363"/>
    <n v="1"/>
    <x v="4"/>
    <n v="9"/>
  </r>
  <r>
    <x v="364"/>
    <n v="1"/>
    <x v="4"/>
    <n v="6"/>
  </r>
  <r>
    <x v="365"/>
    <n v="1"/>
    <x v="4"/>
    <n v="6"/>
  </r>
  <r>
    <x v="366"/>
    <n v="1"/>
    <x v="4"/>
    <n v="6"/>
  </r>
  <r>
    <x v="367"/>
    <n v="1"/>
    <x v="4"/>
    <n v="9"/>
  </r>
  <r>
    <x v="368"/>
    <n v="1"/>
    <x v="4"/>
    <n v="11"/>
  </r>
  <r>
    <x v="369"/>
    <n v="1"/>
    <x v="4"/>
    <n v="13"/>
  </r>
  <r>
    <x v="370"/>
    <n v="1"/>
    <x v="4"/>
    <n v="7"/>
  </r>
  <r>
    <x v="371"/>
    <n v="1"/>
    <x v="4"/>
    <n v="12"/>
  </r>
  <r>
    <x v="372"/>
    <n v="1"/>
    <x v="4"/>
    <n v="11"/>
  </r>
  <r>
    <x v="373"/>
    <n v="1"/>
    <x v="4"/>
    <n v="10"/>
  </r>
  <r>
    <x v="374"/>
    <n v="1"/>
    <x v="4"/>
    <n v="8"/>
  </r>
  <r>
    <x v="375"/>
    <n v="1"/>
    <x v="4"/>
    <n v="12"/>
  </r>
  <r>
    <x v="376"/>
    <n v="1"/>
    <x v="4"/>
    <n v="10"/>
  </r>
  <r>
    <x v="377"/>
    <n v="1"/>
    <x v="4"/>
    <n v="10"/>
  </r>
  <r>
    <x v="378"/>
    <n v="1"/>
    <x v="4"/>
    <n v="10"/>
  </r>
  <r>
    <x v="379"/>
    <n v="1"/>
    <x v="4"/>
    <n v="8"/>
  </r>
  <r>
    <x v="380"/>
    <n v="1"/>
    <x v="4"/>
    <n v="10"/>
  </r>
  <r>
    <x v="381"/>
    <n v="1"/>
    <x v="4"/>
    <n v="7"/>
  </r>
  <r>
    <x v="382"/>
    <n v="1"/>
    <x v="4"/>
    <n v="12"/>
  </r>
  <r>
    <x v="383"/>
    <n v="1"/>
    <x v="4"/>
    <n v="9"/>
  </r>
  <r>
    <x v="384"/>
    <n v="1"/>
    <x v="4"/>
    <n v="9"/>
  </r>
  <r>
    <x v="385"/>
    <n v="1"/>
    <x v="4"/>
    <n v="10"/>
  </r>
  <r>
    <x v="386"/>
    <n v="1"/>
    <x v="4"/>
    <n v="11"/>
  </r>
  <r>
    <x v="387"/>
    <n v="1"/>
    <x v="4"/>
    <n v="13"/>
  </r>
  <r>
    <x v="388"/>
    <n v="1"/>
    <x v="4"/>
    <n v="14"/>
  </r>
  <r>
    <x v="389"/>
    <n v="1"/>
    <x v="4"/>
    <n v="8"/>
  </r>
  <r>
    <x v="390"/>
    <n v="1"/>
    <x v="4"/>
    <n v="24"/>
  </r>
  <r>
    <x v="391"/>
    <n v="1"/>
    <x v="4"/>
    <n v="13"/>
  </r>
  <r>
    <x v="392"/>
    <n v="1"/>
    <x v="4"/>
    <n v="8"/>
  </r>
  <r>
    <x v="393"/>
    <n v="1"/>
    <x v="4"/>
    <n v="16"/>
  </r>
  <r>
    <x v="394"/>
    <n v="1"/>
    <x v="4"/>
    <n v="8"/>
  </r>
  <r>
    <x v="395"/>
    <n v="1"/>
    <x v="4"/>
    <n v="15"/>
  </r>
  <r>
    <x v="396"/>
    <n v="1"/>
    <x v="4"/>
    <n v="9"/>
  </r>
  <r>
    <x v="397"/>
    <n v="1"/>
    <x v="4"/>
    <n v="13"/>
  </r>
  <r>
    <x v="398"/>
    <n v="1"/>
    <x v="4"/>
    <n v="12"/>
  </r>
  <r>
    <x v="399"/>
    <n v="1"/>
    <x v="4"/>
    <n v="10"/>
  </r>
  <r>
    <x v="400"/>
    <n v="1"/>
    <x v="4"/>
    <n v="10"/>
  </r>
  <r>
    <x v="401"/>
    <n v="1"/>
    <x v="4"/>
    <n v="5"/>
  </r>
  <r>
    <x v="402"/>
    <n v="1"/>
    <x v="4"/>
    <n v="17"/>
  </r>
  <r>
    <x v="403"/>
    <n v="1"/>
    <x v="4"/>
    <n v="7"/>
  </r>
  <r>
    <x v="404"/>
    <n v="1"/>
    <x v="4"/>
    <n v="11"/>
  </r>
  <r>
    <x v="405"/>
    <n v="1"/>
    <x v="4"/>
    <n v="10"/>
  </r>
  <r>
    <x v="406"/>
    <n v="1"/>
    <x v="4"/>
    <n v="10"/>
  </r>
  <r>
    <x v="407"/>
    <n v="1"/>
    <x v="4"/>
    <n v="11"/>
  </r>
  <r>
    <x v="408"/>
    <n v="1"/>
    <x v="4"/>
    <n v="10"/>
  </r>
  <r>
    <x v="409"/>
    <n v="1"/>
    <x v="4"/>
    <n v="10"/>
  </r>
  <r>
    <x v="410"/>
    <n v="1"/>
    <x v="4"/>
    <n v="13"/>
  </r>
  <r>
    <x v="411"/>
    <n v="1"/>
    <x v="4"/>
    <n v="15"/>
  </r>
  <r>
    <x v="412"/>
    <n v="1"/>
    <x v="4"/>
    <n v="10"/>
  </r>
  <r>
    <x v="413"/>
    <n v="1"/>
    <x v="4"/>
    <n v="6"/>
  </r>
  <r>
    <x v="414"/>
    <n v="1"/>
    <x v="4"/>
    <n v="7"/>
  </r>
  <r>
    <x v="415"/>
    <n v="1"/>
    <x v="4"/>
    <n v="11"/>
  </r>
  <r>
    <x v="416"/>
    <n v="1"/>
    <x v="4"/>
    <n v="14"/>
  </r>
  <r>
    <x v="417"/>
    <n v="1"/>
    <x v="4"/>
    <n v="14"/>
  </r>
  <r>
    <x v="418"/>
    <n v="1"/>
    <x v="4"/>
    <n v="19"/>
  </r>
  <r>
    <x v="419"/>
    <n v="1"/>
    <x v="4"/>
    <n v="11"/>
  </r>
  <r>
    <x v="420"/>
    <n v="1"/>
    <x v="4"/>
    <n v="12"/>
  </r>
  <r>
    <x v="421"/>
    <n v="1"/>
    <x v="4"/>
    <n v="10"/>
  </r>
  <r>
    <x v="422"/>
    <n v="1"/>
    <x v="4"/>
    <n v="14"/>
  </r>
  <r>
    <x v="423"/>
    <n v="1"/>
    <x v="4"/>
    <n v="13"/>
  </r>
  <r>
    <x v="424"/>
    <n v="1"/>
    <x v="4"/>
    <n v="16"/>
  </r>
  <r>
    <x v="425"/>
    <n v="1"/>
    <x v="4"/>
    <n v="16"/>
  </r>
  <r>
    <x v="426"/>
    <n v="1"/>
    <x v="4"/>
    <n v="13"/>
  </r>
  <r>
    <x v="427"/>
    <n v="1"/>
    <x v="4"/>
    <n v="10"/>
  </r>
  <r>
    <x v="428"/>
    <n v="1"/>
    <x v="4"/>
    <n v="14"/>
  </r>
  <r>
    <x v="429"/>
    <n v="1"/>
    <x v="4"/>
    <n v="17"/>
  </r>
  <r>
    <x v="430"/>
    <n v="1"/>
    <x v="4"/>
    <n v="19"/>
  </r>
  <r>
    <x v="431"/>
    <n v="1"/>
    <x v="4"/>
    <n v="7"/>
  </r>
  <r>
    <x v="432"/>
    <n v="1"/>
    <x v="4"/>
    <n v="13"/>
  </r>
  <r>
    <x v="433"/>
    <n v="1"/>
    <x v="4"/>
    <n v="10"/>
  </r>
  <r>
    <x v="434"/>
    <n v="1"/>
    <x v="4"/>
    <n v="9"/>
  </r>
  <r>
    <x v="435"/>
    <n v="1"/>
    <x v="4"/>
    <n v="18"/>
  </r>
  <r>
    <x v="436"/>
    <n v="1"/>
    <x v="4"/>
    <n v="20"/>
  </r>
  <r>
    <x v="437"/>
    <n v="1"/>
    <x v="4"/>
    <n v="19"/>
  </r>
  <r>
    <x v="438"/>
    <n v="1"/>
    <x v="4"/>
    <n v="17"/>
  </r>
  <r>
    <x v="439"/>
    <n v="1"/>
    <x v="4"/>
    <n v="18"/>
  </r>
  <r>
    <x v="440"/>
    <n v="1"/>
    <x v="4"/>
    <n v="19"/>
  </r>
  <r>
    <x v="441"/>
    <n v="1"/>
    <x v="4"/>
    <n v="14"/>
  </r>
  <r>
    <x v="442"/>
    <n v="1"/>
    <x v="4"/>
    <n v="19"/>
  </r>
  <r>
    <x v="443"/>
    <n v="1"/>
    <x v="4"/>
    <n v="13"/>
  </r>
  <r>
    <x v="444"/>
    <n v="1"/>
    <x v="4"/>
    <n v="12"/>
  </r>
  <r>
    <x v="445"/>
    <n v="1"/>
    <x v="4"/>
    <n v="16"/>
  </r>
  <r>
    <x v="446"/>
    <n v="1"/>
    <x v="4"/>
    <n v="15"/>
  </r>
  <r>
    <x v="447"/>
    <n v="1"/>
    <x v="4"/>
    <n v="14"/>
  </r>
  <r>
    <x v="448"/>
    <n v="1"/>
    <x v="4"/>
    <n v="12"/>
  </r>
  <r>
    <x v="449"/>
    <n v="1"/>
    <x v="4"/>
    <n v="15"/>
  </r>
  <r>
    <x v="450"/>
    <n v="1"/>
    <x v="4"/>
    <n v="23"/>
  </r>
  <r>
    <x v="451"/>
    <n v="1"/>
    <x v="4"/>
    <n v="13"/>
  </r>
  <r>
    <x v="452"/>
    <n v="1"/>
    <x v="4"/>
    <n v="20"/>
  </r>
  <r>
    <x v="453"/>
    <n v="1"/>
    <x v="4"/>
    <n v="20"/>
  </r>
  <r>
    <x v="454"/>
    <n v="1"/>
    <x v="4"/>
    <n v="11"/>
  </r>
  <r>
    <x v="455"/>
    <n v="1"/>
    <x v="4"/>
    <n v="18"/>
  </r>
  <r>
    <x v="456"/>
    <n v="1"/>
    <x v="4"/>
    <n v="19"/>
  </r>
  <r>
    <x v="457"/>
    <n v="1"/>
    <x v="4"/>
    <n v="19"/>
  </r>
  <r>
    <x v="458"/>
    <n v="1"/>
    <x v="4"/>
    <n v="18"/>
  </r>
  <r>
    <x v="459"/>
    <n v="1"/>
    <x v="4"/>
    <n v="13"/>
  </r>
  <r>
    <x v="460"/>
    <n v="1"/>
    <x v="4"/>
    <n v="23"/>
  </r>
  <r>
    <x v="461"/>
    <n v="1"/>
    <x v="4"/>
    <n v="9"/>
  </r>
  <r>
    <x v="462"/>
    <n v="1"/>
    <x v="4"/>
    <n v="22"/>
  </r>
  <r>
    <x v="463"/>
    <n v="1"/>
    <x v="4"/>
    <n v="20"/>
  </r>
  <r>
    <x v="464"/>
    <n v="1"/>
    <x v="4"/>
    <n v="15"/>
  </r>
  <r>
    <x v="465"/>
    <n v="1"/>
    <x v="4"/>
    <n v="25"/>
  </r>
  <r>
    <x v="466"/>
    <n v="1"/>
    <x v="4"/>
    <n v="20"/>
  </r>
  <r>
    <x v="467"/>
    <n v="1"/>
    <x v="4"/>
    <n v="19"/>
  </r>
  <r>
    <x v="468"/>
    <n v="1"/>
    <x v="4"/>
    <n v="12"/>
  </r>
  <r>
    <x v="469"/>
    <n v="1"/>
    <x v="4"/>
    <n v="17"/>
  </r>
  <r>
    <x v="470"/>
    <n v="1"/>
    <x v="4"/>
    <n v="15"/>
  </r>
  <r>
    <x v="471"/>
    <n v="1"/>
    <x v="4"/>
    <n v="18"/>
  </r>
  <r>
    <x v="472"/>
    <n v="1"/>
    <x v="4"/>
    <n v="21"/>
  </r>
  <r>
    <x v="473"/>
    <n v="1"/>
    <x v="4"/>
    <n v="19"/>
  </r>
  <r>
    <x v="474"/>
    <n v="1"/>
    <x v="4"/>
    <n v="14"/>
  </r>
  <r>
    <x v="475"/>
    <n v="1"/>
    <x v="4"/>
    <n v="13"/>
  </r>
  <r>
    <x v="476"/>
    <n v="1"/>
    <x v="4"/>
    <n v="15"/>
  </r>
  <r>
    <x v="477"/>
    <n v="1"/>
    <x v="4"/>
    <n v="12"/>
  </r>
  <r>
    <x v="478"/>
    <n v="1"/>
    <x v="4"/>
    <n v="19"/>
  </r>
  <r>
    <x v="479"/>
    <n v="1"/>
    <x v="4"/>
    <n v="17"/>
  </r>
  <r>
    <x v="480"/>
    <n v="1"/>
    <x v="4"/>
    <n v="24"/>
  </r>
  <r>
    <x v="481"/>
    <n v="1"/>
    <x v="4"/>
    <n v="22"/>
  </r>
  <r>
    <x v="482"/>
    <n v="1"/>
    <x v="4"/>
    <n v="12"/>
  </r>
  <r>
    <x v="483"/>
    <n v="1"/>
    <x v="4"/>
    <n v="15"/>
  </r>
  <r>
    <x v="484"/>
    <n v="1"/>
    <x v="4"/>
    <n v="11"/>
  </r>
  <r>
    <x v="485"/>
    <n v="1"/>
    <x v="4"/>
    <n v="10"/>
  </r>
  <r>
    <x v="486"/>
    <n v="1"/>
    <x v="4"/>
    <n v="20"/>
  </r>
  <r>
    <x v="487"/>
    <n v="1"/>
    <x v="4"/>
    <n v="17"/>
  </r>
  <r>
    <x v="488"/>
    <n v="1"/>
    <x v="4"/>
    <n v="23"/>
  </r>
  <r>
    <x v="489"/>
    <n v="1"/>
    <x v="4"/>
    <n v="10"/>
  </r>
  <r>
    <x v="490"/>
    <n v="1"/>
    <x v="4"/>
    <n v="16"/>
  </r>
  <r>
    <x v="491"/>
    <n v="1"/>
    <x v="4"/>
    <n v="19"/>
  </r>
  <r>
    <x v="492"/>
    <n v="1"/>
    <x v="4"/>
    <n v="22"/>
  </r>
  <r>
    <x v="493"/>
    <n v="1"/>
    <x v="4"/>
    <n v="22"/>
  </r>
  <r>
    <x v="494"/>
    <n v="1"/>
    <x v="4"/>
    <n v="25"/>
  </r>
  <r>
    <x v="495"/>
    <n v="1"/>
    <x v="4"/>
    <n v="26"/>
  </r>
  <r>
    <x v="496"/>
    <n v="1"/>
    <x v="4"/>
    <n v="13"/>
  </r>
  <r>
    <x v="497"/>
    <n v="1"/>
    <x v="4"/>
    <n v="11"/>
  </r>
  <r>
    <x v="498"/>
    <n v="1"/>
    <x v="4"/>
    <n v="23"/>
  </r>
  <r>
    <x v="499"/>
    <n v="1"/>
    <x v="4"/>
    <n v="22"/>
  </r>
  <r>
    <x v="500"/>
    <n v="1"/>
    <x v="4"/>
    <n v="22"/>
  </r>
  <r>
    <x v="501"/>
    <n v="1"/>
    <x v="4"/>
    <n v="24"/>
  </r>
  <r>
    <x v="502"/>
    <n v="1"/>
    <x v="4"/>
    <n v="21"/>
  </r>
  <r>
    <x v="503"/>
    <n v="1"/>
    <x v="4"/>
    <n v="13"/>
  </r>
  <r>
    <x v="504"/>
    <n v="1"/>
    <x v="4"/>
    <n v="16"/>
  </r>
  <r>
    <x v="505"/>
    <n v="1"/>
    <x v="4"/>
    <n v="18"/>
  </r>
  <r>
    <x v="506"/>
    <n v="1"/>
    <x v="4"/>
    <n v="25"/>
  </r>
  <r>
    <x v="507"/>
    <n v="1"/>
    <x v="4"/>
    <n v="26"/>
  </r>
  <r>
    <x v="508"/>
    <n v="1"/>
    <x v="4"/>
    <n v="22"/>
  </r>
  <r>
    <x v="509"/>
    <n v="1"/>
    <x v="4"/>
    <n v="24"/>
  </r>
  <r>
    <x v="510"/>
    <n v="1"/>
    <x v="4"/>
    <n v="13"/>
  </r>
  <r>
    <x v="511"/>
    <n v="1"/>
    <x v="4"/>
    <n v="9"/>
  </r>
  <r>
    <x v="512"/>
    <n v="1"/>
    <x v="4"/>
    <n v="20"/>
  </r>
  <r>
    <x v="513"/>
    <n v="1"/>
    <x v="4"/>
    <n v="23"/>
  </r>
  <r>
    <x v="514"/>
    <n v="1"/>
    <x v="4"/>
    <n v="25"/>
  </r>
  <r>
    <x v="515"/>
    <n v="1"/>
    <x v="4"/>
    <n v="18"/>
  </r>
  <r>
    <x v="516"/>
    <n v="1"/>
    <x v="4"/>
    <n v="22"/>
  </r>
  <r>
    <x v="517"/>
    <n v="1"/>
    <x v="4"/>
    <n v="16"/>
  </r>
  <r>
    <x v="518"/>
    <n v="1"/>
    <x v="4"/>
    <n v="16"/>
  </r>
  <r>
    <x v="519"/>
    <n v="1"/>
    <x v="4"/>
    <n v="14"/>
  </r>
  <r>
    <x v="520"/>
    <n v="1"/>
    <x v="4"/>
    <n v="21"/>
  </r>
  <r>
    <x v="521"/>
    <n v="1"/>
    <x v="4"/>
    <n v="23"/>
  </r>
  <r>
    <x v="522"/>
    <n v="1"/>
    <x v="4"/>
    <n v="15"/>
  </r>
  <r>
    <x v="523"/>
    <n v="1"/>
    <x v="4"/>
    <n v="20"/>
  </r>
  <r>
    <x v="524"/>
    <n v="1"/>
    <x v="4"/>
    <n v="15"/>
  </r>
  <r>
    <x v="525"/>
    <n v="1"/>
    <x v="4"/>
    <n v="21"/>
  </r>
  <r>
    <x v="526"/>
    <n v="1"/>
    <x v="4"/>
    <n v="17"/>
  </r>
  <r>
    <x v="527"/>
    <n v="1"/>
    <x v="4"/>
    <n v="24"/>
  </r>
  <r>
    <x v="528"/>
    <n v="1"/>
    <x v="4"/>
    <n v="21"/>
  </r>
  <r>
    <x v="529"/>
    <n v="1"/>
    <x v="4"/>
    <n v="18"/>
  </r>
  <r>
    <x v="530"/>
    <n v="1"/>
    <x v="4"/>
    <n v="20"/>
  </r>
  <r>
    <x v="531"/>
    <n v="1"/>
    <x v="4"/>
    <n v="12"/>
  </r>
  <r>
    <x v="532"/>
    <n v="1"/>
    <x v="4"/>
    <n v="16"/>
  </r>
  <r>
    <x v="533"/>
    <n v="1"/>
    <x v="4"/>
    <n v="19"/>
  </r>
  <r>
    <x v="534"/>
    <n v="1"/>
    <x v="4"/>
    <n v="25"/>
  </r>
  <r>
    <x v="535"/>
    <n v="1"/>
    <x v="4"/>
    <n v="17"/>
  </r>
  <r>
    <x v="536"/>
    <n v="1"/>
    <x v="4"/>
    <n v="21"/>
  </r>
  <r>
    <x v="537"/>
    <n v="1"/>
    <x v="4"/>
    <n v="23"/>
  </r>
  <r>
    <x v="538"/>
    <n v="1"/>
    <x v="4"/>
    <n v="15"/>
  </r>
  <r>
    <x v="539"/>
    <n v="1"/>
    <x v="4"/>
    <n v="17"/>
  </r>
  <r>
    <x v="540"/>
    <n v="1"/>
    <x v="4"/>
    <n v="20"/>
  </r>
  <r>
    <x v="541"/>
    <n v="1"/>
    <x v="4"/>
    <n v="24"/>
  </r>
  <r>
    <x v="542"/>
    <n v="1"/>
    <x v="4"/>
    <n v="17"/>
  </r>
  <r>
    <x v="543"/>
    <n v="1"/>
    <x v="4"/>
    <n v="24"/>
  </r>
  <r>
    <x v="544"/>
    <n v="1"/>
    <x v="4"/>
    <n v="23"/>
  </r>
  <r>
    <x v="545"/>
    <n v="1"/>
    <x v="4"/>
    <n v="9"/>
  </r>
  <r>
    <x v="546"/>
    <n v="1"/>
    <x v="4"/>
    <n v="15"/>
  </r>
  <r>
    <x v="547"/>
    <n v="1"/>
    <x v="4"/>
    <n v="20"/>
  </r>
  <r>
    <x v="548"/>
    <n v="1"/>
    <x v="4"/>
    <n v="20"/>
  </r>
  <r>
    <x v="549"/>
    <n v="1"/>
    <x v="4"/>
    <n v="28"/>
  </r>
  <r>
    <x v="550"/>
    <n v="1"/>
    <x v="4"/>
    <n v="21"/>
  </r>
  <r>
    <x v="551"/>
    <n v="1"/>
    <x v="4"/>
    <n v="24"/>
  </r>
  <r>
    <x v="552"/>
    <n v="1"/>
    <x v="4"/>
    <n v="16"/>
  </r>
  <r>
    <x v="553"/>
    <n v="1"/>
    <x v="4"/>
    <n v="24"/>
  </r>
  <r>
    <x v="554"/>
    <n v="1"/>
    <x v="4"/>
    <n v="26"/>
  </r>
  <r>
    <x v="555"/>
    <n v="1"/>
    <x v="4"/>
    <n v="23"/>
  </r>
  <r>
    <x v="556"/>
    <n v="1"/>
    <x v="4"/>
    <n v="17"/>
  </r>
  <r>
    <x v="557"/>
    <n v="1"/>
    <x v="4"/>
    <n v="28"/>
  </r>
  <r>
    <x v="558"/>
    <n v="1"/>
    <x v="4"/>
    <n v="18"/>
  </r>
  <r>
    <x v="559"/>
    <n v="1"/>
    <x v="4"/>
    <n v="9"/>
  </r>
  <r>
    <x v="560"/>
    <n v="1"/>
    <x v="4"/>
    <n v="17"/>
  </r>
  <r>
    <x v="561"/>
    <n v="1"/>
    <x v="4"/>
    <n v="27"/>
  </r>
  <r>
    <x v="562"/>
    <n v="1"/>
    <x v="4"/>
    <n v="20"/>
  </r>
  <r>
    <x v="563"/>
    <n v="1"/>
    <x v="4"/>
    <n v="24"/>
  </r>
  <r>
    <x v="564"/>
    <n v="1"/>
    <x v="4"/>
    <n v="18"/>
  </r>
  <r>
    <x v="565"/>
    <n v="1"/>
    <x v="4"/>
    <n v="28"/>
  </r>
  <r>
    <x v="566"/>
    <n v="1"/>
    <x v="4"/>
    <n v="15"/>
  </r>
  <r>
    <x v="567"/>
    <n v="1"/>
    <x v="4"/>
    <n v="17"/>
  </r>
  <r>
    <x v="568"/>
    <n v="1"/>
    <x v="4"/>
    <n v="20"/>
  </r>
  <r>
    <x v="569"/>
    <n v="1"/>
    <x v="4"/>
    <n v="21"/>
  </r>
  <r>
    <x v="570"/>
    <n v="1"/>
    <x v="4"/>
    <n v="22"/>
  </r>
  <r>
    <x v="571"/>
    <n v="1"/>
    <x v="4"/>
    <n v="18"/>
  </r>
  <r>
    <x v="572"/>
    <n v="1"/>
    <x v="4"/>
    <n v="26"/>
  </r>
  <r>
    <x v="573"/>
    <n v="1"/>
    <x v="4"/>
    <n v="6"/>
  </r>
  <r>
    <x v="574"/>
    <n v="1"/>
    <x v="4"/>
    <n v="27"/>
  </r>
  <r>
    <x v="575"/>
    <n v="1"/>
    <x v="4"/>
    <n v="13"/>
  </r>
  <r>
    <x v="576"/>
    <n v="1"/>
    <x v="4"/>
    <n v="26"/>
  </r>
  <r>
    <x v="577"/>
    <n v="1"/>
    <x v="4"/>
    <n v="24"/>
  </r>
  <r>
    <x v="578"/>
    <n v="1"/>
    <x v="4"/>
    <n v="15"/>
  </r>
  <r>
    <x v="579"/>
    <n v="1"/>
    <x v="4"/>
    <n v="19"/>
  </r>
  <r>
    <x v="580"/>
    <n v="1"/>
    <x v="4"/>
    <n v="13"/>
  </r>
  <r>
    <x v="581"/>
    <n v="1"/>
    <x v="4"/>
    <n v="17"/>
  </r>
  <r>
    <x v="582"/>
    <n v="1"/>
    <x v="4"/>
    <n v="17"/>
  </r>
  <r>
    <x v="583"/>
    <n v="1"/>
    <x v="4"/>
    <n v="21"/>
  </r>
  <r>
    <x v="584"/>
    <n v="1"/>
    <x v="4"/>
    <n v="22"/>
  </r>
  <r>
    <x v="585"/>
    <n v="1"/>
    <x v="4"/>
    <n v="17"/>
  </r>
  <r>
    <x v="586"/>
    <n v="1"/>
    <x v="4"/>
    <n v="19"/>
  </r>
  <r>
    <x v="587"/>
    <n v="1"/>
    <x v="4"/>
    <n v="16"/>
  </r>
  <r>
    <x v="588"/>
    <n v="1"/>
    <x v="4"/>
    <n v="19"/>
  </r>
  <r>
    <x v="589"/>
    <n v="1"/>
    <x v="4"/>
    <n v="17"/>
  </r>
  <r>
    <x v="590"/>
    <n v="1"/>
    <x v="4"/>
    <n v="17"/>
  </r>
  <r>
    <x v="591"/>
    <n v="1"/>
    <x v="4"/>
    <n v="32"/>
  </r>
  <r>
    <x v="592"/>
    <n v="1"/>
    <x v="4"/>
    <n v="23"/>
  </r>
  <r>
    <x v="593"/>
    <n v="1"/>
    <x v="4"/>
    <n v="17"/>
  </r>
  <r>
    <x v="594"/>
    <n v="1"/>
    <x v="4"/>
    <n v="12"/>
  </r>
  <r>
    <x v="595"/>
    <n v="1"/>
    <x v="4"/>
    <n v="24"/>
  </r>
  <r>
    <x v="596"/>
    <n v="1"/>
    <x v="4"/>
    <n v="13"/>
  </r>
  <r>
    <x v="597"/>
    <n v="1"/>
    <x v="4"/>
    <n v="12"/>
  </r>
  <r>
    <x v="598"/>
    <n v="1"/>
    <x v="4"/>
    <n v="19"/>
  </r>
  <r>
    <x v="599"/>
    <n v="1"/>
    <x v="4"/>
    <n v="13"/>
  </r>
  <r>
    <x v="600"/>
    <n v="1"/>
    <x v="4"/>
    <n v="17"/>
  </r>
  <r>
    <x v="601"/>
    <n v="1"/>
    <x v="4"/>
    <n v="22"/>
  </r>
  <r>
    <x v="602"/>
    <n v="1"/>
    <x v="4"/>
    <n v="17"/>
  </r>
  <r>
    <x v="603"/>
    <n v="1"/>
    <x v="4"/>
    <n v="5"/>
  </r>
  <r>
    <x v="604"/>
    <n v="1"/>
    <x v="4"/>
    <n v="24"/>
  </r>
  <r>
    <x v="605"/>
    <n v="1"/>
    <x v="4"/>
    <n v="29"/>
  </r>
  <r>
    <x v="606"/>
    <n v="1"/>
    <x v="4"/>
    <n v="27"/>
  </r>
  <r>
    <x v="607"/>
    <n v="1"/>
    <x v="4"/>
    <n v="30"/>
  </r>
  <r>
    <x v="608"/>
    <n v="1"/>
    <x v="4"/>
    <n v="8"/>
  </r>
  <r>
    <x v="609"/>
    <n v="1"/>
    <x v="4"/>
    <n v="12"/>
  </r>
  <r>
    <x v="610"/>
    <n v="1"/>
    <x v="4"/>
    <n v="22"/>
  </r>
  <r>
    <x v="611"/>
    <n v="1"/>
    <x v="4"/>
    <n v="18"/>
  </r>
  <r>
    <x v="612"/>
    <n v="1"/>
    <x v="4"/>
    <n v="21"/>
  </r>
  <r>
    <x v="613"/>
    <n v="1"/>
    <x v="4"/>
    <n v="18"/>
  </r>
  <r>
    <x v="614"/>
    <n v="1"/>
    <x v="4"/>
    <n v="14"/>
  </r>
  <r>
    <x v="615"/>
    <n v="1"/>
    <x v="4"/>
    <n v="14"/>
  </r>
  <r>
    <x v="616"/>
    <n v="1"/>
    <x v="4"/>
    <n v="13"/>
  </r>
  <r>
    <x v="617"/>
    <n v="1"/>
    <x v="4"/>
    <n v="9"/>
  </r>
  <r>
    <x v="618"/>
    <n v="1"/>
    <x v="4"/>
    <n v="16"/>
  </r>
  <r>
    <x v="619"/>
    <n v="1"/>
    <x v="4"/>
    <n v="24"/>
  </r>
  <r>
    <x v="620"/>
    <n v="1"/>
    <x v="4"/>
    <n v="19"/>
  </r>
  <r>
    <x v="621"/>
    <n v="1"/>
    <x v="4"/>
    <n v="10"/>
  </r>
  <r>
    <x v="622"/>
    <n v="1"/>
    <x v="4"/>
    <n v="14"/>
  </r>
  <r>
    <x v="623"/>
    <n v="1"/>
    <x v="4"/>
    <n v="12"/>
  </r>
  <r>
    <x v="624"/>
    <n v="1"/>
    <x v="4"/>
    <n v="19"/>
  </r>
  <r>
    <x v="625"/>
    <n v="1"/>
    <x v="4"/>
    <n v="13"/>
  </r>
  <r>
    <x v="626"/>
    <n v="1"/>
    <x v="4"/>
    <n v="17"/>
  </r>
  <r>
    <x v="627"/>
    <n v="1"/>
    <x v="4"/>
    <n v="18"/>
  </r>
  <r>
    <x v="628"/>
    <n v="1"/>
    <x v="4"/>
    <n v="21"/>
  </r>
  <r>
    <x v="629"/>
    <n v="1"/>
    <x v="4"/>
    <n v="15"/>
  </r>
  <r>
    <x v="630"/>
    <n v="1"/>
    <x v="4"/>
    <n v="11"/>
  </r>
  <r>
    <x v="631"/>
    <n v="1"/>
    <x v="4"/>
    <n v="13"/>
  </r>
  <r>
    <x v="632"/>
    <n v="1"/>
    <x v="4"/>
    <n v="23"/>
  </r>
  <r>
    <x v="633"/>
    <n v="1"/>
    <x v="4"/>
    <n v="12"/>
  </r>
  <r>
    <x v="634"/>
    <n v="1"/>
    <x v="4"/>
    <n v="12"/>
  </r>
  <r>
    <x v="635"/>
    <n v="1"/>
    <x v="4"/>
    <n v="24"/>
  </r>
  <r>
    <x v="636"/>
    <n v="1"/>
    <x v="4"/>
    <n v="16"/>
  </r>
  <r>
    <x v="637"/>
    <n v="1"/>
    <x v="4"/>
    <n v="15"/>
  </r>
  <r>
    <x v="638"/>
    <n v="1"/>
    <x v="4"/>
    <n v="14"/>
  </r>
  <r>
    <x v="639"/>
    <n v="1"/>
    <x v="4"/>
    <n v="14"/>
  </r>
  <r>
    <x v="640"/>
    <n v="1"/>
    <x v="4"/>
    <n v="18"/>
  </r>
  <r>
    <x v="641"/>
    <n v="1"/>
    <x v="4"/>
    <n v="16"/>
  </r>
  <r>
    <x v="642"/>
    <n v="1"/>
    <x v="4"/>
    <n v="22"/>
  </r>
  <r>
    <x v="643"/>
    <n v="1"/>
    <x v="4"/>
    <n v="15"/>
  </r>
  <r>
    <x v="644"/>
    <n v="1"/>
    <x v="4"/>
    <n v="16"/>
  </r>
  <r>
    <x v="645"/>
    <n v="1"/>
    <x v="4"/>
    <n v="11"/>
  </r>
  <r>
    <x v="646"/>
    <n v="1"/>
    <x v="4"/>
    <n v="19"/>
  </r>
  <r>
    <x v="647"/>
    <n v="1"/>
    <x v="4"/>
    <n v="11"/>
  </r>
  <r>
    <x v="648"/>
    <n v="1"/>
    <x v="4"/>
    <n v="17"/>
  </r>
  <r>
    <x v="649"/>
    <n v="1"/>
    <x v="4"/>
    <n v="18"/>
  </r>
  <r>
    <x v="650"/>
    <n v="1"/>
    <x v="4"/>
    <n v="12"/>
  </r>
  <r>
    <x v="651"/>
    <n v="1"/>
    <x v="4"/>
    <n v="14"/>
  </r>
  <r>
    <x v="652"/>
    <n v="1"/>
    <x v="4"/>
    <n v="14"/>
  </r>
  <r>
    <x v="653"/>
    <n v="1"/>
    <x v="4"/>
    <n v="19"/>
  </r>
  <r>
    <x v="654"/>
    <n v="1"/>
    <x v="4"/>
    <n v="10"/>
  </r>
  <r>
    <x v="655"/>
    <n v="1"/>
    <x v="4"/>
    <n v="14"/>
  </r>
  <r>
    <x v="656"/>
    <n v="1"/>
    <x v="4"/>
    <n v="20"/>
  </r>
  <r>
    <x v="657"/>
    <n v="1"/>
    <x v="4"/>
    <n v="18"/>
  </r>
  <r>
    <x v="658"/>
    <n v="1"/>
    <x v="4"/>
    <n v="18"/>
  </r>
  <r>
    <x v="659"/>
    <n v="1"/>
    <x v="4"/>
    <n v="11"/>
  </r>
  <r>
    <x v="660"/>
    <n v="1"/>
    <x v="4"/>
    <n v="8"/>
  </r>
  <r>
    <x v="661"/>
    <n v="1"/>
    <x v="4"/>
    <n v="17"/>
  </r>
  <r>
    <x v="662"/>
    <n v="1"/>
    <x v="4"/>
    <n v="20"/>
  </r>
  <r>
    <x v="663"/>
    <n v="1"/>
    <x v="4"/>
    <n v="13"/>
  </r>
  <r>
    <x v="664"/>
    <n v="1"/>
    <x v="4"/>
    <n v="7"/>
  </r>
  <r>
    <x v="665"/>
    <n v="1"/>
    <x v="4"/>
    <n v="14"/>
  </r>
  <r>
    <x v="666"/>
    <n v="1"/>
    <x v="4"/>
    <n v="23"/>
  </r>
  <r>
    <x v="667"/>
    <n v="1"/>
    <x v="4"/>
    <n v="13"/>
  </r>
  <r>
    <x v="668"/>
    <n v="1"/>
    <x v="4"/>
    <n v="9"/>
  </r>
  <r>
    <x v="669"/>
    <n v="1"/>
    <x v="4"/>
    <n v="14"/>
  </r>
  <r>
    <x v="670"/>
    <n v="1"/>
    <x v="4"/>
    <n v="21"/>
  </r>
  <r>
    <x v="671"/>
    <n v="1"/>
    <x v="4"/>
    <n v="18"/>
  </r>
  <r>
    <x v="672"/>
    <n v="1"/>
    <x v="4"/>
    <n v="11"/>
  </r>
  <r>
    <x v="673"/>
    <n v="1"/>
    <x v="4"/>
    <n v="14"/>
  </r>
  <r>
    <x v="674"/>
    <n v="1"/>
    <x v="4"/>
    <n v="17"/>
  </r>
  <r>
    <x v="675"/>
    <n v="1"/>
    <x v="4"/>
    <n v="17"/>
  </r>
  <r>
    <x v="676"/>
    <n v="1"/>
    <x v="4"/>
    <n v="16"/>
  </r>
  <r>
    <x v="677"/>
    <n v="1"/>
    <x v="4"/>
    <n v="25"/>
  </r>
  <r>
    <x v="678"/>
    <n v="1"/>
    <x v="4"/>
    <n v="9"/>
  </r>
  <r>
    <x v="679"/>
    <n v="1"/>
    <x v="4"/>
    <n v="7"/>
  </r>
  <r>
    <x v="680"/>
    <n v="1"/>
    <x v="4"/>
    <n v="24"/>
  </r>
  <r>
    <x v="681"/>
    <n v="1"/>
    <x v="4"/>
    <n v="20"/>
  </r>
  <r>
    <x v="682"/>
    <n v="1"/>
    <x v="4"/>
    <n v="24"/>
  </r>
  <r>
    <x v="683"/>
    <n v="1"/>
    <x v="4"/>
    <n v="17"/>
  </r>
  <r>
    <x v="684"/>
    <n v="1"/>
    <x v="4"/>
    <n v="25"/>
  </r>
  <r>
    <x v="685"/>
    <n v="1"/>
    <x v="4"/>
    <n v="11"/>
  </r>
  <r>
    <x v="686"/>
    <n v="1"/>
    <x v="4"/>
    <n v="16"/>
  </r>
  <r>
    <x v="687"/>
    <n v="1"/>
    <x v="4"/>
    <n v="16"/>
  </r>
  <r>
    <x v="688"/>
    <n v="1"/>
    <x v="4"/>
    <n v="13"/>
  </r>
  <r>
    <x v="689"/>
    <n v="1"/>
    <x v="4"/>
    <n v="17"/>
  </r>
  <r>
    <x v="690"/>
    <n v="1"/>
    <x v="4"/>
    <n v="14"/>
  </r>
  <r>
    <x v="691"/>
    <n v="1"/>
    <x v="4"/>
    <n v="14"/>
  </r>
  <r>
    <x v="692"/>
    <n v="1"/>
    <x v="4"/>
    <n v="15"/>
  </r>
  <r>
    <x v="693"/>
    <n v="1"/>
    <x v="4"/>
    <n v="14"/>
  </r>
  <r>
    <x v="694"/>
    <n v="1"/>
    <x v="4"/>
    <n v="15"/>
  </r>
  <r>
    <x v="695"/>
    <n v="1"/>
    <x v="4"/>
    <n v="21"/>
  </r>
  <r>
    <x v="696"/>
    <n v="1"/>
    <x v="4"/>
    <n v="18"/>
  </r>
  <r>
    <x v="697"/>
    <n v="1"/>
    <x v="4"/>
    <n v="21"/>
  </r>
  <r>
    <x v="698"/>
    <n v="1"/>
    <x v="4"/>
    <n v="17"/>
  </r>
  <r>
    <x v="699"/>
    <n v="1"/>
    <x v="4"/>
    <n v="9"/>
  </r>
  <r>
    <x v="700"/>
    <n v="1"/>
    <x v="4"/>
    <n v="18"/>
  </r>
  <r>
    <x v="701"/>
    <n v="1"/>
    <x v="4"/>
    <n v="7"/>
  </r>
  <r>
    <x v="702"/>
    <n v="1"/>
    <x v="4"/>
    <n v="20"/>
  </r>
  <r>
    <x v="703"/>
    <n v="1"/>
    <x v="4"/>
    <n v="10"/>
  </r>
  <r>
    <x v="704"/>
    <n v="1"/>
    <x v="4"/>
    <n v="9"/>
  </r>
  <r>
    <x v="705"/>
    <n v="1"/>
    <x v="4"/>
    <n v="22"/>
  </r>
  <r>
    <x v="706"/>
    <n v="1"/>
    <x v="4"/>
    <n v="6"/>
  </r>
  <r>
    <x v="707"/>
    <n v="1"/>
    <x v="4"/>
    <n v="12"/>
  </r>
  <r>
    <x v="708"/>
    <n v="1"/>
    <x v="4"/>
    <n v="9"/>
  </r>
  <r>
    <x v="709"/>
    <n v="1"/>
    <x v="4"/>
    <n v="11"/>
  </r>
  <r>
    <x v="710"/>
    <n v="1"/>
    <x v="4"/>
    <n v="7"/>
  </r>
  <r>
    <x v="711"/>
    <n v="1"/>
    <x v="4"/>
    <n v="14"/>
  </r>
  <r>
    <x v="712"/>
    <n v="1"/>
    <x v="4"/>
    <n v="10"/>
  </r>
  <r>
    <x v="713"/>
    <n v="1"/>
    <x v="4"/>
    <n v="4"/>
  </r>
  <r>
    <x v="714"/>
    <n v="1"/>
    <x v="4"/>
    <n v="8"/>
  </r>
  <r>
    <x v="715"/>
    <n v="1"/>
    <x v="4"/>
    <n v="14"/>
  </r>
  <r>
    <x v="716"/>
    <n v="1"/>
    <x v="4"/>
    <n v="7"/>
  </r>
  <r>
    <x v="717"/>
    <n v="1"/>
    <x v="4"/>
    <n v="11"/>
  </r>
  <r>
    <x v="718"/>
    <n v="1"/>
    <x v="4"/>
    <n v="14"/>
  </r>
  <r>
    <x v="719"/>
    <n v="1"/>
    <x v="4"/>
    <n v="12"/>
  </r>
  <r>
    <x v="720"/>
    <n v="1"/>
    <x v="4"/>
    <n v="9"/>
  </r>
  <r>
    <x v="721"/>
    <n v="1"/>
    <x v="4"/>
    <n v="12"/>
  </r>
  <r>
    <x v="722"/>
    <n v="1"/>
    <x v="4"/>
    <n v="13"/>
  </r>
  <r>
    <x v="723"/>
    <n v="1"/>
    <x v="4"/>
    <n v="13"/>
  </r>
  <r>
    <x v="724"/>
    <n v="1"/>
    <x v="4"/>
    <n v="9"/>
  </r>
  <r>
    <x v="725"/>
    <n v="1"/>
    <x v="4"/>
    <n v="16"/>
  </r>
  <r>
    <x v="726"/>
    <n v="1"/>
    <x v="4"/>
    <n v="15"/>
  </r>
  <r>
    <x v="727"/>
    <n v="1"/>
    <x v="4"/>
    <n v="6"/>
  </r>
  <r>
    <x v="728"/>
    <n v="1"/>
    <x v="4"/>
    <n v="6"/>
  </r>
  <r>
    <x v="729"/>
    <n v="1"/>
    <x v="4"/>
    <n v="10"/>
  </r>
  <r>
    <x v="730"/>
    <n v="1"/>
    <x v="4"/>
    <n v="14"/>
  </r>
  <r>
    <x v="731"/>
    <n v="1"/>
    <x v="4"/>
    <n v="10"/>
  </r>
  <r>
    <x v="732"/>
    <n v="1"/>
    <x v="4"/>
    <n v="9"/>
  </r>
  <r>
    <x v="733"/>
    <n v="1"/>
    <x v="4"/>
    <n v="15"/>
  </r>
  <r>
    <x v="734"/>
    <n v="1"/>
    <x v="4"/>
    <n v="12"/>
  </r>
  <r>
    <x v="735"/>
    <n v="1"/>
    <x v="4"/>
    <n v="14"/>
  </r>
  <r>
    <x v="736"/>
    <n v="1"/>
    <x v="4"/>
    <n v="10"/>
  </r>
  <r>
    <x v="737"/>
    <n v="1"/>
    <x v="4"/>
    <n v="17"/>
  </r>
  <r>
    <x v="738"/>
    <n v="1"/>
    <x v="4"/>
    <n v="9"/>
  </r>
  <r>
    <x v="739"/>
    <n v="1"/>
    <x v="4"/>
    <n v="6"/>
  </r>
  <r>
    <x v="740"/>
    <n v="1"/>
    <x v="4"/>
    <n v="19"/>
  </r>
  <r>
    <x v="741"/>
    <n v="1"/>
    <x v="4"/>
    <n v="7"/>
  </r>
  <r>
    <x v="742"/>
    <n v="1"/>
    <x v="4"/>
    <n v="10"/>
  </r>
  <r>
    <x v="743"/>
    <n v="1"/>
    <x v="4"/>
    <n v="12"/>
  </r>
  <r>
    <x v="744"/>
    <n v="1"/>
    <x v="4"/>
    <n v="8"/>
  </r>
  <r>
    <x v="745"/>
    <n v="1"/>
    <x v="4"/>
    <n v="10"/>
  </r>
  <r>
    <x v="746"/>
    <n v="1"/>
    <x v="4"/>
    <n v="12"/>
  </r>
  <r>
    <x v="747"/>
    <n v="1"/>
    <x v="4"/>
    <n v="12"/>
  </r>
  <r>
    <x v="748"/>
    <n v="1"/>
    <x v="4"/>
    <n v="9"/>
  </r>
  <r>
    <x v="749"/>
    <n v="1"/>
    <x v="4"/>
    <n v="10"/>
  </r>
  <r>
    <x v="750"/>
    <n v="1"/>
    <x v="4"/>
    <n v="9"/>
  </r>
  <r>
    <x v="751"/>
    <n v="1"/>
    <x v="4"/>
    <n v="16"/>
  </r>
  <r>
    <x v="752"/>
    <n v="1"/>
    <x v="4"/>
    <n v="13"/>
  </r>
  <r>
    <x v="753"/>
    <n v="1"/>
    <x v="4"/>
    <n v="13"/>
  </r>
  <r>
    <x v="754"/>
    <n v="1"/>
    <x v="4"/>
    <n v="9"/>
  </r>
  <r>
    <x v="755"/>
    <n v="1"/>
    <x v="4"/>
    <n v="7"/>
  </r>
  <r>
    <x v="756"/>
    <n v="1"/>
    <x v="4"/>
    <n v="16"/>
  </r>
  <r>
    <x v="757"/>
    <n v="1"/>
    <x v="4"/>
    <n v="15"/>
  </r>
  <r>
    <x v="758"/>
    <n v="1"/>
    <x v="4"/>
    <n v="13"/>
  </r>
  <r>
    <x v="759"/>
    <n v="1"/>
    <x v="4"/>
    <n v="12"/>
  </r>
  <r>
    <x v="760"/>
    <n v="1"/>
    <x v="4"/>
    <n v="19"/>
  </r>
  <r>
    <x v="761"/>
    <n v="1"/>
    <x v="4"/>
    <n v="13"/>
  </r>
  <r>
    <x v="762"/>
    <n v="1"/>
    <x v="4"/>
    <n v="13"/>
  </r>
  <r>
    <x v="763"/>
    <n v="1"/>
    <x v="4"/>
    <n v="9"/>
  </r>
  <r>
    <x v="764"/>
    <n v="1"/>
    <x v="4"/>
    <n v="8"/>
  </r>
  <r>
    <x v="765"/>
    <n v="1"/>
    <x v="4"/>
    <n v="7"/>
  </r>
  <r>
    <x v="766"/>
    <n v="1"/>
    <x v="4"/>
    <n v="16"/>
  </r>
  <r>
    <x v="767"/>
    <n v="1"/>
    <x v="4"/>
    <n v="17"/>
  </r>
  <r>
    <x v="768"/>
    <n v="1"/>
    <x v="4"/>
    <n v="8"/>
  </r>
  <r>
    <x v="769"/>
    <n v="1"/>
    <x v="4"/>
    <n v="7"/>
  </r>
  <r>
    <x v="770"/>
    <n v="1"/>
    <x v="4"/>
    <n v="17"/>
  </r>
  <r>
    <x v="771"/>
    <n v="1"/>
    <x v="4"/>
    <n v="10"/>
  </r>
  <r>
    <x v="772"/>
    <n v="1"/>
    <x v="4"/>
    <n v="10"/>
  </r>
  <r>
    <x v="773"/>
    <n v="1"/>
    <x v="4"/>
    <n v="17"/>
  </r>
  <r>
    <x v="774"/>
    <n v="1"/>
    <x v="4"/>
    <n v="9"/>
  </r>
  <r>
    <x v="775"/>
    <n v="1"/>
    <x v="4"/>
    <n v="13"/>
  </r>
  <r>
    <x v="776"/>
    <n v="1"/>
    <x v="4"/>
    <n v="13"/>
  </r>
  <r>
    <x v="777"/>
    <n v="1"/>
    <x v="4"/>
    <n v="12"/>
  </r>
  <r>
    <x v="778"/>
    <n v="1"/>
    <x v="4"/>
    <n v="12"/>
  </r>
  <r>
    <x v="779"/>
    <n v="1"/>
    <x v="4"/>
    <n v="19"/>
  </r>
  <r>
    <x v="780"/>
    <n v="1"/>
    <x v="4"/>
    <n v="12"/>
  </r>
  <r>
    <x v="781"/>
    <n v="1"/>
    <x v="4"/>
    <n v="4"/>
  </r>
  <r>
    <x v="782"/>
    <n v="1"/>
    <x v="4"/>
    <n v="19"/>
  </r>
  <r>
    <x v="783"/>
    <n v="1"/>
    <x v="4"/>
    <n v="9"/>
  </r>
  <r>
    <x v="784"/>
    <n v="1"/>
    <x v="4"/>
    <n v="13"/>
  </r>
  <r>
    <x v="785"/>
    <n v="1"/>
    <x v="4"/>
    <n v="4"/>
  </r>
  <r>
    <x v="786"/>
    <n v="1"/>
    <x v="4"/>
    <n v="14"/>
  </r>
  <r>
    <x v="787"/>
    <n v="1"/>
    <x v="4"/>
    <n v="11"/>
  </r>
  <r>
    <x v="788"/>
    <n v="1"/>
    <x v="4"/>
    <n v="19"/>
  </r>
  <r>
    <x v="789"/>
    <n v="1"/>
    <x v="4"/>
    <n v="21"/>
  </r>
  <r>
    <x v="790"/>
    <n v="1"/>
    <x v="4"/>
    <n v="17"/>
  </r>
  <r>
    <x v="791"/>
    <n v="1"/>
    <x v="4"/>
    <n v="21"/>
  </r>
  <r>
    <x v="792"/>
    <n v="1"/>
    <x v="4"/>
    <n v="11"/>
  </r>
  <r>
    <x v="793"/>
    <n v="1"/>
    <x v="4"/>
    <n v="11"/>
  </r>
  <r>
    <x v="794"/>
    <n v="1"/>
    <x v="4"/>
    <n v="10"/>
  </r>
  <r>
    <x v="795"/>
    <n v="1"/>
    <x v="4"/>
    <n v="21"/>
  </r>
  <r>
    <x v="796"/>
    <n v="1"/>
    <x v="4"/>
    <n v="13"/>
  </r>
  <r>
    <x v="797"/>
    <n v="1"/>
    <x v="4"/>
    <n v="10"/>
  </r>
  <r>
    <x v="798"/>
    <n v="1"/>
    <x v="4"/>
    <n v="17"/>
  </r>
  <r>
    <x v="799"/>
    <n v="1"/>
    <x v="4"/>
    <n v="10"/>
  </r>
  <r>
    <x v="800"/>
    <n v="1"/>
    <x v="4"/>
    <n v="17"/>
  </r>
  <r>
    <x v="801"/>
    <n v="1"/>
    <x v="4"/>
    <n v="16"/>
  </r>
  <r>
    <x v="802"/>
    <n v="1"/>
    <x v="4"/>
    <n v="16"/>
  </r>
  <r>
    <x v="803"/>
    <n v="1"/>
    <x v="4"/>
    <n v="12"/>
  </r>
  <r>
    <x v="804"/>
    <n v="1"/>
    <x v="4"/>
    <n v="19"/>
  </r>
  <r>
    <x v="805"/>
    <n v="1"/>
    <x v="4"/>
    <n v="17"/>
  </r>
  <r>
    <x v="806"/>
    <n v="1"/>
    <x v="4"/>
    <n v="16"/>
  </r>
  <r>
    <x v="807"/>
    <n v="1"/>
    <x v="4"/>
    <n v="13"/>
  </r>
  <r>
    <x v="808"/>
    <n v="1"/>
    <x v="4"/>
    <n v="14"/>
  </r>
  <r>
    <x v="809"/>
    <n v="1"/>
    <x v="4"/>
    <n v="20"/>
  </r>
  <r>
    <x v="810"/>
    <n v="1"/>
    <x v="4"/>
    <n v="20"/>
  </r>
  <r>
    <x v="811"/>
    <n v="1"/>
    <x v="4"/>
    <n v="14"/>
  </r>
  <r>
    <x v="812"/>
    <n v="1"/>
    <x v="4"/>
    <n v="13"/>
  </r>
  <r>
    <x v="813"/>
    <n v="1"/>
    <x v="4"/>
    <n v="19"/>
  </r>
  <r>
    <x v="814"/>
    <n v="1"/>
    <x v="4"/>
    <n v="14"/>
  </r>
  <r>
    <x v="815"/>
    <n v="1"/>
    <x v="4"/>
    <n v="15"/>
  </r>
  <r>
    <x v="816"/>
    <n v="1"/>
    <x v="4"/>
    <n v="11"/>
  </r>
  <r>
    <x v="817"/>
    <n v="1"/>
    <x v="4"/>
    <n v="20"/>
  </r>
  <r>
    <x v="818"/>
    <n v="1"/>
    <x v="4"/>
    <n v="10"/>
  </r>
  <r>
    <x v="819"/>
    <n v="1"/>
    <x v="4"/>
    <n v="12"/>
  </r>
  <r>
    <x v="820"/>
    <n v="1"/>
    <x v="4"/>
    <n v="20"/>
  </r>
  <r>
    <x v="821"/>
    <n v="1"/>
    <x v="4"/>
    <n v="9"/>
  </r>
  <r>
    <x v="822"/>
    <n v="1"/>
    <x v="4"/>
    <n v="29"/>
  </r>
  <r>
    <x v="823"/>
    <n v="1"/>
    <x v="4"/>
    <n v="13"/>
  </r>
  <r>
    <x v="824"/>
    <n v="1"/>
    <x v="4"/>
    <n v="25"/>
  </r>
  <r>
    <x v="825"/>
    <n v="1"/>
    <x v="4"/>
    <n v="24"/>
  </r>
  <r>
    <x v="826"/>
    <n v="1"/>
    <x v="4"/>
    <n v="11"/>
  </r>
  <r>
    <x v="827"/>
    <n v="1"/>
    <x v="4"/>
    <n v="15"/>
  </r>
  <r>
    <x v="828"/>
    <n v="1"/>
    <x v="4"/>
    <n v="20"/>
  </r>
  <r>
    <x v="829"/>
    <n v="1"/>
    <x v="4"/>
    <n v="18"/>
  </r>
  <r>
    <x v="830"/>
    <n v="1"/>
    <x v="4"/>
    <n v="22"/>
  </r>
  <r>
    <x v="831"/>
    <n v="1"/>
    <x v="4"/>
    <n v="19"/>
  </r>
  <r>
    <x v="832"/>
    <n v="1"/>
    <x v="4"/>
    <n v="9"/>
  </r>
  <r>
    <x v="833"/>
    <n v="1"/>
    <x v="4"/>
    <n v="22"/>
  </r>
  <r>
    <x v="834"/>
    <n v="1"/>
    <x v="4"/>
    <n v="12"/>
  </r>
  <r>
    <x v="835"/>
    <n v="1"/>
    <x v="4"/>
    <n v="8"/>
  </r>
  <r>
    <x v="836"/>
    <n v="1"/>
    <x v="4"/>
    <n v="13"/>
  </r>
  <r>
    <x v="837"/>
    <n v="1"/>
    <x v="4"/>
    <n v="18"/>
  </r>
  <r>
    <x v="838"/>
    <n v="1"/>
    <x v="4"/>
    <n v="22"/>
  </r>
  <r>
    <x v="839"/>
    <n v="1"/>
    <x v="4"/>
    <n v="12"/>
  </r>
  <r>
    <x v="840"/>
    <n v="1"/>
    <x v="4"/>
    <n v="17"/>
  </r>
  <r>
    <x v="841"/>
    <n v="1"/>
    <x v="4"/>
    <n v="13"/>
  </r>
  <r>
    <x v="842"/>
    <n v="1"/>
    <x v="4"/>
    <n v="18"/>
  </r>
  <r>
    <x v="843"/>
    <n v="1"/>
    <x v="4"/>
    <n v="17"/>
  </r>
  <r>
    <x v="844"/>
    <n v="1"/>
    <x v="4"/>
    <n v="24"/>
  </r>
  <r>
    <x v="845"/>
    <n v="1"/>
    <x v="4"/>
    <n v="18"/>
  </r>
  <r>
    <x v="846"/>
    <n v="1"/>
    <x v="4"/>
    <n v="8"/>
  </r>
  <r>
    <x v="847"/>
    <n v="1"/>
    <x v="4"/>
    <n v="14"/>
  </r>
  <r>
    <x v="848"/>
    <n v="1"/>
    <x v="4"/>
    <n v="10"/>
  </r>
  <r>
    <x v="849"/>
    <n v="1"/>
    <x v="4"/>
    <n v="15"/>
  </r>
  <r>
    <x v="850"/>
    <n v="1"/>
    <x v="4"/>
    <n v="17"/>
  </r>
  <r>
    <x v="851"/>
    <n v="1"/>
    <x v="4"/>
    <n v="23"/>
  </r>
  <r>
    <x v="852"/>
    <n v="1"/>
    <x v="4"/>
    <n v="26"/>
  </r>
  <r>
    <x v="853"/>
    <n v="1"/>
    <x v="4"/>
    <n v="16"/>
  </r>
  <r>
    <x v="854"/>
    <n v="1"/>
    <x v="4"/>
    <n v="19"/>
  </r>
  <r>
    <x v="855"/>
    <n v="1"/>
    <x v="4"/>
    <n v="16"/>
  </r>
  <r>
    <x v="856"/>
    <n v="1"/>
    <x v="4"/>
    <n v="26"/>
  </r>
  <r>
    <x v="857"/>
    <n v="1"/>
    <x v="4"/>
    <n v="18"/>
  </r>
  <r>
    <x v="858"/>
    <n v="1"/>
    <x v="4"/>
    <n v="22"/>
  </r>
  <r>
    <x v="859"/>
    <n v="1"/>
    <x v="4"/>
    <n v="12"/>
  </r>
  <r>
    <x v="860"/>
    <n v="1"/>
    <x v="4"/>
    <n v="16"/>
  </r>
  <r>
    <x v="861"/>
    <n v="1"/>
    <x v="4"/>
    <n v="26"/>
  </r>
  <r>
    <x v="862"/>
    <n v="1"/>
    <x v="4"/>
    <n v="7"/>
  </r>
  <r>
    <x v="863"/>
    <n v="1"/>
    <x v="4"/>
    <n v="16"/>
  </r>
  <r>
    <x v="864"/>
    <n v="1"/>
    <x v="4"/>
    <n v="18"/>
  </r>
  <r>
    <x v="865"/>
    <n v="1"/>
    <x v="4"/>
    <n v="26"/>
  </r>
  <r>
    <x v="866"/>
    <n v="1"/>
    <x v="4"/>
    <n v="22"/>
  </r>
  <r>
    <x v="867"/>
    <n v="1"/>
    <x v="4"/>
    <n v="10"/>
  </r>
  <r>
    <x v="868"/>
    <n v="1"/>
    <x v="4"/>
    <n v="18"/>
  </r>
  <r>
    <x v="869"/>
    <n v="1"/>
    <x v="4"/>
    <n v="13"/>
  </r>
  <r>
    <x v="870"/>
    <n v="1"/>
    <x v="4"/>
    <n v="22"/>
  </r>
  <r>
    <x v="871"/>
    <n v="1"/>
    <x v="4"/>
    <n v="14"/>
  </r>
  <r>
    <x v="872"/>
    <n v="1"/>
    <x v="4"/>
    <n v="22"/>
  </r>
  <r>
    <x v="873"/>
    <n v="1"/>
    <x v="4"/>
    <n v="21"/>
  </r>
  <r>
    <x v="874"/>
    <n v="1"/>
    <x v="4"/>
    <n v="16"/>
  </r>
  <r>
    <x v="875"/>
    <n v="1"/>
    <x v="4"/>
    <n v="20"/>
  </r>
  <r>
    <x v="876"/>
    <n v="1"/>
    <x v="4"/>
    <n v="14"/>
  </r>
  <r>
    <x v="877"/>
    <n v="1"/>
    <x v="4"/>
    <n v="12"/>
  </r>
  <r>
    <x v="878"/>
    <n v="1"/>
    <x v="4"/>
    <n v="19"/>
  </r>
  <r>
    <x v="879"/>
    <n v="1"/>
    <x v="4"/>
    <n v="15"/>
  </r>
  <r>
    <x v="880"/>
    <n v="1"/>
    <x v="4"/>
    <n v="17"/>
  </r>
  <r>
    <x v="881"/>
    <n v="1"/>
    <x v="4"/>
    <n v="16"/>
  </r>
  <r>
    <x v="882"/>
    <n v="1"/>
    <x v="4"/>
    <n v="21"/>
  </r>
  <r>
    <x v="883"/>
    <n v="1"/>
    <x v="4"/>
    <n v="20"/>
  </r>
  <r>
    <x v="884"/>
    <n v="1"/>
    <x v="4"/>
    <n v="20"/>
  </r>
  <r>
    <x v="885"/>
    <n v="1"/>
    <x v="4"/>
    <n v="20"/>
  </r>
  <r>
    <x v="886"/>
    <n v="1"/>
    <x v="4"/>
    <n v="26"/>
  </r>
  <r>
    <x v="887"/>
    <n v="1"/>
    <x v="4"/>
    <n v="28"/>
  </r>
  <r>
    <x v="888"/>
    <n v="1"/>
    <x v="4"/>
    <n v="23"/>
  </r>
  <r>
    <x v="889"/>
    <n v="1"/>
    <x v="4"/>
    <n v="18"/>
  </r>
  <r>
    <x v="890"/>
    <n v="1"/>
    <x v="4"/>
    <n v="26"/>
  </r>
  <r>
    <x v="891"/>
    <n v="1"/>
    <x v="4"/>
    <n v="17"/>
  </r>
  <r>
    <x v="892"/>
    <n v="1"/>
    <x v="4"/>
    <n v="24"/>
  </r>
  <r>
    <x v="893"/>
    <n v="1"/>
    <x v="4"/>
    <n v="29"/>
  </r>
  <r>
    <x v="894"/>
    <n v="1"/>
    <x v="4"/>
    <n v="17"/>
  </r>
  <r>
    <x v="895"/>
    <n v="1"/>
    <x v="4"/>
    <n v="17"/>
  </r>
  <r>
    <x v="896"/>
    <n v="1"/>
    <x v="4"/>
    <n v="17"/>
  </r>
  <r>
    <x v="897"/>
    <n v="1"/>
    <x v="4"/>
    <n v="14"/>
  </r>
  <r>
    <x v="898"/>
    <n v="1"/>
    <x v="4"/>
    <n v="23"/>
  </r>
  <r>
    <x v="899"/>
    <n v="1"/>
    <x v="4"/>
    <n v="21"/>
  </r>
  <r>
    <x v="900"/>
    <n v="1"/>
    <x v="4"/>
    <n v="17"/>
  </r>
  <r>
    <x v="901"/>
    <n v="1"/>
    <x v="4"/>
    <n v="18"/>
  </r>
  <r>
    <x v="902"/>
    <n v="1"/>
    <x v="4"/>
    <n v="19"/>
  </r>
  <r>
    <x v="903"/>
    <n v="1"/>
    <x v="4"/>
    <n v="14"/>
  </r>
  <r>
    <x v="904"/>
    <n v="1"/>
    <x v="4"/>
    <n v="31"/>
  </r>
  <r>
    <x v="905"/>
    <n v="1"/>
    <x v="4"/>
    <n v="17"/>
  </r>
  <r>
    <x v="906"/>
    <n v="1"/>
    <x v="4"/>
    <n v="18"/>
  </r>
  <r>
    <x v="907"/>
    <n v="1"/>
    <x v="4"/>
    <n v="30"/>
  </r>
  <r>
    <x v="908"/>
    <n v="1"/>
    <x v="4"/>
    <n v="27"/>
  </r>
  <r>
    <x v="909"/>
    <n v="1"/>
    <x v="4"/>
    <n v="12"/>
  </r>
  <r>
    <x v="910"/>
    <n v="1"/>
    <x v="4"/>
    <n v="14"/>
  </r>
  <r>
    <x v="911"/>
    <n v="1"/>
    <x v="4"/>
    <n v="14"/>
  </r>
  <r>
    <x v="912"/>
    <n v="1"/>
    <x v="4"/>
    <n v="24"/>
  </r>
  <r>
    <x v="913"/>
    <n v="1"/>
    <x v="4"/>
    <n v="23"/>
  </r>
  <r>
    <x v="914"/>
    <n v="1"/>
    <x v="4"/>
    <n v="22"/>
  </r>
  <r>
    <x v="915"/>
    <n v="1"/>
    <x v="4"/>
    <n v="21"/>
  </r>
  <r>
    <x v="916"/>
    <n v="1"/>
    <x v="4"/>
    <n v="13"/>
  </r>
  <r>
    <x v="917"/>
    <n v="1"/>
    <x v="4"/>
    <n v="18"/>
  </r>
  <r>
    <x v="918"/>
    <n v="1"/>
    <x v="4"/>
    <n v="17"/>
  </r>
  <r>
    <x v="919"/>
    <n v="1"/>
    <x v="4"/>
    <n v="18"/>
  </r>
  <r>
    <x v="920"/>
    <n v="1"/>
    <x v="4"/>
    <n v="24"/>
  </r>
  <r>
    <x v="921"/>
    <n v="1"/>
    <x v="4"/>
    <n v="18"/>
  </r>
  <r>
    <x v="922"/>
    <n v="1"/>
    <x v="4"/>
    <n v="28"/>
  </r>
  <r>
    <x v="923"/>
    <n v="1"/>
    <x v="4"/>
    <n v="22"/>
  </r>
  <r>
    <x v="924"/>
    <n v="1"/>
    <x v="4"/>
    <n v="15"/>
  </r>
  <r>
    <x v="925"/>
    <n v="1"/>
    <x v="4"/>
    <n v="19"/>
  </r>
  <r>
    <x v="926"/>
    <n v="1"/>
    <x v="4"/>
    <n v="20"/>
  </r>
  <r>
    <x v="927"/>
    <n v="1"/>
    <x v="4"/>
    <n v="20"/>
  </r>
  <r>
    <x v="928"/>
    <n v="1"/>
    <x v="4"/>
    <n v="20"/>
  </r>
  <r>
    <x v="929"/>
    <n v="1"/>
    <x v="4"/>
    <n v="27"/>
  </r>
  <r>
    <x v="930"/>
    <n v="1"/>
    <x v="4"/>
    <n v="8"/>
  </r>
  <r>
    <x v="931"/>
    <n v="1"/>
    <x v="4"/>
    <n v="20"/>
  </r>
  <r>
    <x v="932"/>
    <n v="1"/>
    <x v="4"/>
    <n v="31"/>
  </r>
  <r>
    <x v="933"/>
    <n v="1"/>
    <x v="4"/>
    <n v="19"/>
  </r>
  <r>
    <x v="934"/>
    <n v="1"/>
    <x v="4"/>
    <n v="24"/>
  </r>
  <r>
    <x v="935"/>
    <n v="1"/>
    <x v="4"/>
    <n v="24"/>
  </r>
  <r>
    <x v="936"/>
    <n v="1"/>
    <x v="4"/>
    <n v="27"/>
  </r>
  <r>
    <x v="937"/>
    <n v="1"/>
    <x v="4"/>
    <n v="20"/>
  </r>
  <r>
    <x v="938"/>
    <n v="1"/>
    <x v="4"/>
    <n v="10"/>
  </r>
  <r>
    <x v="939"/>
    <n v="1"/>
    <x v="4"/>
    <n v="22"/>
  </r>
  <r>
    <x v="940"/>
    <n v="1"/>
    <x v="4"/>
    <n v="20"/>
  </r>
  <r>
    <x v="941"/>
    <n v="1"/>
    <x v="4"/>
    <n v="24"/>
  </r>
  <r>
    <x v="942"/>
    <n v="1"/>
    <x v="4"/>
    <n v="23"/>
  </r>
  <r>
    <x v="943"/>
    <n v="1"/>
    <x v="4"/>
    <n v="13"/>
  </r>
  <r>
    <x v="944"/>
    <n v="1"/>
    <x v="4"/>
    <n v="16"/>
  </r>
  <r>
    <x v="945"/>
    <n v="1"/>
    <x v="4"/>
    <n v="21"/>
  </r>
  <r>
    <x v="946"/>
    <n v="1"/>
    <x v="4"/>
    <n v="19"/>
  </r>
  <r>
    <x v="947"/>
    <n v="1"/>
    <x v="4"/>
    <n v="19"/>
  </r>
  <r>
    <x v="948"/>
    <n v="1"/>
    <x v="4"/>
    <n v="30"/>
  </r>
  <r>
    <x v="949"/>
    <n v="1"/>
    <x v="4"/>
    <n v="22"/>
  </r>
  <r>
    <x v="950"/>
    <n v="1"/>
    <x v="4"/>
    <n v="24"/>
  </r>
  <r>
    <x v="951"/>
    <n v="1"/>
    <x v="4"/>
    <n v="10"/>
  </r>
  <r>
    <x v="952"/>
    <n v="1"/>
    <x v="4"/>
    <n v="15"/>
  </r>
  <r>
    <x v="953"/>
    <n v="1"/>
    <x v="4"/>
    <n v="22"/>
  </r>
  <r>
    <x v="954"/>
    <n v="1"/>
    <x v="4"/>
    <n v="19"/>
  </r>
  <r>
    <x v="955"/>
    <n v="1"/>
    <x v="4"/>
    <n v="19"/>
  </r>
  <r>
    <x v="956"/>
    <n v="1"/>
    <x v="4"/>
    <n v="24"/>
  </r>
  <r>
    <x v="957"/>
    <n v="1"/>
    <x v="4"/>
    <n v="26"/>
  </r>
  <r>
    <x v="958"/>
    <n v="1"/>
    <x v="4"/>
    <n v="10"/>
  </r>
  <r>
    <x v="959"/>
    <n v="1"/>
    <x v="4"/>
    <n v="22"/>
  </r>
  <r>
    <x v="960"/>
    <n v="1"/>
    <x v="4"/>
    <n v="19"/>
  </r>
  <r>
    <x v="961"/>
    <n v="1"/>
    <x v="4"/>
    <n v="20"/>
  </r>
  <r>
    <x v="962"/>
    <n v="1"/>
    <x v="4"/>
    <n v="23"/>
  </r>
  <r>
    <x v="963"/>
    <n v="1"/>
    <x v="4"/>
    <n v="18"/>
  </r>
  <r>
    <x v="964"/>
    <n v="1"/>
    <x v="4"/>
    <n v="24"/>
  </r>
  <r>
    <x v="965"/>
    <n v="1"/>
    <x v="4"/>
    <n v="17"/>
  </r>
  <r>
    <x v="966"/>
    <n v="1"/>
    <x v="4"/>
    <n v="20"/>
  </r>
  <r>
    <x v="967"/>
    <n v="1"/>
    <x v="4"/>
    <n v="21"/>
  </r>
  <r>
    <x v="968"/>
    <n v="1"/>
    <x v="4"/>
    <n v="23"/>
  </r>
  <r>
    <x v="969"/>
    <n v="1"/>
    <x v="4"/>
    <n v="20"/>
  </r>
  <r>
    <x v="970"/>
    <n v="1"/>
    <x v="4"/>
    <n v="17"/>
  </r>
  <r>
    <x v="971"/>
    <n v="1"/>
    <x v="4"/>
    <n v="26"/>
  </r>
  <r>
    <x v="972"/>
    <n v="1"/>
    <x v="4"/>
    <n v="14"/>
  </r>
  <r>
    <x v="973"/>
    <n v="1"/>
    <x v="4"/>
    <n v="23"/>
  </r>
  <r>
    <x v="974"/>
    <n v="1"/>
    <x v="4"/>
    <n v="15"/>
  </r>
  <r>
    <x v="975"/>
    <n v="1"/>
    <x v="4"/>
    <n v="16"/>
  </r>
  <r>
    <x v="976"/>
    <n v="1"/>
    <x v="4"/>
    <n v="18"/>
  </r>
  <r>
    <x v="977"/>
    <n v="1"/>
    <x v="4"/>
    <n v="22"/>
  </r>
  <r>
    <x v="978"/>
    <n v="1"/>
    <x v="4"/>
    <n v="14"/>
  </r>
  <r>
    <x v="979"/>
    <n v="1"/>
    <x v="4"/>
    <n v="18"/>
  </r>
  <r>
    <x v="980"/>
    <n v="1"/>
    <x v="4"/>
    <n v="11"/>
  </r>
  <r>
    <x v="981"/>
    <n v="1"/>
    <x v="4"/>
    <n v="14"/>
  </r>
  <r>
    <x v="982"/>
    <n v="1"/>
    <x v="4"/>
    <n v="23"/>
  </r>
  <r>
    <x v="983"/>
    <n v="1"/>
    <x v="4"/>
    <n v="17"/>
  </r>
  <r>
    <x v="984"/>
    <n v="1"/>
    <x v="4"/>
    <n v="22"/>
  </r>
  <r>
    <x v="985"/>
    <n v="1"/>
    <x v="4"/>
    <n v="18"/>
  </r>
  <r>
    <x v="986"/>
    <n v="1"/>
    <x v="4"/>
    <n v="18"/>
  </r>
  <r>
    <x v="987"/>
    <n v="1"/>
    <x v="4"/>
    <n v="13"/>
  </r>
  <r>
    <x v="988"/>
    <n v="1"/>
    <x v="4"/>
    <n v="16"/>
  </r>
  <r>
    <x v="989"/>
    <n v="1"/>
    <x v="4"/>
    <n v="14"/>
  </r>
  <r>
    <x v="990"/>
    <n v="1"/>
    <x v="4"/>
    <n v="14"/>
  </r>
  <r>
    <x v="991"/>
    <n v="1"/>
    <x v="4"/>
    <n v="11"/>
  </r>
  <r>
    <x v="992"/>
    <n v="1"/>
    <x v="4"/>
    <n v="22"/>
  </r>
  <r>
    <x v="993"/>
    <n v="1"/>
    <x v="4"/>
    <n v="12"/>
  </r>
  <r>
    <x v="994"/>
    <n v="1"/>
    <x v="4"/>
    <n v="13"/>
  </r>
  <r>
    <x v="995"/>
    <n v="1"/>
    <x v="4"/>
    <n v="15"/>
  </r>
  <r>
    <x v="996"/>
    <n v="1"/>
    <x v="4"/>
    <n v="14"/>
  </r>
  <r>
    <x v="997"/>
    <n v="1"/>
    <x v="4"/>
    <n v="20"/>
  </r>
  <r>
    <x v="998"/>
    <n v="1"/>
    <x v="4"/>
    <n v="24"/>
  </r>
  <r>
    <x v="999"/>
    <n v="1"/>
    <x v="4"/>
    <n v="26"/>
  </r>
  <r>
    <x v="1000"/>
    <n v="1"/>
    <x v="4"/>
    <n v="17"/>
  </r>
  <r>
    <x v="1001"/>
    <n v="1"/>
    <x v="4"/>
    <n v="15"/>
  </r>
  <r>
    <x v="1002"/>
    <n v="1"/>
    <x v="4"/>
    <n v="16"/>
  </r>
  <r>
    <x v="1003"/>
    <n v="1"/>
    <x v="4"/>
    <n v="12"/>
  </r>
  <r>
    <x v="1004"/>
    <n v="1"/>
    <x v="4"/>
    <n v="10"/>
  </r>
  <r>
    <x v="1005"/>
    <n v="1"/>
    <x v="4"/>
    <n v="16"/>
  </r>
  <r>
    <x v="1006"/>
    <n v="1"/>
    <x v="4"/>
    <n v="11"/>
  </r>
  <r>
    <x v="1007"/>
    <n v="1"/>
    <x v="4"/>
    <n v="17"/>
  </r>
  <r>
    <x v="1008"/>
    <n v="1"/>
    <x v="4"/>
    <n v="17"/>
  </r>
  <r>
    <x v="1009"/>
    <n v="1"/>
    <x v="4"/>
    <n v="13"/>
  </r>
  <r>
    <x v="1010"/>
    <n v="1"/>
    <x v="4"/>
    <n v="21"/>
  </r>
  <r>
    <x v="1011"/>
    <n v="1"/>
    <x v="4"/>
    <n v="17"/>
  </r>
  <r>
    <x v="1012"/>
    <n v="1"/>
    <x v="4"/>
    <n v="22"/>
  </r>
  <r>
    <x v="1013"/>
    <n v="1"/>
    <x v="4"/>
    <n v="19"/>
  </r>
  <r>
    <x v="1014"/>
    <n v="1"/>
    <x v="4"/>
    <n v="9"/>
  </r>
  <r>
    <x v="1015"/>
    <n v="1"/>
    <x v="4"/>
    <n v="6"/>
  </r>
  <r>
    <x v="1016"/>
    <n v="1"/>
    <x v="4"/>
    <n v="12"/>
  </r>
  <r>
    <x v="1017"/>
    <n v="1"/>
    <x v="4"/>
    <n v="15"/>
  </r>
  <r>
    <x v="1018"/>
    <n v="1"/>
    <x v="4"/>
    <n v="12"/>
  </r>
  <r>
    <x v="1019"/>
    <n v="1"/>
    <x v="4"/>
    <n v="17"/>
  </r>
  <r>
    <x v="1020"/>
    <n v="1"/>
    <x v="4"/>
    <n v="26"/>
  </r>
  <r>
    <x v="1021"/>
    <n v="1"/>
    <x v="4"/>
    <n v="14"/>
  </r>
  <r>
    <x v="1022"/>
    <n v="1"/>
    <x v="4"/>
    <n v="14"/>
  </r>
  <r>
    <x v="1023"/>
    <n v="1"/>
    <x v="4"/>
    <n v="14"/>
  </r>
  <r>
    <x v="1024"/>
    <n v="1"/>
    <x v="4"/>
    <n v="20"/>
  </r>
  <r>
    <x v="1025"/>
    <n v="1"/>
    <x v="4"/>
    <n v="17"/>
  </r>
  <r>
    <x v="1026"/>
    <n v="1"/>
    <x v="4"/>
    <n v="20"/>
  </r>
  <r>
    <x v="1027"/>
    <n v="1"/>
    <x v="4"/>
    <n v="23"/>
  </r>
  <r>
    <x v="1028"/>
    <n v="1"/>
    <x v="4"/>
    <n v="7"/>
  </r>
  <r>
    <x v="1029"/>
    <n v="1"/>
    <x v="4"/>
    <n v="15"/>
  </r>
  <r>
    <x v="1030"/>
    <n v="1"/>
    <x v="4"/>
    <n v="20"/>
  </r>
  <r>
    <x v="1031"/>
    <n v="1"/>
    <x v="4"/>
    <n v="15"/>
  </r>
  <r>
    <x v="1032"/>
    <n v="1"/>
    <x v="4"/>
    <n v="18"/>
  </r>
  <r>
    <x v="1033"/>
    <n v="1"/>
    <x v="4"/>
    <n v="17"/>
  </r>
  <r>
    <x v="1034"/>
    <n v="1"/>
    <x v="4"/>
    <n v="13"/>
  </r>
  <r>
    <x v="1035"/>
    <n v="1"/>
    <x v="4"/>
    <n v="13"/>
  </r>
  <r>
    <x v="1036"/>
    <n v="1"/>
    <x v="4"/>
    <n v="21"/>
  </r>
  <r>
    <x v="1037"/>
    <n v="1"/>
    <x v="4"/>
    <n v="15"/>
  </r>
  <r>
    <x v="1038"/>
    <n v="1"/>
    <x v="4"/>
    <n v="16"/>
  </r>
  <r>
    <x v="1039"/>
    <n v="1"/>
    <x v="4"/>
    <n v="16"/>
  </r>
  <r>
    <x v="1040"/>
    <n v="1"/>
    <x v="4"/>
    <n v="19"/>
  </r>
  <r>
    <x v="1041"/>
    <n v="1"/>
    <x v="4"/>
    <n v="26"/>
  </r>
  <r>
    <x v="1042"/>
    <n v="1"/>
    <x v="4"/>
    <n v="3"/>
  </r>
  <r>
    <x v="1043"/>
    <n v="1"/>
    <x v="4"/>
    <n v="14"/>
  </r>
  <r>
    <x v="1044"/>
    <n v="1"/>
    <x v="4"/>
    <n v="13"/>
  </r>
  <r>
    <x v="1045"/>
    <n v="1"/>
    <x v="4"/>
    <n v="19"/>
  </r>
  <r>
    <x v="1046"/>
    <n v="1"/>
    <x v="4"/>
    <n v="11"/>
  </r>
  <r>
    <x v="1047"/>
    <n v="1"/>
    <x v="4"/>
    <n v="12"/>
  </r>
  <r>
    <x v="1048"/>
    <n v="1"/>
    <x v="4"/>
    <n v="17"/>
  </r>
  <r>
    <x v="1049"/>
    <n v="1"/>
    <x v="4"/>
    <n v="14"/>
  </r>
  <r>
    <x v="1050"/>
    <n v="1"/>
    <x v="4"/>
    <n v="15"/>
  </r>
  <r>
    <x v="1051"/>
    <n v="1"/>
    <x v="4"/>
    <n v="11"/>
  </r>
  <r>
    <x v="1052"/>
    <n v="1"/>
    <x v="4"/>
    <n v="18"/>
  </r>
  <r>
    <x v="1053"/>
    <n v="1"/>
    <x v="4"/>
    <n v="23"/>
  </r>
  <r>
    <x v="1054"/>
    <n v="1"/>
    <x v="4"/>
    <n v="22"/>
  </r>
  <r>
    <x v="1055"/>
    <n v="1"/>
    <x v="4"/>
    <n v="19"/>
  </r>
  <r>
    <x v="1056"/>
    <n v="1"/>
    <x v="4"/>
    <n v="11"/>
  </r>
  <r>
    <x v="1057"/>
    <n v="1"/>
    <x v="4"/>
    <n v="16"/>
  </r>
  <r>
    <x v="1058"/>
    <n v="1"/>
    <x v="4"/>
    <n v="17"/>
  </r>
  <r>
    <x v="1059"/>
    <n v="1"/>
    <x v="4"/>
    <n v="24"/>
  </r>
  <r>
    <x v="1060"/>
    <n v="1"/>
    <x v="4"/>
    <n v="28"/>
  </r>
  <r>
    <x v="1061"/>
    <n v="1"/>
    <x v="4"/>
    <n v="19"/>
  </r>
  <r>
    <x v="1062"/>
    <n v="1"/>
    <x v="4"/>
    <n v="30"/>
  </r>
  <r>
    <x v="1063"/>
    <n v="1"/>
    <x v="4"/>
    <n v="14"/>
  </r>
  <r>
    <x v="1064"/>
    <n v="1"/>
    <x v="4"/>
    <n v="14"/>
  </r>
  <r>
    <x v="1065"/>
    <n v="1"/>
    <x v="4"/>
    <n v="7"/>
  </r>
  <r>
    <x v="1066"/>
    <n v="1"/>
    <x v="4"/>
    <n v="9"/>
  </r>
  <r>
    <x v="1067"/>
    <n v="1"/>
    <x v="4"/>
    <n v="17"/>
  </r>
  <r>
    <x v="1068"/>
    <n v="1"/>
    <x v="4"/>
    <n v="20"/>
  </r>
  <r>
    <x v="1069"/>
    <n v="1"/>
    <x v="4"/>
    <n v="14"/>
  </r>
  <r>
    <x v="1070"/>
    <n v="1"/>
    <x v="4"/>
    <n v="10"/>
  </r>
  <r>
    <x v="1071"/>
    <n v="1"/>
    <x v="4"/>
    <n v="7"/>
  </r>
  <r>
    <x v="1072"/>
    <n v="1"/>
    <x v="4"/>
    <n v="14"/>
  </r>
  <r>
    <x v="1073"/>
    <n v="1"/>
    <x v="4"/>
    <n v="18"/>
  </r>
  <r>
    <x v="1074"/>
    <n v="1"/>
    <x v="4"/>
    <n v="12"/>
  </r>
  <r>
    <x v="1075"/>
    <n v="1"/>
    <x v="4"/>
    <n v="8"/>
  </r>
  <r>
    <x v="1076"/>
    <n v="1"/>
    <x v="4"/>
    <n v="12"/>
  </r>
  <r>
    <x v="1077"/>
    <n v="1"/>
    <x v="4"/>
    <n v="9"/>
  </r>
  <r>
    <x v="1078"/>
    <n v="1"/>
    <x v="4"/>
    <n v="12"/>
  </r>
  <r>
    <x v="1079"/>
    <n v="1"/>
    <x v="4"/>
    <n v="10"/>
  </r>
  <r>
    <x v="1080"/>
    <n v="1"/>
    <x v="4"/>
    <n v="11"/>
  </r>
  <r>
    <x v="1081"/>
    <n v="1"/>
    <x v="4"/>
    <n v="12"/>
  </r>
  <r>
    <x v="1082"/>
    <n v="1"/>
    <x v="4"/>
    <n v="15"/>
  </r>
  <r>
    <x v="1083"/>
    <n v="1"/>
    <x v="4"/>
    <n v="16"/>
  </r>
  <r>
    <x v="1084"/>
    <n v="1"/>
    <x v="4"/>
    <n v="11"/>
  </r>
  <r>
    <x v="1085"/>
    <n v="1"/>
    <x v="4"/>
    <n v="15"/>
  </r>
  <r>
    <x v="1086"/>
    <n v="1"/>
    <x v="4"/>
    <n v="17"/>
  </r>
  <r>
    <x v="1087"/>
    <n v="1"/>
    <x v="4"/>
    <n v="12"/>
  </r>
  <r>
    <x v="1088"/>
    <n v="1"/>
    <x v="4"/>
    <n v="9"/>
  </r>
  <r>
    <x v="1089"/>
    <n v="1"/>
    <x v="4"/>
    <n v="19"/>
  </r>
  <r>
    <x v="1090"/>
    <n v="1"/>
    <x v="4"/>
    <n v="10"/>
  </r>
  <r>
    <x v="1091"/>
    <n v="1"/>
    <x v="4"/>
    <n v="10"/>
  </r>
  <r>
    <x v="1092"/>
    <n v="1"/>
    <x v="4"/>
    <n v="5"/>
  </r>
  <r>
    <x v="1093"/>
    <n v="1"/>
    <x v="4"/>
    <n v="15"/>
  </r>
  <r>
    <x v="1094"/>
    <n v="1"/>
    <x v="4"/>
    <n v="10"/>
  </r>
  <r>
    <x v="1095"/>
    <n v="1"/>
    <x v="4"/>
    <n v="14"/>
  </r>
  <r>
    <x v="1096"/>
    <n v="1"/>
    <x v="4"/>
    <n v="12"/>
  </r>
  <r>
    <x v="1097"/>
    <n v="1"/>
    <x v="4"/>
    <n v="14"/>
  </r>
  <r>
    <x v="1098"/>
    <n v="1"/>
    <x v="4"/>
    <n v="5"/>
  </r>
  <r>
    <x v="1099"/>
    <n v="1"/>
    <x v="4"/>
    <n v="13"/>
  </r>
  <r>
    <x v="1100"/>
    <n v="1"/>
    <x v="4"/>
    <n v="8"/>
  </r>
  <r>
    <x v="1101"/>
    <n v="1"/>
    <x v="4"/>
    <n v="16"/>
  </r>
  <r>
    <x v="1102"/>
    <n v="1"/>
    <x v="4"/>
    <n v="16"/>
  </r>
  <r>
    <x v="1103"/>
    <n v="1"/>
    <x v="4"/>
    <n v="13"/>
  </r>
  <r>
    <x v="1104"/>
    <n v="1"/>
    <x v="4"/>
    <n v="22"/>
  </r>
  <r>
    <x v="1105"/>
    <n v="1"/>
    <x v="4"/>
    <n v="3"/>
  </r>
  <r>
    <x v="1106"/>
    <n v="1"/>
    <x v="4"/>
    <n v="9"/>
  </r>
  <r>
    <x v="1107"/>
    <n v="1"/>
    <x v="4"/>
    <n v="9"/>
  </r>
  <r>
    <x v="1108"/>
    <n v="1"/>
    <x v="4"/>
    <n v="12"/>
  </r>
  <r>
    <x v="1109"/>
    <n v="1"/>
    <x v="4"/>
    <n v="13"/>
  </r>
  <r>
    <x v="1110"/>
    <n v="1"/>
    <x v="4"/>
    <n v="18"/>
  </r>
  <r>
    <x v="1111"/>
    <n v="1"/>
    <x v="4"/>
    <n v="19"/>
  </r>
  <r>
    <x v="1112"/>
    <n v="1"/>
    <x v="4"/>
    <n v="8"/>
  </r>
  <r>
    <x v="1113"/>
    <n v="1"/>
    <x v="4"/>
    <n v="13"/>
  </r>
  <r>
    <x v="1114"/>
    <n v="1"/>
    <x v="4"/>
    <n v="18"/>
  </r>
  <r>
    <x v="1115"/>
    <n v="1"/>
    <x v="4"/>
    <n v="15"/>
  </r>
  <r>
    <x v="1116"/>
    <n v="1"/>
    <x v="4"/>
    <n v="13"/>
  </r>
  <r>
    <x v="1117"/>
    <n v="1"/>
    <x v="4"/>
    <n v="16"/>
  </r>
  <r>
    <x v="1118"/>
    <n v="1"/>
    <x v="4"/>
    <n v="14"/>
  </r>
  <r>
    <x v="1119"/>
    <n v="1"/>
    <x v="4"/>
    <n v="11"/>
  </r>
  <r>
    <x v="1120"/>
    <n v="1"/>
    <x v="4"/>
    <n v="18"/>
  </r>
  <r>
    <x v="1121"/>
    <n v="1"/>
    <x v="4"/>
    <n v="15"/>
  </r>
  <r>
    <x v="1122"/>
    <n v="1"/>
    <x v="4"/>
    <n v="13"/>
  </r>
  <r>
    <x v="1123"/>
    <n v="1"/>
    <x v="4"/>
    <n v="13"/>
  </r>
  <r>
    <x v="1124"/>
    <n v="1"/>
    <x v="4"/>
    <n v="16"/>
  </r>
  <r>
    <x v="1125"/>
    <n v="1"/>
    <x v="4"/>
    <n v="14"/>
  </r>
  <r>
    <x v="1126"/>
    <n v="1"/>
    <x v="4"/>
    <n v="16"/>
  </r>
  <r>
    <x v="1127"/>
    <n v="1"/>
    <x v="4"/>
    <n v="17"/>
  </r>
  <r>
    <x v="1128"/>
    <n v="1"/>
    <x v="4"/>
    <n v="12"/>
  </r>
  <r>
    <x v="1129"/>
    <n v="1"/>
    <x v="4"/>
    <n v="14"/>
  </r>
  <r>
    <x v="1130"/>
    <n v="1"/>
    <x v="4"/>
    <n v="16"/>
  </r>
  <r>
    <x v="1131"/>
    <n v="1"/>
    <x v="4"/>
    <n v="19"/>
  </r>
  <r>
    <x v="1132"/>
    <n v="1"/>
    <x v="4"/>
    <n v="14"/>
  </r>
  <r>
    <x v="1133"/>
    <n v="1"/>
    <x v="4"/>
    <n v="6"/>
  </r>
  <r>
    <x v="1134"/>
    <n v="1"/>
    <x v="4"/>
    <n v="18"/>
  </r>
  <r>
    <x v="1135"/>
    <n v="1"/>
    <x v="4"/>
    <n v="15"/>
  </r>
  <r>
    <x v="1136"/>
    <n v="1"/>
    <x v="4"/>
    <n v="18"/>
  </r>
  <r>
    <x v="1137"/>
    <n v="1"/>
    <x v="4"/>
    <n v="12"/>
  </r>
  <r>
    <x v="1138"/>
    <n v="1"/>
    <x v="4"/>
    <n v="15"/>
  </r>
  <r>
    <x v="1139"/>
    <n v="1"/>
    <x v="4"/>
    <n v="12"/>
  </r>
  <r>
    <x v="1140"/>
    <n v="1"/>
    <x v="4"/>
    <n v="11"/>
  </r>
  <r>
    <x v="1141"/>
    <n v="1"/>
    <x v="4"/>
    <n v="13"/>
  </r>
  <r>
    <x v="1142"/>
    <n v="1"/>
    <x v="4"/>
    <n v="15"/>
  </r>
  <r>
    <x v="1143"/>
    <n v="1"/>
    <x v="4"/>
    <n v="17"/>
  </r>
  <r>
    <x v="1144"/>
    <n v="1"/>
    <x v="4"/>
    <n v="13"/>
  </r>
  <r>
    <x v="1145"/>
    <n v="1"/>
    <x v="4"/>
    <n v="21"/>
  </r>
  <r>
    <x v="1146"/>
    <n v="1"/>
    <x v="4"/>
    <n v="18"/>
  </r>
  <r>
    <x v="1147"/>
    <n v="1"/>
    <x v="4"/>
    <n v="9"/>
  </r>
  <r>
    <x v="1148"/>
    <n v="1"/>
    <x v="4"/>
    <n v="14"/>
  </r>
  <r>
    <x v="1149"/>
    <n v="1"/>
    <x v="4"/>
    <n v="11"/>
  </r>
  <r>
    <x v="1150"/>
    <n v="1"/>
    <x v="4"/>
    <n v="10"/>
  </r>
  <r>
    <x v="1151"/>
    <n v="1"/>
    <x v="4"/>
    <n v="13"/>
  </r>
  <r>
    <x v="1152"/>
    <n v="1"/>
    <x v="4"/>
    <n v="16"/>
  </r>
  <r>
    <x v="1153"/>
    <n v="1"/>
    <x v="4"/>
    <n v="20"/>
  </r>
  <r>
    <x v="1154"/>
    <n v="1"/>
    <x v="4"/>
    <n v="12"/>
  </r>
  <r>
    <x v="1155"/>
    <n v="1"/>
    <x v="4"/>
    <n v="19"/>
  </r>
  <r>
    <x v="1156"/>
    <n v="1"/>
    <x v="4"/>
    <n v="19"/>
  </r>
  <r>
    <x v="1157"/>
    <n v="1"/>
    <x v="4"/>
    <n v="19"/>
  </r>
  <r>
    <x v="1158"/>
    <n v="1"/>
    <x v="4"/>
    <n v="13"/>
  </r>
  <r>
    <x v="1159"/>
    <n v="1"/>
    <x v="4"/>
    <n v="22"/>
  </r>
  <r>
    <x v="1160"/>
    <n v="1"/>
    <x v="4"/>
    <n v="22"/>
  </r>
  <r>
    <x v="1161"/>
    <n v="1"/>
    <x v="4"/>
    <n v="13"/>
  </r>
  <r>
    <x v="1162"/>
    <n v="1"/>
    <x v="4"/>
    <n v="13"/>
  </r>
  <r>
    <x v="1163"/>
    <n v="1"/>
    <x v="4"/>
    <n v="20"/>
  </r>
  <r>
    <x v="1164"/>
    <n v="1"/>
    <x v="4"/>
    <n v="17"/>
  </r>
  <r>
    <x v="1165"/>
    <n v="1"/>
    <x v="4"/>
    <n v="12"/>
  </r>
  <r>
    <x v="1166"/>
    <n v="1"/>
    <x v="4"/>
    <n v="15"/>
  </r>
  <r>
    <x v="1167"/>
    <n v="1"/>
    <x v="4"/>
    <n v="26"/>
  </r>
  <r>
    <x v="1168"/>
    <n v="1"/>
    <x v="4"/>
    <n v="15"/>
  </r>
  <r>
    <x v="1169"/>
    <n v="1"/>
    <x v="4"/>
    <n v="7"/>
  </r>
  <r>
    <x v="1170"/>
    <n v="1"/>
    <x v="4"/>
    <n v="15"/>
  </r>
  <r>
    <x v="1171"/>
    <n v="1"/>
    <x v="4"/>
    <n v="20"/>
  </r>
  <r>
    <x v="1172"/>
    <n v="1"/>
    <x v="4"/>
    <n v="11"/>
  </r>
  <r>
    <x v="1173"/>
    <n v="1"/>
    <x v="4"/>
    <n v="21"/>
  </r>
  <r>
    <x v="1174"/>
    <n v="1"/>
    <x v="4"/>
    <n v="15"/>
  </r>
  <r>
    <x v="1175"/>
    <n v="1"/>
    <x v="4"/>
    <n v="14"/>
  </r>
  <r>
    <x v="1176"/>
    <n v="1"/>
    <x v="4"/>
    <n v="20"/>
  </r>
  <r>
    <x v="1177"/>
    <n v="1"/>
    <x v="4"/>
    <n v="16"/>
  </r>
  <r>
    <x v="1178"/>
    <n v="1"/>
    <x v="4"/>
    <n v="15"/>
  </r>
  <r>
    <x v="1179"/>
    <n v="1"/>
    <x v="4"/>
    <n v="18"/>
  </r>
  <r>
    <x v="1180"/>
    <n v="1"/>
    <x v="4"/>
    <n v="18"/>
  </r>
  <r>
    <x v="1181"/>
    <n v="1"/>
    <x v="4"/>
    <n v="23"/>
  </r>
  <r>
    <x v="1182"/>
    <n v="1"/>
    <x v="4"/>
    <n v="12"/>
  </r>
  <r>
    <x v="1183"/>
    <n v="1"/>
    <x v="4"/>
    <n v="17"/>
  </r>
  <r>
    <x v="1184"/>
    <n v="1"/>
    <x v="4"/>
    <n v="8"/>
  </r>
  <r>
    <x v="1185"/>
    <n v="1"/>
    <x v="4"/>
    <n v="20"/>
  </r>
  <r>
    <x v="1186"/>
    <n v="1"/>
    <x v="4"/>
    <n v="15"/>
  </r>
  <r>
    <x v="1187"/>
    <n v="1"/>
    <x v="4"/>
    <n v="21"/>
  </r>
  <r>
    <x v="1188"/>
    <n v="1"/>
    <x v="4"/>
    <n v="17"/>
  </r>
  <r>
    <x v="1189"/>
    <n v="1"/>
    <x v="4"/>
    <n v="12"/>
  </r>
  <r>
    <x v="1190"/>
    <n v="1"/>
    <x v="4"/>
    <n v="17"/>
  </r>
  <r>
    <x v="1191"/>
    <n v="1"/>
    <x v="4"/>
    <n v="26"/>
  </r>
  <r>
    <x v="1192"/>
    <n v="1"/>
    <x v="4"/>
    <n v="15"/>
  </r>
  <r>
    <x v="1193"/>
    <n v="1"/>
    <x v="4"/>
    <n v="18"/>
  </r>
  <r>
    <x v="1194"/>
    <n v="1"/>
    <x v="4"/>
    <n v="12"/>
  </r>
  <r>
    <x v="1195"/>
    <n v="1"/>
    <x v="4"/>
    <n v="30"/>
  </r>
  <r>
    <x v="1196"/>
    <n v="1"/>
    <x v="4"/>
    <n v="14"/>
  </r>
  <r>
    <x v="1197"/>
    <n v="1"/>
    <x v="4"/>
    <n v="14"/>
  </r>
  <r>
    <x v="1198"/>
    <n v="1"/>
    <x v="4"/>
    <n v="23"/>
  </r>
  <r>
    <x v="1199"/>
    <n v="1"/>
    <x v="4"/>
    <n v="15"/>
  </r>
  <r>
    <x v="1200"/>
    <n v="1"/>
    <x v="4"/>
    <n v="24"/>
  </r>
  <r>
    <x v="1201"/>
    <n v="1"/>
    <x v="4"/>
    <n v="18"/>
  </r>
  <r>
    <x v="1202"/>
    <n v="1"/>
    <x v="4"/>
    <n v="24"/>
  </r>
  <r>
    <x v="1203"/>
    <n v="1"/>
    <x v="4"/>
    <n v="14"/>
  </r>
  <r>
    <x v="1204"/>
    <n v="1"/>
    <x v="4"/>
    <n v="17"/>
  </r>
  <r>
    <x v="1205"/>
    <n v="1"/>
    <x v="4"/>
    <n v="16"/>
  </r>
  <r>
    <x v="1206"/>
    <n v="1"/>
    <x v="4"/>
    <n v="21"/>
  </r>
  <r>
    <x v="1207"/>
    <n v="1"/>
    <x v="4"/>
    <n v="20"/>
  </r>
  <r>
    <x v="1208"/>
    <n v="1"/>
    <x v="4"/>
    <n v="36"/>
  </r>
  <r>
    <x v="1209"/>
    <n v="1"/>
    <x v="4"/>
    <n v="27"/>
  </r>
  <r>
    <x v="1210"/>
    <n v="1"/>
    <x v="4"/>
    <n v="20"/>
  </r>
  <r>
    <x v="1211"/>
    <n v="1"/>
    <x v="4"/>
    <n v="15"/>
  </r>
  <r>
    <x v="1212"/>
    <n v="1"/>
    <x v="4"/>
    <n v="20"/>
  </r>
  <r>
    <x v="1213"/>
    <n v="1"/>
    <x v="4"/>
    <n v="20"/>
  </r>
  <r>
    <x v="1214"/>
    <n v="1"/>
    <x v="4"/>
    <n v="20"/>
  </r>
  <r>
    <x v="1215"/>
    <n v="1"/>
    <x v="4"/>
    <n v="20"/>
  </r>
  <r>
    <x v="1216"/>
    <n v="1"/>
    <x v="4"/>
    <n v="18"/>
  </r>
  <r>
    <x v="1217"/>
    <n v="1"/>
    <x v="4"/>
    <n v="17"/>
  </r>
  <r>
    <x v="1218"/>
    <n v="1"/>
    <x v="4"/>
    <n v="21"/>
  </r>
  <r>
    <x v="1219"/>
    <n v="1"/>
    <x v="4"/>
    <n v="11"/>
  </r>
  <r>
    <x v="1220"/>
    <n v="1"/>
    <x v="4"/>
    <n v="16"/>
  </r>
  <r>
    <x v="1221"/>
    <n v="1"/>
    <x v="4"/>
    <n v="21"/>
  </r>
  <r>
    <x v="1222"/>
    <n v="1"/>
    <x v="4"/>
    <n v="15"/>
  </r>
  <r>
    <x v="1223"/>
    <n v="1"/>
    <x v="4"/>
    <n v="17"/>
  </r>
  <r>
    <x v="1224"/>
    <n v="1"/>
    <x v="4"/>
    <n v="14"/>
  </r>
  <r>
    <x v="1225"/>
    <n v="1"/>
    <x v="4"/>
    <n v="21"/>
  </r>
  <r>
    <x v="1226"/>
    <n v="1"/>
    <x v="4"/>
    <n v="24"/>
  </r>
  <r>
    <x v="1227"/>
    <n v="1"/>
    <x v="4"/>
    <n v="26"/>
  </r>
  <r>
    <x v="1228"/>
    <n v="1"/>
    <x v="4"/>
    <n v="24"/>
  </r>
  <r>
    <x v="1229"/>
    <n v="1"/>
    <x v="4"/>
    <n v="26"/>
  </r>
  <r>
    <x v="1230"/>
    <n v="1"/>
    <x v="4"/>
    <n v="24"/>
  </r>
  <r>
    <x v="1231"/>
    <n v="1"/>
    <x v="4"/>
    <n v="16"/>
  </r>
  <r>
    <x v="1232"/>
    <n v="1"/>
    <x v="4"/>
    <n v="16"/>
  </r>
  <r>
    <x v="1233"/>
    <n v="1"/>
    <x v="4"/>
    <n v="20"/>
  </r>
  <r>
    <x v="1234"/>
    <n v="1"/>
    <x v="4"/>
    <n v="23"/>
  </r>
  <r>
    <x v="1235"/>
    <n v="1"/>
    <x v="4"/>
    <n v="23"/>
  </r>
  <r>
    <x v="1236"/>
    <n v="1"/>
    <x v="4"/>
    <n v="22"/>
  </r>
  <r>
    <x v="1237"/>
    <n v="1"/>
    <x v="4"/>
    <n v="23"/>
  </r>
  <r>
    <x v="1238"/>
    <n v="1"/>
    <x v="4"/>
    <n v="18"/>
  </r>
  <r>
    <x v="1239"/>
    <n v="1"/>
    <x v="4"/>
    <n v="13"/>
  </r>
  <r>
    <x v="1240"/>
    <n v="1"/>
    <x v="4"/>
    <n v="28"/>
  </r>
  <r>
    <x v="1241"/>
    <n v="1"/>
    <x v="4"/>
    <n v="22"/>
  </r>
  <r>
    <x v="1242"/>
    <n v="1"/>
    <x v="4"/>
    <n v="21"/>
  </r>
  <r>
    <x v="1243"/>
    <n v="1"/>
    <x v="4"/>
    <n v="10"/>
  </r>
  <r>
    <x v="1244"/>
    <n v="1"/>
    <x v="4"/>
    <n v="28"/>
  </r>
  <r>
    <x v="1245"/>
    <n v="1"/>
    <x v="4"/>
    <n v="15"/>
  </r>
  <r>
    <x v="1246"/>
    <n v="1"/>
    <x v="4"/>
    <n v="26"/>
  </r>
  <r>
    <x v="1247"/>
    <n v="1"/>
    <x v="4"/>
    <n v="26"/>
  </r>
  <r>
    <x v="1248"/>
    <n v="1"/>
    <x v="4"/>
    <n v="26"/>
  </r>
  <r>
    <x v="1249"/>
    <n v="1"/>
    <x v="4"/>
    <n v="22"/>
  </r>
  <r>
    <x v="1250"/>
    <n v="1"/>
    <x v="4"/>
    <n v="23"/>
  </r>
  <r>
    <x v="1251"/>
    <n v="1"/>
    <x v="4"/>
    <n v="29"/>
  </r>
  <r>
    <x v="1252"/>
    <n v="1"/>
    <x v="4"/>
    <n v="16"/>
  </r>
  <r>
    <x v="1253"/>
    <n v="1"/>
    <x v="4"/>
    <n v="20"/>
  </r>
  <r>
    <x v="1254"/>
    <n v="1"/>
    <x v="4"/>
    <n v="18"/>
  </r>
  <r>
    <x v="1255"/>
    <n v="1"/>
    <x v="4"/>
    <n v="19"/>
  </r>
  <r>
    <x v="1256"/>
    <n v="1"/>
    <x v="4"/>
    <n v="29"/>
  </r>
  <r>
    <x v="1257"/>
    <n v="1"/>
    <x v="4"/>
    <n v="26"/>
  </r>
  <r>
    <x v="1258"/>
    <n v="1"/>
    <x v="4"/>
    <n v="29"/>
  </r>
  <r>
    <x v="1259"/>
    <n v="1"/>
    <x v="4"/>
    <n v="20"/>
  </r>
  <r>
    <x v="1260"/>
    <n v="1"/>
    <x v="4"/>
    <n v="7"/>
  </r>
  <r>
    <x v="1261"/>
    <n v="1"/>
    <x v="4"/>
    <n v="21"/>
  </r>
  <r>
    <x v="1262"/>
    <n v="1"/>
    <x v="4"/>
    <n v="22"/>
  </r>
  <r>
    <x v="1263"/>
    <n v="1"/>
    <x v="4"/>
    <n v="18"/>
  </r>
  <r>
    <x v="1264"/>
    <n v="1"/>
    <x v="4"/>
    <n v="26"/>
  </r>
  <r>
    <x v="1265"/>
    <n v="1"/>
    <x v="4"/>
    <n v="28"/>
  </r>
  <r>
    <x v="1266"/>
    <n v="1"/>
    <x v="4"/>
    <n v="13"/>
  </r>
  <r>
    <x v="1267"/>
    <n v="1"/>
    <x v="4"/>
    <n v="23"/>
  </r>
  <r>
    <x v="1268"/>
    <n v="1"/>
    <x v="4"/>
    <n v="20"/>
  </r>
  <r>
    <x v="1269"/>
    <n v="1"/>
    <x v="4"/>
    <n v="9"/>
  </r>
  <r>
    <x v="1270"/>
    <n v="1"/>
    <x v="4"/>
    <n v="14"/>
  </r>
  <r>
    <x v="1271"/>
    <n v="1"/>
    <x v="4"/>
    <n v="29"/>
  </r>
  <r>
    <x v="1272"/>
    <n v="1"/>
    <x v="4"/>
    <n v="19"/>
  </r>
  <r>
    <x v="1273"/>
    <n v="1"/>
    <x v="4"/>
    <n v="16"/>
  </r>
  <r>
    <x v="1274"/>
    <n v="1"/>
    <x v="4"/>
    <n v="20"/>
  </r>
  <r>
    <x v="1275"/>
    <n v="1"/>
    <x v="4"/>
    <n v="22"/>
  </r>
  <r>
    <x v="1276"/>
    <n v="1"/>
    <x v="4"/>
    <n v="33"/>
  </r>
  <r>
    <x v="1277"/>
    <n v="1"/>
    <x v="4"/>
    <n v="29"/>
  </r>
  <r>
    <x v="1278"/>
    <n v="1"/>
    <x v="4"/>
    <n v="30"/>
  </r>
  <r>
    <x v="1279"/>
    <n v="1"/>
    <x v="4"/>
    <n v="23"/>
  </r>
  <r>
    <x v="1280"/>
    <n v="1"/>
    <x v="4"/>
    <n v="20"/>
  </r>
  <r>
    <x v="1281"/>
    <n v="1"/>
    <x v="4"/>
    <n v="21"/>
  </r>
  <r>
    <x v="1282"/>
    <n v="1"/>
    <x v="4"/>
    <n v="25"/>
  </r>
  <r>
    <x v="1283"/>
    <n v="1"/>
    <x v="4"/>
    <n v="27"/>
  </r>
  <r>
    <x v="1284"/>
    <n v="1"/>
    <x v="4"/>
    <n v="21"/>
  </r>
  <r>
    <x v="1285"/>
    <n v="1"/>
    <x v="4"/>
    <n v="24"/>
  </r>
  <r>
    <x v="1286"/>
    <n v="1"/>
    <x v="4"/>
    <n v="31"/>
  </r>
  <r>
    <x v="1287"/>
    <n v="1"/>
    <x v="4"/>
    <n v="17"/>
  </r>
  <r>
    <x v="1288"/>
    <n v="1"/>
    <x v="4"/>
    <n v="22"/>
  </r>
  <r>
    <x v="1289"/>
    <n v="1"/>
    <x v="4"/>
    <n v="14"/>
  </r>
  <r>
    <x v="1290"/>
    <n v="1"/>
    <x v="4"/>
    <n v="30"/>
  </r>
  <r>
    <x v="1291"/>
    <n v="1"/>
    <x v="4"/>
    <n v="18"/>
  </r>
  <r>
    <x v="1292"/>
    <n v="1"/>
    <x v="4"/>
    <n v="36"/>
  </r>
  <r>
    <x v="1293"/>
    <n v="1"/>
    <x v="4"/>
    <n v="22"/>
  </r>
  <r>
    <x v="1294"/>
    <n v="1"/>
    <x v="4"/>
    <n v="22"/>
  </r>
  <r>
    <x v="1295"/>
    <n v="1"/>
    <x v="4"/>
    <n v="25"/>
  </r>
  <r>
    <x v="1296"/>
    <n v="1"/>
    <x v="4"/>
    <n v="21"/>
  </r>
  <r>
    <x v="1297"/>
    <n v="1"/>
    <x v="4"/>
    <n v="26"/>
  </r>
  <r>
    <x v="1298"/>
    <n v="1"/>
    <x v="4"/>
    <n v="28"/>
  </r>
  <r>
    <x v="1299"/>
    <n v="1"/>
    <x v="4"/>
    <n v="30"/>
  </r>
  <r>
    <x v="1300"/>
    <n v="1"/>
    <x v="4"/>
    <n v="22"/>
  </r>
  <r>
    <x v="1301"/>
    <n v="1"/>
    <x v="4"/>
    <n v="17"/>
  </r>
  <r>
    <x v="1302"/>
    <n v="1"/>
    <x v="4"/>
    <n v="26"/>
  </r>
  <r>
    <x v="1303"/>
    <n v="1"/>
    <x v="4"/>
    <n v="17"/>
  </r>
  <r>
    <x v="1304"/>
    <n v="1"/>
    <x v="4"/>
    <n v="18"/>
  </r>
  <r>
    <x v="1305"/>
    <n v="1"/>
    <x v="4"/>
    <n v="33"/>
  </r>
  <r>
    <x v="1306"/>
    <n v="1"/>
    <x v="4"/>
    <n v="21"/>
  </r>
  <r>
    <x v="1307"/>
    <n v="1"/>
    <x v="4"/>
    <n v="28"/>
  </r>
  <r>
    <x v="1308"/>
    <n v="1"/>
    <x v="4"/>
    <n v="19"/>
  </r>
  <r>
    <x v="1309"/>
    <n v="1"/>
    <x v="4"/>
    <n v="13"/>
  </r>
  <r>
    <x v="1310"/>
    <n v="1"/>
    <x v="4"/>
    <n v="21"/>
  </r>
  <r>
    <x v="1311"/>
    <n v="1"/>
    <x v="4"/>
    <n v="24"/>
  </r>
  <r>
    <x v="1312"/>
    <n v="1"/>
    <x v="4"/>
    <n v="22"/>
  </r>
  <r>
    <x v="1313"/>
    <n v="1"/>
    <x v="4"/>
    <n v="28"/>
  </r>
  <r>
    <x v="1314"/>
    <n v="1"/>
    <x v="4"/>
    <n v="28"/>
  </r>
  <r>
    <x v="1315"/>
    <n v="1"/>
    <x v="4"/>
    <n v="22"/>
  </r>
  <r>
    <x v="1316"/>
    <n v="1"/>
    <x v="4"/>
    <n v="19"/>
  </r>
  <r>
    <x v="1317"/>
    <n v="1"/>
    <x v="4"/>
    <n v="27"/>
  </r>
  <r>
    <x v="1318"/>
    <n v="1"/>
    <x v="4"/>
    <n v="19"/>
  </r>
  <r>
    <x v="1319"/>
    <n v="1"/>
    <x v="4"/>
    <n v="13"/>
  </r>
  <r>
    <x v="1320"/>
    <n v="1"/>
    <x v="4"/>
    <n v="24"/>
  </r>
  <r>
    <x v="1321"/>
    <n v="1"/>
    <x v="4"/>
    <n v="24"/>
  </r>
  <r>
    <x v="1322"/>
    <n v="1"/>
    <x v="4"/>
    <n v="17"/>
  </r>
  <r>
    <x v="1323"/>
    <n v="1"/>
    <x v="4"/>
    <n v="23"/>
  </r>
  <r>
    <x v="1324"/>
    <n v="1"/>
    <x v="4"/>
    <n v="15"/>
  </r>
  <r>
    <x v="1325"/>
    <n v="1"/>
    <x v="4"/>
    <n v="22"/>
  </r>
  <r>
    <x v="1326"/>
    <n v="1"/>
    <x v="4"/>
    <n v="20"/>
  </r>
  <r>
    <x v="1327"/>
    <n v="1"/>
    <x v="4"/>
    <n v="19"/>
  </r>
  <r>
    <x v="1328"/>
    <n v="1"/>
    <x v="4"/>
    <n v="33"/>
  </r>
  <r>
    <x v="1329"/>
    <n v="1"/>
    <x v="4"/>
    <n v="19"/>
  </r>
  <r>
    <x v="1330"/>
    <n v="1"/>
    <x v="4"/>
    <n v="28"/>
  </r>
  <r>
    <x v="1331"/>
    <n v="1"/>
    <x v="4"/>
    <n v="15"/>
  </r>
  <r>
    <x v="1332"/>
    <n v="1"/>
    <x v="4"/>
    <n v="23"/>
  </r>
  <r>
    <x v="1333"/>
    <n v="1"/>
    <x v="4"/>
    <n v="23"/>
  </r>
  <r>
    <x v="1334"/>
    <n v="1"/>
    <x v="4"/>
    <n v="21"/>
  </r>
  <r>
    <x v="1335"/>
    <n v="1"/>
    <x v="4"/>
    <n v="30"/>
  </r>
  <r>
    <x v="1336"/>
    <n v="1"/>
    <x v="4"/>
    <n v="14"/>
  </r>
  <r>
    <x v="1337"/>
    <n v="1"/>
    <x v="4"/>
    <n v="14"/>
  </r>
  <r>
    <x v="1338"/>
    <n v="1"/>
    <x v="4"/>
    <n v="16"/>
  </r>
  <r>
    <x v="1339"/>
    <n v="1"/>
    <x v="4"/>
    <n v="12"/>
  </r>
  <r>
    <x v="1340"/>
    <n v="1"/>
    <x v="4"/>
    <n v="14"/>
  </r>
  <r>
    <x v="1341"/>
    <n v="1"/>
    <x v="4"/>
    <n v="22"/>
  </r>
  <r>
    <x v="1342"/>
    <n v="1"/>
    <x v="4"/>
    <n v="15"/>
  </r>
  <r>
    <x v="1343"/>
    <n v="1"/>
    <x v="4"/>
    <n v="20"/>
  </r>
  <r>
    <x v="1344"/>
    <n v="1"/>
    <x v="4"/>
    <n v="21"/>
  </r>
  <r>
    <x v="1345"/>
    <n v="1"/>
    <x v="4"/>
    <n v="16"/>
  </r>
  <r>
    <x v="1346"/>
    <n v="1"/>
    <x v="4"/>
    <n v="19"/>
  </r>
  <r>
    <x v="1347"/>
    <n v="1"/>
    <x v="4"/>
    <n v="28"/>
  </r>
  <r>
    <x v="1348"/>
    <n v="1"/>
    <x v="4"/>
    <n v="19"/>
  </r>
  <r>
    <x v="1349"/>
    <n v="1"/>
    <x v="4"/>
    <n v="26"/>
  </r>
  <r>
    <x v="1350"/>
    <n v="1"/>
    <x v="4"/>
    <n v="17"/>
  </r>
  <r>
    <x v="1351"/>
    <n v="1"/>
    <x v="4"/>
    <n v="19"/>
  </r>
  <r>
    <x v="1352"/>
    <n v="1"/>
    <x v="4"/>
    <n v="15"/>
  </r>
  <r>
    <x v="1353"/>
    <n v="1"/>
    <x v="4"/>
    <n v="24"/>
  </r>
  <r>
    <x v="1354"/>
    <n v="1"/>
    <x v="4"/>
    <n v="19"/>
  </r>
  <r>
    <x v="1355"/>
    <n v="1"/>
    <x v="4"/>
    <n v="22"/>
  </r>
  <r>
    <x v="1356"/>
    <n v="1"/>
    <x v="4"/>
    <n v="25"/>
  </r>
  <r>
    <x v="1357"/>
    <n v="1"/>
    <x v="4"/>
    <n v="14"/>
  </r>
  <r>
    <x v="1358"/>
    <n v="1"/>
    <x v="4"/>
    <n v="21"/>
  </r>
  <r>
    <x v="1359"/>
    <n v="1"/>
    <x v="4"/>
    <n v="18"/>
  </r>
  <r>
    <x v="1360"/>
    <n v="1"/>
    <x v="4"/>
    <n v="25"/>
  </r>
  <r>
    <x v="1361"/>
    <n v="1"/>
    <x v="4"/>
    <n v="19"/>
  </r>
  <r>
    <x v="1362"/>
    <n v="1"/>
    <x v="4"/>
    <n v="28"/>
  </r>
  <r>
    <x v="1363"/>
    <n v="1"/>
    <x v="4"/>
    <n v="18"/>
  </r>
  <r>
    <x v="1364"/>
    <n v="1"/>
    <x v="4"/>
    <n v="15"/>
  </r>
  <r>
    <x v="1365"/>
    <n v="1"/>
    <x v="4"/>
    <n v="23"/>
  </r>
  <r>
    <x v="1366"/>
    <n v="1"/>
    <x v="4"/>
    <n v="21"/>
  </r>
  <r>
    <x v="1367"/>
    <n v="1"/>
    <x v="4"/>
    <n v="12"/>
  </r>
  <r>
    <x v="1368"/>
    <n v="1"/>
    <x v="4"/>
    <n v="17"/>
  </r>
  <r>
    <x v="1369"/>
    <n v="1"/>
    <x v="4"/>
    <n v="18"/>
  </r>
  <r>
    <x v="1370"/>
    <n v="1"/>
    <x v="4"/>
    <n v="16"/>
  </r>
  <r>
    <x v="1371"/>
    <n v="1"/>
    <x v="4"/>
    <n v="10"/>
  </r>
  <r>
    <x v="1372"/>
    <n v="1"/>
    <x v="4"/>
    <n v="22"/>
  </r>
  <r>
    <x v="1373"/>
    <n v="1"/>
    <x v="4"/>
    <n v="8"/>
  </r>
  <r>
    <x v="1374"/>
    <n v="1"/>
    <x v="4"/>
    <n v="20"/>
  </r>
  <r>
    <x v="1375"/>
    <n v="1"/>
    <x v="4"/>
    <n v="21"/>
  </r>
  <r>
    <x v="1376"/>
    <n v="1"/>
    <x v="4"/>
    <n v="24"/>
  </r>
  <r>
    <x v="1377"/>
    <n v="1"/>
    <x v="4"/>
    <n v="27"/>
  </r>
  <r>
    <x v="1378"/>
    <n v="1"/>
    <x v="4"/>
    <n v="12"/>
  </r>
  <r>
    <x v="1379"/>
    <n v="1"/>
    <x v="4"/>
    <n v="16"/>
  </r>
  <r>
    <x v="1380"/>
    <n v="1"/>
    <x v="4"/>
    <n v="17"/>
  </r>
  <r>
    <x v="1381"/>
    <n v="1"/>
    <x v="4"/>
    <n v="18"/>
  </r>
  <r>
    <x v="1382"/>
    <n v="1"/>
    <x v="4"/>
    <n v="13"/>
  </r>
  <r>
    <x v="1383"/>
    <n v="1"/>
    <x v="4"/>
    <n v="15"/>
  </r>
  <r>
    <x v="1384"/>
    <n v="1"/>
    <x v="4"/>
    <n v="21"/>
  </r>
  <r>
    <x v="1385"/>
    <n v="1"/>
    <x v="4"/>
    <n v="19"/>
  </r>
  <r>
    <x v="1386"/>
    <n v="1"/>
    <x v="4"/>
    <n v="16"/>
  </r>
  <r>
    <x v="1387"/>
    <n v="1"/>
    <x v="4"/>
    <n v="20"/>
  </r>
  <r>
    <x v="1388"/>
    <n v="1"/>
    <x v="4"/>
    <n v="13"/>
  </r>
  <r>
    <x v="1389"/>
    <n v="1"/>
    <x v="4"/>
    <n v="22"/>
  </r>
  <r>
    <x v="1390"/>
    <n v="1"/>
    <x v="4"/>
    <n v="15"/>
  </r>
  <r>
    <x v="1391"/>
    <n v="1"/>
    <x v="4"/>
    <n v="26"/>
  </r>
  <r>
    <x v="1392"/>
    <n v="1"/>
    <x v="4"/>
    <n v="15"/>
  </r>
  <r>
    <x v="1393"/>
    <n v="1"/>
    <x v="4"/>
    <n v="19"/>
  </r>
  <r>
    <x v="1394"/>
    <n v="1"/>
    <x v="4"/>
    <n v="16"/>
  </r>
  <r>
    <x v="1395"/>
    <n v="1"/>
    <x v="4"/>
    <n v="22"/>
  </r>
  <r>
    <x v="1396"/>
    <n v="1"/>
    <x v="4"/>
    <n v="26"/>
  </r>
  <r>
    <x v="1397"/>
    <n v="1"/>
    <x v="4"/>
    <n v="25"/>
  </r>
  <r>
    <x v="1398"/>
    <n v="1"/>
    <x v="4"/>
    <n v="16"/>
  </r>
  <r>
    <x v="1399"/>
    <n v="1"/>
    <x v="4"/>
    <n v="17"/>
  </r>
  <r>
    <x v="1400"/>
    <n v="1"/>
    <x v="4"/>
    <n v="17"/>
  </r>
  <r>
    <x v="1401"/>
    <n v="1"/>
    <x v="4"/>
    <n v="24"/>
  </r>
  <r>
    <x v="1402"/>
    <n v="1"/>
    <x v="4"/>
    <n v="25"/>
  </r>
  <r>
    <x v="1403"/>
    <n v="1"/>
    <x v="4"/>
    <n v="21"/>
  </r>
  <r>
    <x v="1404"/>
    <n v="1"/>
    <x v="4"/>
    <n v="18"/>
  </r>
  <r>
    <x v="1405"/>
    <n v="1"/>
    <x v="4"/>
    <n v="23"/>
  </r>
  <r>
    <x v="1406"/>
    <n v="1"/>
    <x v="4"/>
    <n v="20"/>
  </r>
  <r>
    <x v="1407"/>
    <n v="1"/>
    <x v="4"/>
    <n v="12"/>
  </r>
  <r>
    <x v="1408"/>
    <n v="1"/>
    <x v="4"/>
    <n v="13"/>
  </r>
  <r>
    <x v="1409"/>
    <n v="1"/>
    <x v="4"/>
    <n v="17"/>
  </r>
  <r>
    <x v="1410"/>
    <n v="1"/>
    <x v="4"/>
    <n v="24"/>
  </r>
  <r>
    <x v="1411"/>
    <n v="1"/>
    <x v="4"/>
    <n v="19"/>
  </r>
  <r>
    <x v="1412"/>
    <n v="1"/>
    <x v="4"/>
    <n v="21"/>
  </r>
  <r>
    <x v="1413"/>
    <n v="1"/>
    <x v="4"/>
    <n v="9"/>
  </r>
  <r>
    <x v="1414"/>
    <n v="1"/>
    <x v="4"/>
    <n v="18"/>
  </r>
  <r>
    <x v="1415"/>
    <n v="1"/>
    <x v="4"/>
    <n v="17"/>
  </r>
  <r>
    <x v="1416"/>
    <n v="1"/>
    <x v="4"/>
    <n v="14"/>
  </r>
  <r>
    <x v="1417"/>
    <n v="1"/>
    <x v="4"/>
    <n v="21"/>
  </r>
  <r>
    <x v="1418"/>
    <n v="1"/>
    <x v="4"/>
    <n v="17"/>
  </r>
  <r>
    <x v="1419"/>
    <n v="1"/>
    <x v="4"/>
    <n v="19"/>
  </r>
  <r>
    <x v="1420"/>
    <n v="1"/>
    <x v="4"/>
    <n v="11"/>
  </r>
  <r>
    <x v="1421"/>
    <n v="1"/>
    <x v="4"/>
    <n v="19"/>
  </r>
  <r>
    <x v="1422"/>
    <n v="1"/>
    <x v="4"/>
    <n v="17"/>
  </r>
  <r>
    <x v="1423"/>
    <n v="1"/>
    <x v="4"/>
    <n v="28"/>
  </r>
  <r>
    <x v="1424"/>
    <n v="1"/>
    <x v="4"/>
    <n v="19"/>
  </r>
  <r>
    <x v="1425"/>
    <n v="1"/>
    <x v="4"/>
    <n v="20"/>
  </r>
  <r>
    <x v="1426"/>
    <n v="1"/>
    <x v="4"/>
    <n v="19"/>
  </r>
  <r>
    <x v="1427"/>
    <n v="1"/>
    <x v="4"/>
    <n v="16"/>
  </r>
  <r>
    <x v="1428"/>
    <n v="1"/>
    <x v="4"/>
    <n v="21"/>
  </r>
  <r>
    <x v="1429"/>
    <n v="1"/>
    <x v="4"/>
    <n v="20"/>
  </r>
  <r>
    <x v="1430"/>
    <n v="1"/>
    <x v="4"/>
    <n v="19"/>
  </r>
  <r>
    <x v="1431"/>
    <n v="1"/>
    <x v="4"/>
    <n v="17"/>
  </r>
  <r>
    <x v="1432"/>
    <n v="1"/>
    <x v="4"/>
    <n v="15"/>
  </r>
  <r>
    <x v="1433"/>
    <n v="1"/>
    <x v="4"/>
    <n v="22"/>
  </r>
  <r>
    <x v="1434"/>
    <n v="1"/>
    <x v="4"/>
    <n v="14"/>
  </r>
  <r>
    <x v="1435"/>
    <n v="1"/>
    <x v="4"/>
    <n v="13"/>
  </r>
  <r>
    <x v="1436"/>
    <n v="1"/>
    <x v="4"/>
    <n v="14"/>
  </r>
  <r>
    <x v="1437"/>
    <n v="1"/>
    <x v="4"/>
    <n v="13"/>
  </r>
  <r>
    <x v="1438"/>
    <n v="1"/>
    <x v="4"/>
    <n v="11"/>
  </r>
  <r>
    <x v="1439"/>
    <n v="1"/>
    <x v="4"/>
    <n v="15"/>
  </r>
  <r>
    <x v="1440"/>
    <n v="1"/>
    <x v="4"/>
    <n v="22"/>
  </r>
  <r>
    <x v="1441"/>
    <n v="1"/>
    <x v="4"/>
    <n v="9"/>
  </r>
  <r>
    <x v="1442"/>
    <n v="1"/>
    <x v="4"/>
    <n v="4"/>
  </r>
  <r>
    <x v="1443"/>
    <n v="1"/>
    <x v="4"/>
    <n v="18"/>
  </r>
  <r>
    <x v="1444"/>
    <n v="1"/>
    <x v="4"/>
    <n v="8"/>
  </r>
  <r>
    <x v="1445"/>
    <n v="1"/>
    <x v="4"/>
    <n v="12"/>
  </r>
  <r>
    <x v="1446"/>
    <n v="1"/>
    <x v="4"/>
    <n v="17"/>
  </r>
  <r>
    <x v="1447"/>
    <n v="1"/>
    <x v="4"/>
    <n v="16"/>
  </r>
  <r>
    <x v="1448"/>
    <n v="1"/>
    <x v="4"/>
    <n v="9"/>
  </r>
  <r>
    <x v="1449"/>
    <n v="1"/>
    <x v="4"/>
    <n v="15"/>
  </r>
  <r>
    <x v="1450"/>
    <n v="1"/>
    <x v="4"/>
    <n v="8"/>
  </r>
  <r>
    <x v="1451"/>
    <n v="1"/>
    <x v="4"/>
    <n v="11"/>
  </r>
  <r>
    <x v="1452"/>
    <n v="1"/>
    <x v="4"/>
    <n v="18"/>
  </r>
  <r>
    <x v="1453"/>
    <n v="1"/>
    <x v="4"/>
    <n v="23"/>
  </r>
  <r>
    <x v="1454"/>
    <n v="1"/>
    <x v="4"/>
    <n v="11"/>
  </r>
  <r>
    <x v="1455"/>
    <n v="1"/>
    <x v="4"/>
    <n v="15"/>
  </r>
  <r>
    <x v="1456"/>
    <n v="1"/>
    <x v="4"/>
    <n v="12"/>
  </r>
  <r>
    <x v="1457"/>
    <n v="1"/>
    <x v="4"/>
    <n v="19"/>
  </r>
  <r>
    <x v="1458"/>
    <n v="1"/>
    <x v="4"/>
    <n v="12"/>
  </r>
  <r>
    <x v="1459"/>
    <n v="1"/>
    <x v="4"/>
    <n v="11"/>
  </r>
  <r>
    <x v="1460"/>
    <n v="1"/>
    <x v="4"/>
    <n v="17"/>
  </r>
  <r>
    <x v="1461"/>
    <n v="1"/>
    <x v="4"/>
    <n v="25"/>
  </r>
  <r>
    <x v="1462"/>
    <n v="1"/>
    <x v="4"/>
    <n v="14"/>
  </r>
  <r>
    <x v="1463"/>
    <n v="1"/>
    <x v="4"/>
    <n v="13"/>
  </r>
  <r>
    <x v="1464"/>
    <n v="1"/>
    <x v="4"/>
    <n v="15"/>
  </r>
  <r>
    <x v="1465"/>
    <n v="1"/>
    <x v="4"/>
    <n v="15"/>
  </r>
  <r>
    <x v="1466"/>
    <n v="1"/>
    <x v="4"/>
    <n v="18"/>
  </r>
  <r>
    <x v="1467"/>
    <n v="1"/>
    <x v="4"/>
    <n v="15"/>
  </r>
  <r>
    <x v="1468"/>
    <n v="1"/>
    <x v="4"/>
    <n v="12"/>
  </r>
  <r>
    <x v="1469"/>
    <n v="1"/>
    <x v="4"/>
    <n v="17"/>
  </r>
  <r>
    <x v="1470"/>
    <n v="1"/>
    <x v="4"/>
    <n v="11"/>
  </r>
  <r>
    <x v="1471"/>
    <n v="1"/>
    <x v="4"/>
    <n v="16"/>
  </r>
  <r>
    <x v="1472"/>
    <n v="1"/>
    <x v="4"/>
    <n v="8"/>
  </r>
  <r>
    <x v="1473"/>
    <n v="1"/>
    <x v="4"/>
    <n v="10"/>
  </r>
  <r>
    <x v="1474"/>
    <n v="1"/>
    <x v="4"/>
    <n v="15"/>
  </r>
  <r>
    <x v="1475"/>
    <n v="1"/>
    <x v="4"/>
    <n v="15"/>
  </r>
  <r>
    <x v="1476"/>
    <n v="1"/>
    <x v="4"/>
    <n v="7"/>
  </r>
  <r>
    <x v="1477"/>
    <n v="1"/>
    <x v="4"/>
    <n v="16"/>
  </r>
  <r>
    <x v="1478"/>
    <n v="1"/>
    <x v="4"/>
    <n v="14"/>
  </r>
  <r>
    <x v="1479"/>
    <n v="1"/>
    <x v="4"/>
    <n v="17"/>
  </r>
  <r>
    <x v="1480"/>
    <n v="1"/>
    <x v="4"/>
    <n v="16"/>
  </r>
  <r>
    <x v="1481"/>
    <n v="1"/>
    <x v="4"/>
    <n v="12"/>
  </r>
  <r>
    <x v="1482"/>
    <n v="1"/>
    <x v="4"/>
    <n v="9"/>
  </r>
  <r>
    <x v="1483"/>
    <n v="1"/>
    <x v="4"/>
    <n v="11"/>
  </r>
  <r>
    <x v="1484"/>
    <n v="1"/>
    <x v="4"/>
    <n v="14"/>
  </r>
  <r>
    <x v="1485"/>
    <n v="1"/>
    <x v="4"/>
    <n v="10"/>
  </r>
  <r>
    <x v="1486"/>
    <n v="1"/>
    <x v="4"/>
    <n v="14"/>
  </r>
  <r>
    <x v="1487"/>
    <n v="1"/>
    <x v="4"/>
    <n v="12"/>
  </r>
  <r>
    <x v="1488"/>
    <n v="1"/>
    <x v="4"/>
    <n v="10"/>
  </r>
  <r>
    <x v="1489"/>
    <n v="1"/>
    <x v="4"/>
    <n v="14"/>
  </r>
  <r>
    <x v="1490"/>
    <n v="1"/>
    <x v="4"/>
    <n v="4"/>
  </r>
  <r>
    <x v="1491"/>
    <n v="1"/>
    <x v="4"/>
    <n v="8"/>
  </r>
  <r>
    <x v="1492"/>
    <n v="1"/>
    <x v="4"/>
    <n v="19"/>
  </r>
  <r>
    <x v="1493"/>
    <n v="1"/>
    <x v="4"/>
    <n v="10"/>
  </r>
  <r>
    <x v="1494"/>
    <n v="1"/>
    <x v="4"/>
    <n v="12"/>
  </r>
  <r>
    <x v="1495"/>
    <n v="1"/>
    <x v="4"/>
    <n v="14"/>
  </r>
  <r>
    <x v="1496"/>
    <n v="1"/>
    <x v="4"/>
    <n v="13"/>
  </r>
  <r>
    <x v="1497"/>
    <n v="1"/>
    <x v="4"/>
    <n v="17"/>
  </r>
  <r>
    <x v="1498"/>
    <n v="1"/>
    <x v="4"/>
    <n v="19"/>
  </r>
  <r>
    <x v="1499"/>
    <n v="1"/>
    <x v="4"/>
    <n v="14"/>
  </r>
  <r>
    <x v="1500"/>
    <n v="1"/>
    <x v="4"/>
    <n v="14"/>
  </r>
  <r>
    <x v="1501"/>
    <n v="1"/>
    <x v="4"/>
    <n v="6"/>
  </r>
  <r>
    <x v="1502"/>
    <n v="1"/>
    <x v="4"/>
    <n v="20"/>
  </r>
  <r>
    <x v="1503"/>
    <n v="1"/>
    <x v="4"/>
    <n v="21"/>
  </r>
  <r>
    <x v="1504"/>
    <n v="1"/>
    <x v="4"/>
    <n v="9"/>
  </r>
  <r>
    <x v="1505"/>
    <n v="1"/>
    <x v="4"/>
    <n v="7"/>
  </r>
  <r>
    <x v="1506"/>
    <n v="1"/>
    <x v="4"/>
    <n v="13"/>
  </r>
  <r>
    <x v="1507"/>
    <n v="1"/>
    <x v="4"/>
    <n v="10"/>
  </r>
  <r>
    <x v="1508"/>
    <n v="1"/>
    <x v="4"/>
    <n v="26"/>
  </r>
  <r>
    <x v="1509"/>
    <n v="1"/>
    <x v="4"/>
    <n v="26"/>
  </r>
  <r>
    <x v="1510"/>
    <n v="1"/>
    <x v="4"/>
    <n v="19"/>
  </r>
  <r>
    <x v="1511"/>
    <n v="1"/>
    <x v="4"/>
    <n v="9"/>
  </r>
  <r>
    <x v="1512"/>
    <n v="1"/>
    <x v="4"/>
    <n v="17"/>
  </r>
  <r>
    <x v="1513"/>
    <n v="1"/>
    <x v="4"/>
    <n v="16"/>
  </r>
  <r>
    <x v="1514"/>
    <n v="1"/>
    <x v="4"/>
    <n v="11"/>
  </r>
  <r>
    <x v="1515"/>
    <n v="1"/>
    <x v="4"/>
    <n v="22"/>
  </r>
  <r>
    <x v="1516"/>
    <n v="1"/>
    <x v="4"/>
    <n v="22"/>
  </r>
  <r>
    <x v="1517"/>
    <n v="1"/>
    <x v="4"/>
    <n v="17"/>
  </r>
  <r>
    <x v="1518"/>
    <n v="1"/>
    <x v="4"/>
    <n v="14"/>
  </r>
  <r>
    <x v="1519"/>
    <n v="1"/>
    <x v="4"/>
    <n v="15"/>
  </r>
  <r>
    <x v="1520"/>
    <n v="1"/>
    <x v="4"/>
    <n v="17"/>
  </r>
  <r>
    <x v="1521"/>
    <n v="1"/>
    <x v="4"/>
    <n v="16"/>
  </r>
  <r>
    <x v="1522"/>
    <n v="1"/>
    <x v="4"/>
    <n v="14"/>
  </r>
  <r>
    <x v="1523"/>
    <n v="1"/>
    <x v="4"/>
    <n v="17"/>
  </r>
  <r>
    <x v="1524"/>
    <n v="1"/>
    <x v="4"/>
    <n v="26"/>
  </r>
  <r>
    <x v="1525"/>
    <n v="1"/>
    <x v="4"/>
    <n v="5"/>
  </r>
  <r>
    <x v="1526"/>
    <n v="1"/>
    <x v="4"/>
    <n v="9"/>
  </r>
  <r>
    <x v="1527"/>
    <n v="1"/>
    <x v="4"/>
    <n v="16"/>
  </r>
  <r>
    <x v="1528"/>
    <n v="1"/>
    <x v="4"/>
    <n v="19"/>
  </r>
  <r>
    <x v="1529"/>
    <n v="1"/>
    <x v="4"/>
    <n v="28"/>
  </r>
  <r>
    <x v="1530"/>
    <n v="1"/>
    <x v="4"/>
    <n v="20"/>
  </r>
  <r>
    <x v="1531"/>
    <n v="1"/>
    <x v="4"/>
    <n v="16"/>
  </r>
  <r>
    <x v="1532"/>
    <n v="1"/>
    <x v="4"/>
    <n v="9"/>
  </r>
  <r>
    <x v="1533"/>
    <n v="1"/>
    <x v="4"/>
    <n v="10"/>
  </r>
  <r>
    <x v="1534"/>
    <n v="1"/>
    <x v="4"/>
    <n v="15"/>
  </r>
  <r>
    <x v="1535"/>
    <n v="1"/>
    <x v="4"/>
    <n v="16"/>
  </r>
  <r>
    <x v="1536"/>
    <n v="1"/>
    <x v="4"/>
    <n v="16"/>
  </r>
  <r>
    <x v="1537"/>
    <n v="1"/>
    <x v="4"/>
    <n v="20"/>
  </r>
  <r>
    <x v="1538"/>
    <n v="1"/>
    <x v="4"/>
    <n v="14"/>
  </r>
  <r>
    <x v="1539"/>
    <n v="1"/>
    <x v="4"/>
    <n v="13"/>
  </r>
  <r>
    <x v="1540"/>
    <n v="1"/>
    <x v="4"/>
    <n v="18"/>
  </r>
  <r>
    <x v="1541"/>
    <n v="1"/>
    <x v="4"/>
    <n v="19"/>
  </r>
  <r>
    <x v="1542"/>
    <n v="1"/>
    <x v="4"/>
    <n v="16"/>
  </r>
  <r>
    <x v="1543"/>
    <n v="1"/>
    <x v="4"/>
    <n v="16"/>
  </r>
  <r>
    <x v="1544"/>
    <n v="1"/>
    <x v="4"/>
    <n v="19"/>
  </r>
  <r>
    <x v="1545"/>
    <n v="1"/>
    <x v="4"/>
    <n v="22"/>
  </r>
  <r>
    <x v="1546"/>
    <n v="1"/>
    <x v="4"/>
    <n v="15"/>
  </r>
  <r>
    <x v="1547"/>
    <n v="1"/>
    <x v="4"/>
    <n v="12"/>
  </r>
  <r>
    <x v="1548"/>
    <n v="1"/>
    <x v="4"/>
    <n v="10"/>
  </r>
  <r>
    <x v="1549"/>
    <n v="1"/>
    <x v="4"/>
    <n v="25"/>
  </r>
  <r>
    <x v="1550"/>
    <n v="1"/>
    <x v="4"/>
    <n v="24"/>
  </r>
  <r>
    <x v="1551"/>
    <n v="1"/>
    <x v="4"/>
    <n v="26"/>
  </r>
  <r>
    <x v="1552"/>
    <n v="1"/>
    <x v="4"/>
    <n v="32"/>
  </r>
  <r>
    <x v="1553"/>
    <n v="1"/>
    <x v="4"/>
    <n v="18"/>
  </r>
  <r>
    <x v="1554"/>
    <n v="1"/>
    <x v="4"/>
    <n v="21"/>
  </r>
  <r>
    <x v="1555"/>
    <n v="1"/>
    <x v="4"/>
    <n v="17"/>
  </r>
  <r>
    <x v="1556"/>
    <n v="1"/>
    <x v="4"/>
    <n v="19"/>
  </r>
  <r>
    <x v="1557"/>
    <n v="1"/>
    <x v="4"/>
    <n v="15"/>
  </r>
  <r>
    <x v="1558"/>
    <n v="1"/>
    <x v="4"/>
    <n v="25"/>
  </r>
  <r>
    <x v="1559"/>
    <n v="1"/>
    <x v="4"/>
    <n v="24"/>
  </r>
  <r>
    <x v="1560"/>
    <n v="1"/>
    <x v="4"/>
    <n v="9"/>
  </r>
  <r>
    <x v="1561"/>
    <n v="1"/>
    <x v="4"/>
    <n v="19"/>
  </r>
  <r>
    <x v="1562"/>
    <n v="1"/>
    <x v="4"/>
    <n v="22"/>
  </r>
  <r>
    <x v="1563"/>
    <n v="1"/>
    <x v="4"/>
    <n v="26"/>
  </r>
  <r>
    <x v="1564"/>
    <n v="1"/>
    <x v="4"/>
    <n v="20"/>
  </r>
  <r>
    <x v="1565"/>
    <n v="1"/>
    <x v="4"/>
    <n v="26"/>
  </r>
  <r>
    <x v="1566"/>
    <n v="1"/>
    <x v="4"/>
    <n v="29"/>
  </r>
  <r>
    <x v="1567"/>
    <n v="1"/>
    <x v="4"/>
    <n v="11"/>
  </r>
  <r>
    <x v="1568"/>
    <n v="1"/>
    <x v="4"/>
    <n v="20"/>
  </r>
  <r>
    <x v="1569"/>
    <n v="1"/>
    <x v="4"/>
    <n v="23"/>
  </r>
  <r>
    <x v="1570"/>
    <n v="1"/>
    <x v="4"/>
    <n v="19"/>
  </r>
  <r>
    <x v="1571"/>
    <n v="1"/>
    <x v="4"/>
    <n v="20"/>
  </r>
  <r>
    <x v="1572"/>
    <n v="1"/>
    <x v="4"/>
    <n v="22"/>
  </r>
  <r>
    <x v="1573"/>
    <n v="1"/>
    <x v="4"/>
    <n v="28"/>
  </r>
  <r>
    <x v="1574"/>
    <n v="1"/>
    <x v="4"/>
    <n v="15"/>
  </r>
  <r>
    <x v="1575"/>
    <n v="1"/>
    <x v="4"/>
    <n v="19"/>
  </r>
  <r>
    <x v="1576"/>
    <n v="1"/>
    <x v="4"/>
    <n v="24"/>
  </r>
  <r>
    <x v="1577"/>
    <n v="1"/>
    <x v="4"/>
    <n v="21"/>
  </r>
  <r>
    <x v="1578"/>
    <n v="1"/>
    <x v="4"/>
    <n v="20"/>
  </r>
  <r>
    <x v="1579"/>
    <n v="1"/>
    <x v="4"/>
    <n v="21"/>
  </r>
  <r>
    <x v="1580"/>
    <n v="1"/>
    <x v="4"/>
    <n v="22"/>
  </r>
  <r>
    <x v="1581"/>
    <n v="1"/>
    <x v="4"/>
    <n v="12"/>
  </r>
  <r>
    <x v="1582"/>
    <n v="1"/>
    <x v="4"/>
    <n v="17"/>
  </r>
  <r>
    <x v="1583"/>
    <n v="1"/>
    <x v="4"/>
    <n v="19"/>
  </r>
  <r>
    <x v="1584"/>
    <n v="1"/>
    <x v="4"/>
    <n v="22"/>
  </r>
  <r>
    <x v="1585"/>
    <n v="1"/>
    <x v="4"/>
    <n v="21"/>
  </r>
  <r>
    <x v="1586"/>
    <n v="1"/>
    <x v="4"/>
    <n v="16"/>
  </r>
  <r>
    <x v="1587"/>
    <n v="1"/>
    <x v="4"/>
    <n v="25"/>
  </r>
  <r>
    <x v="1588"/>
    <n v="1"/>
    <x v="4"/>
    <n v="21"/>
  </r>
  <r>
    <x v="1589"/>
    <n v="1"/>
    <x v="4"/>
    <n v="18"/>
  </r>
  <r>
    <x v="1590"/>
    <n v="1"/>
    <x v="4"/>
    <n v="18"/>
  </r>
  <r>
    <x v="1591"/>
    <n v="1"/>
    <x v="4"/>
    <n v="21"/>
  </r>
  <r>
    <x v="1592"/>
    <n v="1"/>
    <x v="4"/>
    <n v="24"/>
  </r>
  <r>
    <x v="1593"/>
    <n v="1"/>
    <x v="4"/>
    <n v="21"/>
  </r>
  <r>
    <x v="1594"/>
    <n v="1"/>
    <x v="4"/>
    <n v="30"/>
  </r>
  <r>
    <x v="1595"/>
    <n v="1"/>
    <x v="4"/>
    <n v="17"/>
  </r>
  <r>
    <x v="1596"/>
    <n v="1"/>
    <x v="4"/>
    <n v="21"/>
  </r>
  <r>
    <x v="1597"/>
    <n v="1"/>
    <x v="4"/>
    <n v="18"/>
  </r>
  <r>
    <x v="1598"/>
    <n v="1"/>
    <x v="4"/>
    <n v="21"/>
  </r>
  <r>
    <x v="1599"/>
    <n v="1"/>
    <x v="4"/>
    <n v="21"/>
  </r>
  <r>
    <x v="1600"/>
    <n v="1"/>
    <x v="4"/>
    <n v="32"/>
  </r>
  <r>
    <x v="1601"/>
    <n v="1"/>
    <x v="4"/>
    <n v="28"/>
  </r>
  <r>
    <x v="1602"/>
    <n v="1"/>
    <x v="4"/>
    <n v="22"/>
  </r>
  <r>
    <x v="1603"/>
    <n v="1"/>
    <x v="4"/>
    <n v="20"/>
  </r>
  <r>
    <x v="1604"/>
    <n v="1"/>
    <x v="4"/>
    <n v="25"/>
  </r>
  <r>
    <x v="1605"/>
    <n v="1"/>
    <x v="4"/>
    <n v="14"/>
  </r>
  <r>
    <x v="1606"/>
    <n v="1"/>
    <x v="4"/>
    <n v="19"/>
  </r>
  <r>
    <x v="1607"/>
    <n v="1"/>
    <x v="4"/>
    <n v="23"/>
  </r>
  <r>
    <x v="1608"/>
    <n v="1"/>
    <x v="4"/>
    <n v="23"/>
  </r>
  <r>
    <x v="1609"/>
    <n v="1"/>
    <x v="4"/>
    <n v="17"/>
  </r>
  <r>
    <x v="1610"/>
    <n v="1"/>
    <x v="4"/>
    <n v="20"/>
  </r>
  <r>
    <x v="1611"/>
    <n v="1"/>
    <x v="4"/>
    <n v="27"/>
  </r>
  <r>
    <x v="1612"/>
    <n v="1"/>
    <x v="4"/>
    <n v="27"/>
  </r>
  <r>
    <x v="1613"/>
    <n v="1"/>
    <x v="4"/>
    <n v="19"/>
  </r>
  <r>
    <x v="1614"/>
    <n v="1"/>
    <x v="4"/>
    <n v="27"/>
  </r>
  <r>
    <x v="1615"/>
    <n v="1"/>
    <x v="4"/>
    <n v="36"/>
  </r>
  <r>
    <x v="1616"/>
    <n v="1"/>
    <x v="4"/>
    <n v="21"/>
  </r>
  <r>
    <x v="1617"/>
    <n v="1"/>
    <x v="4"/>
    <n v="20"/>
  </r>
  <r>
    <x v="1618"/>
    <n v="1"/>
    <x v="4"/>
    <n v="21"/>
  </r>
  <r>
    <x v="1619"/>
    <n v="1"/>
    <x v="4"/>
    <n v="24"/>
  </r>
  <r>
    <x v="1620"/>
    <n v="1"/>
    <x v="4"/>
    <n v="24"/>
  </r>
  <r>
    <x v="1621"/>
    <n v="1"/>
    <x v="4"/>
    <n v="27"/>
  </r>
  <r>
    <x v="1622"/>
    <n v="1"/>
    <x v="4"/>
    <n v="25"/>
  </r>
  <r>
    <x v="1623"/>
    <n v="1"/>
    <x v="4"/>
    <n v="25"/>
  </r>
  <r>
    <x v="1624"/>
    <n v="1"/>
    <x v="4"/>
    <n v="32"/>
  </r>
  <r>
    <x v="1625"/>
    <n v="1"/>
    <x v="4"/>
    <n v="21"/>
  </r>
  <r>
    <x v="1626"/>
    <n v="1"/>
    <x v="4"/>
    <n v="22"/>
  </r>
  <r>
    <x v="1627"/>
    <n v="1"/>
    <x v="4"/>
    <n v="33"/>
  </r>
  <r>
    <x v="1628"/>
    <n v="1"/>
    <x v="4"/>
    <n v="23"/>
  </r>
  <r>
    <x v="1629"/>
    <n v="1"/>
    <x v="4"/>
    <n v="20"/>
  </r>
  <r>
    <x v="1630"/>
    <n v="1"/>
    <x v="4"/>
    <n v="19"/>
  </r>
  <r>
    <x v="1631"/>
    <n v="1"/>
    <x v="4"/>
    <n v="24"/>
  </r>
  <r>
    <x v="1632"/>
    <n v="1"/>
    <x v="4"/>
    <n v="17"/>
  </r>
  <r>
    <x v="1633"/>
    <n v="1"/>
    <x v="4"/>
    <n v="20"/>
  </r>
  <r>
    <x v="1634"/>
    <n v="1"/>
    <x v="4"/>
    <n v="24"/>
  </r>
  <r>
    <x v="1635"/>
    <n v="1"/>
    <x v="4"/>
    <n v="20"/>
  </r>
  <r>
    <x v="1636"/>
    <n v="1"/>
    <x v="4"/>
    <n v="24"/>
  </r>
  <r>
    <x v="1637"/>
    <n v="1"/>
    <x v="4"/>
    <n v="16"/>
  </r>
  <r>
    <x v="1638"/>
    <n v="1"/>
    <x v="4"/>
    <n v="16"/>
  </r>
  <r>
    <x v="1639"/>
    <n v="1"/>
    <x v="4"/>
    <n v="14"/>
  </r>
  <r>
    <x v="1640"/>
    <n v="1"/>
    <x v="4"/>
    <n v="23"/>
  </r>
  <r>
    <x v="1641"/>
    <n v="1"/>
    <x v="4"/>
    <n v="22"/>
  </r>
  <r>
    <x v="1642"/>
    <n v="1"/>
    <x v="4"/>
    <n v="26"/>
  </r>
  <r>
    <x v="1643"/>
    <n v="1"/>
    <x v="4"/>
    <n v="26"/>
  </r>
  <r>
    <x v="1644"/>
    <n v="1"/>
    <x v="4"/>
    <n v="18"/>
  </r>
  <r>
    <x v="1645"/>
    <n v="1"/>
    <x v="4"/>
    <n v="23"/>
  </r>
  <r>
    <x v="1646"/>
    <n v="1"/>
    <x v="4"/>
    <n v="22"/>
  </r>
  <r>
    <x v="1647"/>
    <n v="1"/>
    <x v="4"/>
    <n v="26"/>
  </r>
  <r>
    <x v="1648"/>
    <n v="1"/>
    <x v="4"/>
    <n v="21"/>
  </r>
  <r>
    <x v="1649"/>
    <n v="1"/>
    <x v="4"/>
    <n v="25"/>
  </r>
  <r>
    <x v="1650"/>
    <n v="1"/>
    <x v="4"/>
    <n v="23"/>
  </r>
  <r>
    <x v="1651"/>
    <n v="1"/>
    <x v="4"/>
    <n v="18"/>
  </r>
  <r>
    <x v="1652"/>
    <n v="1"/>
    <x v="4"/>
    <n v="12"/>
  </r>
  <r>
    <x v="1653"/>
    <n v="1"/>
    <x v="4"/>
    <n v="22"/>
  </r>
  <r>
    <x v="1654"/>
    <n v="1"/>
    <x v="4"/>
    <n v="23"/>
  </r>
  <r>
    <x v="1655"/>
    <n v="1"/>
    <x v="4"/>
    <n v="20"/>
  </r>
  <r>
    <x v="1656"/>
    <n v="1"/>
    <x v="4"/>
    <n v="37"/>
  </r>
  <r>
    <x v="1657"/>
    <n v="1"/>
    <x v="4"/>
    <n v="25"/>
  </r>
  <r>
    <x v="1658"/>
    <n v="1"/>
    <x v="4"/>
    <n v="21"/>
  </r>
  <r>
    <x v="1659"/>
    <n v="1"/>
    <x v="4"/>
    <n v="19"/>
  </r>
  <r>
    <x v="1660"/>
    <n v="1"/>
    <x v="4"/>
    <n v="16"/>
  </r>
  <r>
    <x v="1661"/>
    <n v="1"/>
    <x v="4"/>
    <n v="29"/>
  </r>
  <r>
    <x v="1662"/>
    <n v="1"/>
    <x v="4"/>
    <n v="17"/>
  </r>
  <r>
    <x v="1663"/>
    <n v="1"/>
    <x v="4"/>
    <n v="26"/>
  </r>
  <r>
    <x v="1664"/>
    <n v="1"/>
    <x v="4"/>
    <n v="21"/>
  </r>
  <r>
    <x v="1665"/>
    <n v="1"/>
    <x v="4"/>
    <n v="23"/>
  </r>
  <r>
    <x v="1666"/>
    <n v="1"/>
    <x v="4"/>
    <n v="25"/>
  </r>
  <r>
    <x v="1667"/>
    <n v="1"/>
    <x v="4"/>
    <n v="22"/>
  </r>
  <r>
    <x v="1668"/>
    <n v="1"/>
    <x v="4"/>
    <n v="25"/>
  </r>
  <r>
    <x v="1669"/>
    <n v="1"/>
    <x v="4"/>
    <n v="28"/>
  </r>
  <r>
    <x v="1670"/>
    <n v="1"/>
    <x v="4"/>
    <n v="27"/>
  </r>
  <r>
    <x v="1671"/>
    <n v="1"/>
    <x v="4"/>
    <n v="22"/>
  </r>
  <r>
    <x v="1672"/>
    <n v="1"/>
    <x v="4"/>
    <n v="11"/>
  </r>
  <r>
    <x v="1673"/>
    <n v="1"/>
    <x v="4"/>
    <n v="18"/>
  </r>
  <r>
    <x v="1674"/>
    <n v="1"/>
    <x v="4"/>
    <n v="13"/>
  </r>
  <r>
    <x v="1675"/>
    <n v="1"/>
    <x v="4"/>
    <n v="22"/>
  </r>
  <r>
    <x v="1676"/>
    <n v="1"/>
    <x v="4"/>
    <n v="21"/>
  </r>
  <r>
    <x v="1677"/>
    <n v="1"/>
    <x v="4"/>
    <n v="18"/>
  </r>
  <r>
    <x v="1678"/>
    <n v="1"/>
    <x v="4"/>
    <n v="21"/>
  </r>
  <r>
    <x v="1679"/>
    <n v="1"/>
    <x v="4"/>
    <n v="15"/>
  </r>
  <r>
    <x v="1680"/>
    <n v="1"/>
    <x v="4"/>
    <n v="16"/>
  </r>
  <r>
    <x v="1681"/>
    <n v="1"/>
    <x v="4"/>
    <n v="20"/>
  </r>
  <r>
    <x v="1682"/>
    <n v="1"/>
    <x v="4"/>
    <n v="19"/>
  </r>
  <r>
    <x v="1683"/>
    <n v="1"/>
    <x v="4"/>
    <n v="25"/>
  </r>
  <r>
    <x v="1684"/>
    <n v="1"/>
    <x v="4"/>
    <n v="25"/>
  </r>
  <r>
    <x v="1685"/>
    <n v="1"/>
    <x v="4"/>
    <n v="25"/>
  </r>
  <r>
    <x v="1686"/>
    <n v="1"/>
    <x v="4"/>
    <n v="22"/>
  </r>
  <r>
    <x v="1687"/>
    <n v="1"/>
    <x v="4"/>
    <n v="16"/>
  </r>
  <r>
    <x v="1688"/>
    <n v="1"/>
    <x v="4"/>
    <n v="21"/>
  </r>
  <r>
    <x v="1689"/>
    <n v="1"/>
    <x v="4"/>
    <n v="21"/>
  </r>
  <r>
    <x v="1690"/>
    <n v="1"/>
    <x v="4"/>
    <n v="27"/>
  </r>
  <r>
    <x v="1691"/>
    <n v="1"/>
    <x v="4"/>
    <n v="19"/>
  </r>
  <r>
    <x v="1692"/>
    <n v="1"/>
    <x v="4"/>
    <n v="26"/>
  </r>
  <r>
    <x v="1693"/>
    <n v="1"/>
    <x v="4"/>
    <n v="15"/>
  </r>
  <r>
    <x v="1694"/>
    <n v="1"/>
    <x v="4"/>
    <n v="21"/>
  </r>
  <r>
    <x v="1695"/>
    <n v="1"/>
    <x v="4"/>
    <n v="25"/>
  </r>
  <r>
    <x v="1696"/>
    <n v="1"/>
    <x v="4"/>
    <n v="24"/>
  </r>
  <r>
    <x v="1697"/>
    <n v="1"/>
    <x v="4"/>
    <n v="18"/>
  </r>
  <r>
    <x v="1698"/>
    <n v="1"/>
    <x v="4"/>
    <n v="19"/>
  </r>
  <r>
    <x v="1699"/>
    <n v="1"/>
    <x v="4"/>
    <n v="28"/>
  </r>
  <r>
    <x v="1700"/>
    <n v="1"/>
    <x v="4"/>
    <n v="19"/>
  </r>
  <r>
    <x v="1701"/>
    <n v="1"/>
    <x v="4"/>
    <n v="16"/>
  </r>
  <r>
    <x v="1702"/>
    <n v="1"/>
    <x v="4"/>
    <n v="18"/>
  </r>
  <r>
    <x v="1703"/>
    <n v="1"/>
    <x v="4"/>
    <n v="24"/>
  </r>
  <r>
    <x v="1704"/>
    <n v="1"/>
    <x v="4"/>
    <n v="26"/>
  </r>
  <r>
    <x v="1705"/>
    <n v="1"/>
    <x v="4"/>
    <n v="25"/>
  </r>
  <r>
    <x v="1706"/>
    <n v="1"/>
    <x v="4"/>
    <n v="23"/>
  </r>
  <r>
    <x v="1707"/>
    <n v="1"/>
    <x v="4"/>
    <n v="17"/>
  </r>
  <r>
    <x v="1708"/>
    <n v="1"/>
    <x v="4"/>
    <n v="7"/>
  </r>
  <r>
    <x v="1709"/>
    <n v="1"/>
    <x v="4"/>
    <n v="19"/>
  </r>
  <r>
    <x v="1710"/>
    <n v="1"/>
    <x v="4"/>
    <n v="25"/>
  </r>
  <r>
    <x v="1711"/>
    <n v="1"/>
    <x v="4"/>
    <n v="12"/>
  </r>
  <r>
    <x v="1712"/>
    <n v="1"/>
    <x v="4"/>
    <n v="26"/>
  </r>
  <r>
    <x v="1713"/>
    <n v="1"/>
    <x v="4"/>
    <n v="23"/>
  </r>
  <r>
    <x v="1714"/>
    <n v="1"/>
    <x v="4"/>
    <n v="13"/>
  </r>
  <r>
    <x v="1715"/>
    <n v="1"/>
    <x v="4"/>
    <n v="17"/>
  </r>
  <r>
    <x v="1716"/>
    <n v="1"/>
    <x v="4"/>
    <n v="20"/>
  </r>
  <r>
    <x v="1717"/>
    <n v="1"/>
    <x v="4"/>
    <n v="18"/>
  </r>
  <r>
    <x v="1718"/>
    <n v="1"/>
    <x v="4"/>
    <n v="18"/>
  </r>
  <r>
    <x v="1719"/>
    <n v="1"/>
    <x v="4"/>
    <n v="22"/>
  </r>
  <r>
    <x v="1720"/>
    <n v="1"/>
    <x v="4"/>
    <n v="25"/>
  </r>
  <r>
    <x v="1721"/>
    <n v="1"/>
    <x v="4"/>
    <n v="14"/>
  </r>
  <r>
    <x v="1722"/>
    <n v="1"/>
    <x v="4"/>
    <n v="18"/>
  </r>
  <r>
    <x v="1723"/>
    <n v="1"/>
    <x v="4"/>
    <n v="16"/>
  </r>
  <r>
    <x v="1724"/>
    <n v="1"/>
    <x v="4"/>
    <n v="16"/>
  </r>
  <r>
    <x v="1725"/>
    <n v="1"/>
    <x v="4"/>
    <n v="20"/>
  </r>
  <r>
    <x v="1726"/>
    <n v="1"/>
    <x v="4"/>
    <n v="28"/>
  </r>
  <r>
    <x v="1727"/>
    <n v="1"/>
    <x v="4"/>
    <n v="35"/>
  </r>
  <r>
    <x v="1728"/>
    <n v="1"/>
    <x v="4"/>
    <n v="14"/>
  </r>
  <r>
    <x v="1729"/>
    <n v="1"/>
    <x v="4"/>
    <n v="15"/>
  </r>
  <r>
    <x v="1730"/>
    <n v="1"/>
    <x v="4"/>
    <n v="19"/>
  </r>
  <r>
    <x v="1731"/>
    <n v="1"/>
    <x v="4"/>
    <n v="21"/>
  </r>
  <r>
    <x v="1732"/>
    <n v="1"/>
    <x v="4"/>
    <n v="18"/>
  </r>
  <r>
    <x v="1733"/>
    <n v="1"/>
    <x v="4"/>
    <n v="19"/>
  </r>
  <r>
    <x v="1734"/>
    <n v="1"/>
    <x v="4"/>
    <n v="20"/>
  </r>
  <r>
    <x v="1735"/>
    <n v="1"/>
    <x v="4"/>
    <n v="15"/>
  </r>
  <r>
    <x v="1736"/>
    <n v="1"/>
    <x v="4"/>
    <n v="22"/>
  </r>
  <r>
    <x v="1737"/>
    <n v="1"/>
    <x v="4"/>
    <n v="15"/>
  </r>
  <r>
    <x v="1738"/>
    <n v="1"/>
    <x v="4"/>
    <n v="19"/>
  </r>
  <r>
    <x v="1739"/>
    <n v="1"/>
    <x v="4"/>
    <n v="22"/>
  </r>
  <r>
    <x v="1740"/>
    <n v="1"/>
    <x v="4"/>
    <n v="19"/>
  </r>
  <r>
    <x v="1741"/>
    <n v="1"/>
    <x v="4"/>
    <n v="20"/>
  </r>
  <r>
    <x v="1742"/>
    <n v="1"/>
    <x v="4"/>
    <n v="14"/>
  </r>
  <r>
    <x v="1743"/>
    <n v="1"/>
    <x v="4"/>
    <n v="14"/>
  </r>
  <r>
    <x v="1744"/>
    <n v="1"/>
    <x v="4"/>
    <n v="17"/>
  </r>
  <r>
    <x v="1745"/>
    <n v="1"/>
    <x v="4"/>
    <n v="12"/>
  </r>
  <r>
    <x v="1746"/>
    <n v="1"/>
    <x v="4"/>
    <n v="14"/>
  </r>
  <r>
    <x v="1747"/>
    <n v="1"/>
    <x v="4"/>
    <n v="28"/>
  </r>
  <r>
    <x v="1748"/>
    <n v="1"/>
    <x v="4"/>
    <n v="18"/>
  </r>
  <r>
    <x v="1749"/>
    <n v="1"/>
    <x v="4"/>
    <n v="12"/>
  </r>
  <r>
    <x v="1750"/>
    <n v="1"/>
    <x v="4"/>
    <n v="13"/>
  </r>
  <r>
    <x v="1751"/>
    <n v="1"/>
    <x v="4"/>
    <n v="21"/>
  </r>
  <r>
    <x v="1752"/>
    <n v="1"/>
    <x v="4"/>
    <n v="11"/>
  </r>
  <r>
    <x v="1753"/>
    <n v="1"/>
    <x v="4"/>
    <n v="22"/>
  </r>
  <r>
    <x v="1754"/>
    <n v="1"/>
    <x v="4"/>
    <n v="31"/>
  </r>
  <r>
    <x v="1755"/>
    <n v="1"/>
    <x v="4"/>
    <n v="19"/>
  </r>
  <r>
    <x v="1756"/>
    <n v="1"/>
    <x v="4"/>
    <n v="16"/>
  </r>
  <r>
    <x v="1757"/>
    <n v="1"/>
    <x v="4"/>
    <n v="12"/>
  </r>
  <r>
    <x v="1758"/>
    <n v="1"/>
    <x v="4"/>
    <n v="23"/>
  </r>
  <r>
    <x v="1759"/>
    <n v="1"/>
    <x v="4"/>
    <n v="26"/>
  </r>
  <r>
    <x v="1760"/>
    <n v="1"/>
    <x v="4"/>
    <n v="22"/>
  </r>
  <r>
    <x v="1761"/>
    <n v="1"/>
    <x v="4"/>
    <n v="16"/>
  </r>
  <r>
    <x v="1762"/>
    <n v="1"/>
    <x v="4"/>
    <n v="21"/>
  </r>
  <r>
    <x v="1763"/>
    <n v="1"/>
    <x v="4"/>
    <n v="14"/>
  </r>
  <r>
    <x v="1764"/>
    <n v="1"/>
    <x v="4"/>
    <n v="17"/>
  </r>
  <r>
    <x v="1765"/>
    <n v="1"/>
    <x v="4"/>
    <n v="11"/>
  </r>
  <r>
    <x v="1766"/>
    <n v="1"/>
    <x v="4"/>
    <n v="18"/>
  </r>
  <r>
    <x v="1767"/>
    <n v="1"/>
    <x v="4"/>
    <n v="15"/>
  </r>
  <r>
    <x v="1768"/>
    <n v="1"/>
    <x v="4"/>
    <n v="21"/>
  </r>
  <r>
    <x v="1769"/>
    <n v="1"/>
    <x v="4"/>
    <n v="28"/>
  </r>
  <r>
    <x v="1770"/>
    <n v="1"/>
    <x v="4"/>
    <n v="15"/>
  </r>
  <r>
    <x v="1771"/>
    <n v="1"/>
    <x v="4"/>
    <n v="17"/>
  </r>
  <r>
    <x v="1772"/>
    <n v="1"/>
    <x v="4"/>
    <n v="18"/>
  </r>
  <r>
    <x v="1773"/>
    <n v="1"/>
    <x v="4"/>
    <n v="16"/>
  </r>
  <r>
    <x v="1774"/>
    <n v="1"/>
    <x v="4"/>
    <n v="15"/>
  </r>
  <r>
    <x v="1775"/>
    <n v="1"/>
    <x v="4"/>
    <n v="22"/>
  </r>
  <r>
    <x v="1776"/>
    <n v="1"/>
    <x v="4"/>
    <n v="28"/>
  </r>
  <r>
    <x v="1777"/>
    <n v="1"/>
    <x v="4"/>
    <n v="12"/>
  </r>
  <r>
    <x v="1778"/>
    <n v="1"/>
    <x v="4"/>
    <n v="15"/>
  </r>
  <r>
    <x v="1779"/>
    <n v="1"/>
    <x v="4"/>
    <n v="19"/>
  </r>
  <r>
    <x v="1780"/>
    <n v="1"/>
    <x v="4"/>
    <n v="19"/>
  </r>
  <r>
    <x v="1781"/>
    <n v="1"/>
    <x v="4"/>
    <n v="20"/>
  </r>
  <r>
    <x v="1782"/>
    <n v="1"/>
    <x v="4"/>
    <n v="26"/>
  </r>
  <r>
    <x v="1783"/>
    <n v="1"/>
    <x v="4"/>
    <n v="20"/>
  </r>
  <r>
    <x v="1784"/>
    <n v="1"/>
    <x v="4"/>
    <n v="15"/>
  </r>
  <r>
    <x v="1785"/>
    <n v="1"/>
    <x v="4"/>
    <n v="20"/>
  </r>
  <r>
    <x v="1786"/>
    <n v="1"/>
    <x v="4"/>
    <n v="14"/>
  </r>
  <r>
    <x v="1787"/>
    <n v="1"/>
    <x v="4"/>
    <n v="23"/>
  </r>
  <r>
    <x v="1788"/>
    <n v="1"/>
    <x v="4"/>
    <n v="24"/>
  </r>
  <r>
    <x v="1789"/>
    <n v="1"/>
    <x v="4"/>
    <n v="25"/>
  </r>
  <r>
    <x v="1790"/>
    <n v="1"/>
    <x v="4"/>
    <n v="32"/>
  </r>
  <r>
    <x v="1791"/>
    <n v="1"/>
    <x v="4"/>
    <n v="20"/>
  </r>
  <r>
    <x v="1792"/>
    <n v="1"/>
    <x v="4"/>
    <n v="18"/>
  </r>
  <r>
    <x v="1793"/>
    <n v="1"/>
    <x v="4"/>
    <n v="9"/>
  </r>
  <r>
    <x v="1794"/>
    <n v="1"/>
    <x v="4"/>
    <n v="20"/>
  </r>
  <r>
    <x v="1795"/>
    <n v="1"/>
    <x v="4"/>
    <n v="13"/>
  </r>
  <r>
    <x v="1796"/>
    <n v="1"/>
    <x v="4"/>
    <n v="18"/>
  </r>
  <r>
    <x v="1797"/>
    <n v="1"/>
    <x v="4"/>
    <n v="19"/>
  </r>
  <r>
    <x v="1798"/>
    <n v="1"/>
    <x v="4"/>
    <n v="13"/>
  </r>
  <r>
    <x v="1799"/>
    <n v="1"/>
    <x v="4"/>
    <n v="16"/>
  </r>
  <r>
    <x v="1800"/>
    <n v="1"/>
    <x v="4"/>
    <n v="15"/>
  </r>
  <r>
    <x v="1801"/>
    <n v="1"/>
    <x v="4"/>
    <n v="10"/>
  </r>
  <r>
    <x v="1802"/>
    <n v="1"/>
    <x v="4"/>
    <n v="6"/>
  </r>
  <r>
    <x v="1803"/>
    <n v="1"/>
    <x v="4"/>
    <n v="14"/>
  </r>
  <r>
    <x v="1804"/>
    <n v="1"/>
    <x v="4"/>
    <n v="18"/>
  </r>
  <r>
    <x v="1805"/>
    <n v="1"/>
    <x v="4"/>
    <n v="11"/>
  </r>
  <r>
    <x v="1806"/>
    <n v="1"/>
    <x v="4"/>
    <n v="13"/>
  </r>
  <r>
    <x v="1807"/>
    <n v="1"/>
    <x v="4"/>
    <n v="16"/>
  </r>
  <r>
    <x v="1808"/>
    <n v="1"/>
    <x v="4"/>
    <n v="9"/>
  </r>
  <r>
    <x v="1809"/>
    <n v="1"/>
    <x v="4"/>
    <n v="23"/>
  </r>
  <r>
    <x v="1810"/>
    <n v="1"/>
    <x v="4"/>
    <n v="23"/>
  </r>
  <r>
    <x v="1811"/>
    <n v="1"/>
    <x v="4"/>
    <n v="16"/>
  </r>
  <r>
    <x v="1812"/>
    <n v="1"/>
    <x v="4"/>
    <n v="10"/>
  </r>
  <r>
    <x v="1813"/>
    <n v="1"/>
    <x v="4"/>
    <n v="9"/>
  </r>
  <r>
    <x v="1814"/>
    <n v="1"/>
    <x v="4"/>
    <n v="11"/>
  </r>
  <r>
    <x v="1815"/>
    <n v="1"/>
    <x v="4"/>
    <n v="14"/>
  </r>
  <r>
    <x v="1816"/>
    <n v="1"/>
    <x v="4"/>
    <n v="6"/>
  </r>
  <r>
    <x v="1817"/>
    <n v="1"/>
    <x v="4"/>
    <n v="19"/>
  </r>
  <r>
    <x v="1818"/>
    <n v="1"/>
    <x v="4"/>
    <n v="15"/>
  </r>
  <r>
    <x v="1819"/>
    <n v="1"/>
    <x v="4"/>
    <n v="12"/>
  </r>
  <r>
    <x v="1820"/>
    <n v="1"/>
    <x v="4"/>
    <n v="10"/>
  </r>
  <r>
    <x v="1821"/>
    <n v="1"/>
    <x v="4"/>
    <n v="6"/>
  </r>
  <r>
    <x v="1822"/>
    <n v="1"/>
    <x v="4"/>
    <n v="15"/>
  </r>
  <r>
    <x v="1823"/>
    <n v="1"/>
    <x v="4"/>
    <n v="17"/>
  </r>
  <r>
    <x v="1824"/>
    <n v="1"/>
    <x v="4"/>
    <n v="22"/>
  </r>
  <r>
    <x v="1825"/>
    <n v="1"/>
    <x v="4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3C32B9-37C3-464B-90D8-EB3E2D60A02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Years &amp; Months" colHeaderCaption="Items">
  <location ref="A1:F67" firstHeaderRow="1" firstDataRow="2" firstDataCol="1"/>
  <pivotFields count="6">
    <pivotField numFmtId="14" showAll="0" defaultSubtotal="0">
      <items count="1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</items>
    </pivotField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  <pivotField dataField="1"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5"/>
    <field x="4"/>
  </rowFields>
  <rowItems count="65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 of sales" fld="3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3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2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3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4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49FE0-FF27-440A-B604-7B9E6EC5A219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 rowHeaderCaption="Years &amp; Months" colHeaderCaption="Items">
  <location ref="A1:F15" firstHeaderRow="1" firstDataRow="3" firstDataCol="1"/>
  <pivotFields count="6">
    <pivotField numFmtId="14" showAll="0" defaultSubtotal="0">
      <items count="1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</items>
    </pivotField>
    <pivotField showAll="0" defaultSubtotal="0"/>
    <pivotField axis="axisCol" showAll="0" defaultSubtotal="0">
      <items count="5">
        <item x="0"/>
        <item h="1" x="1"/>
        <item h="1" x="2"/>
        <item h="1" x="3"/>
        <item h="1" x="4"/>
      </items>
    </pivotField>
    <pivotField dataField="1"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4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2"/>
    <field x="5"/>
  </colFields>
  <colItems count="5">
    <i>
      <x/>
      <x v="1"/>
    </i>
    <i r="1">
      <x v="2"/>
    </i>
    <i r="1">
      <x v="3"/>
    </i>
    <i r="1">
      <x v="4"/>
    </i>
    <i r="1">
      <x v="5"/>
    </i>
  </colItems>
  <dataFields count="1">
    <dataField name="Sum of sales" fld="3" baseField="0" baseItem="0"/>
  </dataFields>
  <chartFormats count="2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2"/>
          </reference>
        </references>
      </pivotArea>
    </chartFormat>
    <chartFormat chart="1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3"/>
          </reference>
        </references>
      </pivotArea>
    </chartFormat>
    <chartFormat chart="1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1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1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1"/>
          </reference>
        </references>
      </pivotArea>
    </chartFormat>
    <chartFormat chart="1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2"/>
          </reference>
        </references>
      </pivotArea>
    </chartFormat>
    <chartFormat chart="1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3"/>
          </reference>
        </references>
      </pivotArea>
    </chartFormat>
    <chartFormat chart="1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4"/>
          </reference>
        </references>
      </pivotArea>
    </chartFormat>
    <chartFormat chart="1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5" count="1" selected="0">
            <x v="5"/>
          </reference>
        </references>
      </pivotArea>
    </chartFormat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2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3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5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1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2"/>
          </reference>
        </references>
      </pivotArea>
    </chartFormat>
    <chartFormat chart="6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3"/>
          </reference>
        </references>
      </pivotArea>
    </chartFormat>
    <chartFormat chart="6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4"/>
          </reference>
        </references>
      </pivotArea>
    </chartFormat>
    <chartFormat chart="6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BB2194-CE4A-41F6-A3EE-99523C5076B5}" name="Table1" displayName="Table1" ref="A1:F6" totalsRowShown="0">
  <autoFilter ref="A1:F6" xr:uid="{EEBB2194-CE4A-41F6-A3EE-99523C5076B5}"/>
  <tableColumns count="6">
    <tableColumn id="1" xr3:uid="{E9F7E97E-15F2-44D5-ABEB-3AD262985C90}" name="Item"/>
    <tableColumn id="2" xr3:uid="{0506E9A9-BC76-43F5-BD80-5D6807660363}" name="Average Monthly Demand" dataDxfId="4"/>
    <tableColumn id="3" xr3:uid="{9726BCB7-6CB4-43A7-A3FE-B8ABE958A8F2}" name="Demand Variability" dataDxfId="3"/>
    <tableColumn id="4" xr3:uid="{945FAD06-2F3E-4FF9-962F-15C59551E8F7}" name="Coefficient of Variation" dataDxfId="2"/>
    <tableColumn id="5" xr3:uid="{84EF3D40-C2D3-45BF-81AD-23BA24F32069}" name="Safety Stock" dataDxfId="1"/>
    <tableColumn id="6" xr3:uid="{4E4C9EB4-1E3B-4A2D-A980-9C7A22D48A3E}" name="Reorder Point" dataDxfId="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0055CBC-5BBF-4556-A2E6-0474CEFD2CFB}" name="Table23" displayName="Table23" ref="A26:B31" totalsRowShown="0">
  <autoFilter ref="A26:B31" xr:uid="{E0055CBC-5BBF-4556-A2E6-0474CEFD2CFB}"/>
  <tableColumns count="2">
    <tableColumn id="1" xr3:uid="{2E4E36CF-E18D-4EB5-B006-A1E60F1CAC09}" name="Item"/>
    <tableColumn id="2" xr3:uid="{50D4F2D8-489C-4109-ADFD-6932EAF1A24B}" name="MAPE" dataDxfId="6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5D92C-F516-4C7D-BAB8-1940C9093BE3}" name="Table2" displayName="Table2" ref="A33:C35" totalsRowShown="0">
  <autoFilter ref="A33:C35" xr:uid="{C8C5D92C-F516-4C7D-BAB8-1940C9093BE3}"/>
  <tableColumns count="3">
    <tableColumn id="1" xr3:uid="{57D61D00-905D-4FE4-A21D-D5D2F8ABEBC0}" name="Item 1"/>
    <tableColumn id="2" xr3:uid="{1E830572-1A7E-4118-9FEE-71658F29B238}" name="Method"/>
    <tableColumn id="3" xr3:uid="{43A670F3-8035-4E74-9E6D-C370FE8B7F94}" name="Accuracy" dataDxfId="5">
      <calculatedColumnFormula>'Item 1 Exponential Smoothing'!J1</calculatedColumnFormula>
    </tableColumn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DE05-E864-446A-BA38-2AB7B107EB3A}">
  <dimension ref="A1:F144706"/>
  <sheetViews>
    <sheetView tabSelected="1" workbookViewId="0">
      <selection activeCell="F4" sqref="F4"/>
    </sheetView>
  </sheetViews>
  <sheetFormatPr defaultRowHeight="15" x14ac:dyDescent="0.25"/>
  <cols>
    <col min="1" max="1" width="10.42578125" bestFit="1" customWidth="1"/>
    <col min="6" max="6" width="1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36</v>
      </c>
    </row>
    <row r="2" spans="1:6" x14ac:dyDescent="0.25">
      <c r="A2" s="1">
        <v>41275</v>
      </c>
      <c r="B2">
        <v>1</v>
      </c>
      <c r="C2">
        <v>1</v>
      </c>
      <c r="D2">
        <v>13</v>
      </c>
      <c r="F2">
        <f>COUNTBLANK(A1:D9131)</f>
        <v>0</v>
      </c>
    </row>
    <row r="3" spans="1:6" x14ac:dyDescent="0.25">
      <c r="A3" s="1">
        <v>41276</v>
      </c>
      <c r="B3">
        <v>1</v>
      </c>
      <c r="C3">
        <v>1</v>
      </c>
      <c r="D3">
        <v>11</v>
      </c>
    </row>
    <row r="4" spans="1:6" x14ac:dyDescent="0.25">
      <c r="A4" s="1">
        <v>41277</v>
      </c>
      <c r="B4">
        <v>1</v>
      </c>
      <c r="C4">
        <v>1</v>
      </c>
      <c r="D4">
        <v>14</v>
      </c>
    </row>
    <row r="5" spans="1:6" x14ac:dyDescent="0.25">
      <c r="A5" s="1">
        <v>41278</v>
      </c>
      <c r="B5">
        <v>1</v>
      </c>
      <c r="C5">
        <v>1</v>
      </c>
      <c r="D5">
        <v>13</v>
      </c>
    </row>
    <row r="6" spans="1:6" x14ac:dyDescent="0.25">
      <c r="A6" s="1">
        <v>41279</v>
      </c>
      <c r="B6">
        <v>1</v>
      </c>
      <c r="C6">
        <v>1</v>
      </c>
      <c r="D6">
        <v>10</v>
      </c>
    </row>
    <row r="7" spans="1:6" x14ac:dyDescent="0.25">
      <c r="A7" s="1">
        <v>41280</v>
      </c>
      <c r="B7">
        <v>1</v>
      </c>
      <c r="C7">
        <v>1</v>
      </c>
      <c r="D7">
        <v>12</v>
      </c>
    </row>
    <row r="8" spans="1:6" x14ac:dyDescent="0.25">
      <c r="A8" s="1">
        <v>41281</v>
      </c>
      <c r="B8">
        <v>1</v>
      </c>
      <c r="C8">
        <v>1</v>
      </c>
      <c r="D8">
        <v>10</v>
      </c>
    </row>
    <row r="9" spans="1:6" x14ac:dyDescent="0.25">
      <c r="A9" s="1">
        <v>41282</v>
      </c>
      <c r="B9">
        <v>1</v>
      </c>
      <c r="C9">
        <v>1</v>
      </c>
      <c r="D9">
        <v>9</v>
      </c>
    </row>
    <row r="10" spans="1:6" x14ac:dyDescent="0.25">
      <c r="A10" s="1">
        <v>41283</v>
      </c>
      <c r="B10">
        <v>1</v>
      </c>
      <c r="C10">
        <v>1</v>
      </c>
      <c r="D10">
        <v>12</v>
      </c>
    </row>
    <row r="11" spans="1:6" x14ac:dyDescent="0.25">
      <c r="A11" s="1">
        <v>41284</v>
      </c>
      <c r="B11">
        <v>1</v>
      </c>
      <c r="C11">
        <v>1</v>
      </c>
      <c r="D11">
        <v>9</v>
      </c>
    </row>
    <row r="12" spans="1:6" x14ac:dyDescent="0.25">
      <c r="A12" s="1">
        <v>41285</v>
      </c>
      <c r="B12">
        <v>1</v>
      </c>
      <c r="C12">
        <v>1</v>
      </c>
      <c r="D12">
        <v>9</v>
      </c>
    </row>
    <row r="13" spans="1:6" x14ac:dyDescent="0.25">
      <c r="A13" s="1">
        <v>41286</v>
      </c>
      <c r="B13">
        <v>1</v>
      </c>
      <c r="C13">
        <v>1</v>
      </c>
      <c r="D13">
        <v>7</v>
      </c>
    </row>
    <row r="14" spans="1:6" x14ac:dyDescent="0.25">
      <c r="A14" s="1">
        <v>41287</v>
      </c>
      <c r="B14">
        <v>1</v>
      </c>
      <c r="C14">
        <v>1</v>
      </c>
      <c r="D14">
        <v>10</v>
      </c>
    </row>
    <row r="15" spans="1:6" x14ac:dyDescent="0.25">
      <c r="A15" s="1">
        <v>41288</v>
      </c>
      <c r="B15">
        <v>1</v>
      </c>
      <c r="C15">
        <v>1</v>
      </c>
      <c r="D15">
        <v>12</v>
      </c>
    </row>
    <row r="16" spans="1:6" x14ac:dyDescent="0.25">
      <c r="A16" s="1">
        <v>41289</v>
      </c>
      <c r="B16">
        <v>1</v>
      </c>
      <c r="C16">
        <v>1</v>
      </c>
      <c r="D16">
        <v>5</v>
      </c>
    </row>
    <row r="17" spans="1:4" x14ac:dyDescent="0.25">
      <c r="A17" s="1">
        <v>41290</v>
      </c>
      <c r="B17">
        <v>1</v>
      </c>
      <c r="C17">
        <v>1</v>
      </c>
      <c r="D17">
        <v>7</v>
      </c>
    </row>
    <row r="18" spans="1:4" x14ac:dyDescent="0.25">
      <c r="A18" s="1">
        <v>41291</v>
      </c>
      <c r="B18">
        <v>1</v>
      </c>
      <c r="C18">
        <v>1</v>
      </c>
      <c r="D18">
        <v>16</v>
      </c>
    </row>
    <row r="19" spans="1:4" x14ac:dyDescent="0.25">
      <c r="A19" s="1">
        <v>41292</v>
      </c>
      <c r="B19">
        <v>1</v>
      </c>
      <c r="C19">
        <v>1</v>
      </c>
      <c r="D19">
        <v>7</v>
      </c>
    </row>
    <row r="20" spans="1:4" x14ac:dyDescent="0.25">
      <c r="A20" s="1">
        <v>41293</v>
      </c>
      <c r="B20">
        <v>1</v>
      </c>
      <c r="C20">
        <v>1</v>
      </c>
      <c r="D20">
        <v>18</v>
      </c>
    </row>
    <row r="21" spans="1:4" x14ac:dyDescent="0.25">
      <c r="A21" s="1">
        <v>41294</v>
      </c>
      <c r="B21">
        <v>1</v>
      </c>
      <c r="C21">
        <v>1</v>
      </c>
      <c r="D21">
        <v>15</v>
      </c>
    </row>
    <row r="22" spans="1:4" x14ac:dyDescent="0.25">
      <c r="A22" s="1">
        <v>41295</v>
      </c>
      <c r="B22">
        <v>1</v>
      </c>
      <c r="C22">
        <v>1</v>
      </c>
      <c r="D22">
        <v>8</v>
      </c>
    </row>
    <row r="23" spans="1:4" x14ac:dyDescent="0.25">
      <c r="A23" s="1">
        <v>41296</v>
      </c>
      <c r="B23">
        <v>1</v>
      </c>
      <c r="C23">
        <v>1</v>
      </c>
      <c r="D23">
        <v>7</v>
      </c>
    </row>
    <row r="24" spans="1:4" x14ac:dyDescent="0.25">
      <c r="A24" s="1">
        <v>41297</v>
      </c>
      <c r="B24">
        <v>1</v>
      </c>
      <c r="C24">
        <v>1</v>
      </c>
      <c r="D24">
        <v>9</v>
      </c>
    </row>
    <row r="25" spans="1:4" x14ac:dyDescent="0.25">
      <c r="A25" s="1">
        <v>41298</v>
      </c>
      <c r="B25">
        <v>1</v>
      </c>
      <c r="C25">
        <v>1</v>
      </c>
      <c r="D25">
        <v>8</v>
      </c>
    </row>
    <row r="26" spans="1:4" x14ac:dyDescent="0.25">
      <c r="A26" s="1">
        <v>41299</v>
      </c>
      <c r="B26">
        <v>1</v>
      </c>
      <c r="C26">
        <v>1</v>
      </c>
      <c r="D26">
        <v>14</v>
      </c>
    </row>
    <row r="27" spans="1:4" x14ac:dyDescent="0.25">
      <c r="A27" s="1">
        <v>41300</v>
      </c>
      <c r="B27">
        <v>1</v>
      </c>
      <c r="C27">
        <v>1</v>
      </c>
      <c r="D27">
        <v>12</v>
      </c>
    </row>
    <row r="28" spans="1:4" x14ac:dyDescent="0.25">
      <c r="A28" s="1">
        <v>41301</v>
      </c>
      <c r="B28">
        <v>1</v>
      </c>
      <c r="C28">
        <v>1</v>
      </c>
      <c r="D28">
        <v>12</v>
      </c>
    </row>
    <row r="29" spans="1:4" x14ac:dyDescent="0.25">
      <c r="A29" s="1">
        <v>41302</v>
      </c>
      <c r="B29">
        <v>1</v>
      </c>
      <c r="C29">
        <v>1</v>
      </c>
      <c r="D29">
        <v>11</v>
      </c>
    </row>
    <row r="30" spans="1:4" x14ac:dyDescent="0.25">
      <c r="A30" s="1">
        <v>41303</v>
      </c>
      <c r="B30">
        <v>1</v>
      </c>
      <c r="C30">
        <v>1</v>
      </c>
      <c r="D30">
        <v>6</v>
      </c>
    </row>
    <row r="31" spans="1:4" x14ac:dyDescent="0.25">
      <c r="A31" s="1">
        <v>41304</v>
      </c>
      <c r="B31">
        <v>1</v>
      </c>
      <c r="C31">
        <v>1</v>
      </c>
      <c r="D31">
        <v>9</v>
      </c>
    </row>
    <row r="32" spans="1:4" x14ac:dyDescent="0.25">
      <c r="A32" s="1">
        <v>41305</v>
      </c>
      <c r="B32">
        <v>1</v>
      </c>
      <c r="C32">
        <v>1</v>
      </c>
      <c r="D32">
        <v>13</v>
      </c>
    </row>
    <row r="33" spans="1:4" x14ac:dyDescent="0.25">
      <c r="A33" s="1">
        <v>41306</v>
      </c>
      <c r="B33">
        <v>1</v>
      </c>
      <c r="C33">
        <v>1</v>
      </c>
      <c r="D33">
        <v>11</v>
      </c>
    </row>
    <row r="34" spans="1:4" x14ac:dyDescent="0.25">
      <c r="A34" s="1">
        <v>41307</v>
      </c>
      <c r="B34">
        <v>1</v>
      </c>
      <c r="C34">
        <v>1</v>
      </c>
      <c r="D34">
        <v>21</v>
      </c>
    </row>
    <row r="35" spans="1:4" x14ac:dyDescent="0.25">
      <c r="A35" s="1">
        <v>41308</v>
      </c>
      <c r="B35">
        <v>1</v>
      </c>
      <c r="C35">
        <v>1</v>
      </c>
      <c r="D35">
        <v>15</v>
      </c>
    </row>
    <row r="36" spans="1:4" x14ac:dyDescent="0.25">
      <c r="A36" s="1">
        <v>41309</v>
      </c>
      <c r="B36">
        <v>1</v>
      </c>
      <c r="C36">
        <v>1</v>
      </c>
      <c r="D36">
        <v>14</v>
      </c>
    </row>
    <row r="37" spans="1:4" x14ac:dyDescent="0.25">
      <c r="A37" s="1">
        <v>41310</v>
      </c>
      <c r="B37">
        <v>1</v>
      </c>
      <c r="C37">
        <v>1</v>
      </c>
      <c r="D37">
        <v>9</v>
      </c>
    </row>
    <row r="38" spans="1:4" x14ac:dyDescent="0.25">
      <c r="A38" s="1">
        <v>41311</v>
      </c>
      <c r="B38">
        <v>1</v>
      </c>
      <c r="C38">
        <v>1</v>
      </c>
      <c r="D38">
        <v>10</v>
      </c>
    </row>
    <row r="39" spans="1:4" x14ac:dyDescent="0.25">
      <c r="A39" s="1">
        <v>41312</v>
      </c>
      <c r="B39">
        <v>1</v>
      </c>
      <c r="C39">
        <v>1</v>
      </c>
      <c r="D39">
        <v>13</v>
      </c>
    </row>
    <row r="40" spans="1:4" x14ac:dyDescent="0.25">
      <c r="A40" s="1">
        <v>41313</v>
      </c>
      <c r="B40">
        <v>1</v>
      </c>
      <c r="C40">
        <v>1</v>
      </c>
      <c r="D40">
        <v>11</v>
      </c>
    </row>
    <row r="41" spans="1:4" x14ac:dyDescent="0.25">
      <c r="A41" s="1">
        <v>41314</v>
      </c>
      <c r="B41">
        <v>1</v>
      </c>
      <c r="C41">
        <v>1</v>
      </c>
      <c r="D41">
        <v>14</v>
      </c>
    </row>
    <row r="42" spans="1:4" x14ac:dyDescent="0.25">
      <c r="A42" s="1">
        <v>41315</v>
      </c>
      <c r="B42">
        <v>1</v>
      </c>
      <c r="C42">
        <v>1</v>
      </c>
      <c r="D42">
        <v>11</v>
      </c>
    </row>
    <row r="43" spans="1:4" x14ac:dyDescent="0.25">
      <c r="A43" s="1">
        <v>41316</v>
      </c>
      <c r="B43">
        <v>1</v>
      </c>
      <c r="C43">
        <v>1</v>
      </c>
      <c r="D43">
        <v>16</v>
      </c>
    </row>
    <row r="44" spans="1:4" x14ac:dyDescent="0.25">
      <c r="A44" s="1">
        <v>41317</v>
      </c>
      <c r="B44">
        <v>1</v>
      </c>
      <c r="C44">
        <v>1</v>
      </c>
      <c r="D44">
        <v>11</v>
      </c>
    </row>
    <row r="45" spans="1:4" x14ac:dyDescent="0.25">
      <c r="A45" s="1">
        <v>41318</v>
      </c>
      <c r="B45">
        <v>1</v>
      </c>
      <c r="C45">
        <v>1</v>
      </c>
      <c r="D45">
        <v>14</v>
      </c>
    </row>
    <row r="46" spans="1:4" x14ac:dyDescent="0.25">
      <c r="A46" s="1">
        <v>41319</v>
      </c>
      <c r="B46">
        <v>1</v>
      </c>
      <c r="C46">
        <v>1</v>
      </c>
      <c r="D46">
        <v>10</v>
      </c>
    </row>
    <row r="47" spans="1:4" x14ac:dyDescent="0.25">
      <c r="A47" s="1">
        <v>41320</v>
      </c>
      <c r="B47">
        <v>1</v>
      </c>
      <c r="C47">
        <v>1</v>
      </c>
      <c r="D47">
        <v>11</v>
      </c>
    </row>
    <row r="48" spans="1:4" x14ac:dyDescent="0.25">
      <c r="A48" s="1">
        <v>41321</v>
      </c>
      <c r="B48">
        <v>1</v>
      </c>
      <c r="C48">
        <v>1</v>
      </c>
      <c r="D48">
        <v>7</v>
      </c>
    </row>
    <row r="49" spans="1:4" x14ac:dyDescent="0.25">
      <c r="A49" s="1">
        <v>41322</v>
      </c>
      <c r="B49">
        <v>1</v>
      </c>
      <c r="C49">
        <v>1</v>
      </c>
      <c r="D49">
        <v>11</v>
      </c>
    </row>
    <row r="50" spans="1:4" x14ac:dyDescent="0.25">
      <c r="A50" s="1">
        <v>41323</v>
      </c>
      <c r="B50">
        <v>1</v>
      </c>
      <c r="C50">
        <v>1</v>
      </c>
      <c r="D50">
        <v>10</v>
      </c>
    </row>
    <row r="51" spans="1:4" x14ac:dyDescent="0.25">
      <c r="A51" s="1">
        <v>41324</v>
      </c>
      <c r="B51">
        <v>1</v>
      </c>
      <c r="C51">
        <v>1</v>
      </c>
      <c r="D51">
        <v>10</v>
      </c>
    </row>
    <row r="52" spans="1:4" x14ac:dyDescent="0.25">
      <c r="A52" s="1">
        <v>41325</v>
      </c>
      <c r="B52">
        <v>1</v>
      </c>
      <c r="C52">
        <v>1</v>
      </c>
      <c r="D52">
        <v>7</v>
      </c>
    </row>
    <row r="53" spans="1:4" x14ac:dyDescent="0.25">
      <c r="A53" s="1">
        <v>41326</v>
      </c>
      <c r="B53">
        <v>1</v>
      </c>
      <c r="C53">
        <v>1</v>
      </c>
      <c r="D53">
        <v>13</v>
      </c>
    </row>
    <row r="54" spans="1:4" x14ac:dyDescent="0.25">
      <c r="A54" s="1">
        <v>41327</v>
      </c>
      <c r="B54">
        <v>1</v>
      </c>
      <c r="C54">
        <v>1</v>
      </c>
      <c r="D54">
        <v>12</v>
      </c>
    </row>
    <row r="55" spans="1:4" x14ac:dyDescent="0.25">
      <c r="A55" s="1">
        <v>41328</v>
      </c>
      <c r="B55">
        <v>1</v>
      </c>
      <c r="C55">
        <v>1</v>
      </c>
      <c r="D55">
        <v>15</v>
      </c>
    </row>
    <row r="56" spans="1:4" x14ac:dyDescent="0.25">
      <c r="A56" s="1">
        <v>41329</v>
      </c>
      <c r="B56">
        <v>1</v>
      </c>
      <c r="C56">
        <v>1</v>
      </c>
      <c r="D56">
        <v>11</v>
      </c>
    </row>
    <row r="57" spans="1:4" x14ac:dyDescent="0.25">
      <c r="A57" s="1">
        <v>41330</v>
      </c>
      <c r="B57">
        <v>1</v>
      </c>
      <c r="C57">
        <v>1</v>
      </c>
      <c r="D57">
        <v>7</v>
      </c>
    </row>
    <row r="58" spans="1:4" x14ac:dyDescent="0.25">
      <c r="A58" s="1">
        <v>41331</v>
      </c>
      <c r="B58">
        <v>1</v>
      </c>
      <c r="C58">
        <v>1</v>
      </c>
      <c r="D58">
        <v>9</v>
      </c>
    </row>
    <row r="59" spans="1:4" x14ac:dyDescent="0.25">
      <c r="A59" s="1">
        <v>41332</v>
      </c>
      <c r="B59">
        <v>1</v>
      </c>
      <c r="C59">
        <v>1</v>
      </c>
      <c r="D59">
        <v>9</v>
      </c>
    </row>
    <row r="60" spans="1:4" x14ac:dyDescent="0.25">
      <c r="A60" s="1">
        <v>41333</v>
      </c>
      <c r="B60">
        <v>1</v>
      </c>
      <c r="C60">
        <v>1</v>
      </c>
      <c r="D60">
        <v>10</v>
      </c>
    </row>
    <row r="61" spans="1:4" x14ac:dyDescent="0.25">
      <c r="A61" s="1">
        <v>41334</v>
      </c>
      <c r="B61">
        <v>1</v>
      </c>
      <c r="C61">
        <v>1</v>
      </c>
      <c r="D61">
        <v>15</v>
      </c>
    </row>
    <row r="62" spans="1:4" x14ac:dyDescent="0.25">
      <c r="A62" s="1">
        <v>41335</v>
      </c>
      <c r="B62">
        <v>1</v>
      </c>
      <c r="C62">
        <v>1</v>
      </c>
      <c r="D62">
        <v>13</v>
      </c>
    </row>
    <row r="63" spans="1:4" x14ac:dyDescent="0.25">
      <c r="A63" s="1">
        <v>41336</v>
      </c>
      <c r="B63">
        <v>1</v>
      </c>
      <c r="C63">
        <v>1</v>
      </c>
      <c r="D63">
        <v>20</v>
      </c>
    </row>
    <row r="64" spans="1:4" x14ac:dyDescent="0.25">
      <c r="A64" s="1">
        <v>41337</v>
      </c>
      <c r="B64">
        <v>1</v>
      </c>
      <c r="C64">
        <v>1</v>
      </c>
      <c r="D64">
        <v>14</v>
      </c>
    </row>
    <row r="65" spans="1:4" x14ac:dyDescent="0.25">
      <c r="A65" s="1">
        <v>41338</v>
      </c>
      <c r="B65">
        <v>1</v>
      </c>
      <c r="C65">
        <v>1</v>
      </c>
      <c r="D65">
        <v>13</v>
      </c>
    </row>
    <row r="66" spans="1:4" x14ac:dyDescent="0.25">
      <c r="A66" s="1">
        <v>41339</v>
      </c>
      <c r="B66">
        <v>1</v>
      </c>
      <c r="C66">
        <v>1</v>
      </c>
      <c r="D66">
        <v>17</v>
      </c>
    </row>
    <row r="67" spans="1:4" x14ac:dyDescent="0.25">
      <c r="A67" s="1">
        <v>41340</v>
      </c>
      <c r="B67">
        <v>1</v>
      </c>
      <c r="C67">
        <v>1</v>
      </c>
      <c r="D67">
        <v>11</v>
      </c>
    </row>
    <row r="68" spans="1:4" x14ac:dyDescent="0.25">
      <c r="A68" s="1">
        <v>41341</v>
      </c>
      <c r="B68">
        <v>1</v>
      </c>
      <c r="C68">
        <v>1</v>
      </c>
      <c r="D68">
        <v>15</v>
      </c>
    </row>
    <row r="69" spans="1:4" x14ac:dyDescent="0.25">
      <c r="A69" s="1">
        <v>41342</v>
      </c>
      <c r="B69">
        <v>1</v>
      </c>
      <c r="C69">
        <v>1</v>
      </c>
      <c r="D69">
        <v>16</v>
      </c>
    </row>
    <row r="70" spans="1:4" x14ac:dyDescent="0.25">
      <c r="A70" s="1">
        <v>41343</v>
      </c>
      <c r="B70">
        <v>1</v>
      </c>
      <c r="C70">
        <v>1</v>
      </c>
      <c r="D70">
        <v>11</v>
      </c>
    </row>
    <row r="71" spans="1:4" x14ac:dyDescent="0.25">
      <c r="A71" s="1">
        <v>41344</v>
      </c>
      <c r="B71">
        <v>1</v>
      </c>
      <c r="C71">
        <v>1</v>
      </c>
      <c r="D71">
        <v>18</v>
      </c>
    </row>
    <row r="72" spans="1:4" x14ac:dyDescent="0.25">
      <c r="A72" s="1">
        <v>41345</v>
      </c>
      <c r="B72">
        <v>1</v>
      </c>
      <c r="C72">
        <v>1</v>
      </c>
      <c r="D72">
        <v>14</v>
      </c>
    </row>
    <row r="73" spans="1:4" x14ac:dyDescent="0.25">
      <c r="A73" s="1">
        <v>41346</v>
      </c>
      <c r="B73">
        <v>1</v>
      </c>
      <c r="C73">
        <v>1</v>
      </c>
      <c r="D73">
        <v>13</v>
      </c>
    </row>
    <row r="74" spans="1:4" x14ac:dyDescent="0.25">
      <c r="A74" s="1">
        <v>41347</v>
      </c>
      <c r="B74">
        <v>1</v>
      </c>
      <c r="C74">
        <v>1</v>
      </c>
      <c r="D74">
        <v>10</v>
      </c>
    </row>
    <row r="75" spans="1:4" x14ac:dyDescent="0.25">
      <c r="A75" s="1">
        <v>41348</v>
      </c>
      <c r="B75">
        <v>1</v>
      </c>
      <c r="C75">
        <v>1</v>
      </c>
      <c r="D75">
        <v>14</v>
      </c>
    </row>
    <row r="76" spans="1:4" x14ac:dyDescent="0.25">
      <c r="A76" s="1">
        <v>41349</v>
      </c>
      <c r="B76">
        <v>1</v>
      </c>
      <c r="C76">
        <v>1</v>
      </c>
      <c r="D76">
        <v>10</v>
      </c>
    </row>
    <row r="77" spans="1:4" x14ac:dyDescent="0.25">
      <c r="A77" s="1">
        <v>41350</v>
      </c>
      <c r="B77">
        <v>1</v>
      </c>
      <c r="C77">
        <v>1</v>
      </c>
      <c r="D77">
        <v>22</v>
      </c>
    </row>
    <row r="78" spans="1:4" x14ac:dyDescent="0.25">
      <c r="A78" s="1">
        <v>41351</v>
      </c>
      <c r="B78">
        <v>1</v>
      </c>
      <c r="C78">
        <v>1</v>
      </c>
      <c r="D78">
        <v>11</v>
      </c>
    </row>
    <row r="79" spans="1:4" x14ac:dyDescent="0.25">
      <c r="A79" s="1">
        <v>41352</v>
      </c>
      <c r="B79">
        <v>1</v>
      </c>
      <c r="C79">
        <v>1</v>
      </c>
      <c r="D79">
        <v>19</v>
      </c>
    </row>
    <row r="80" spans="1:4" x14ac:dyDescent="0.25">
      <c r="A80" s="1">
        <v>41353</v>
      </c>
      <c r="B80">
        <v>1</v>
      </c>
      <c r="C80">
        <v>1</v>
      </c>
      <c r="D80">
        <v>14</v>
      </c>
    </row>
    <row r="81" spans="1:4" x14ac:dyDescent="0.25">
      <c r="A81" s="1">
        <v>41354</v>
      </c>
      <c r="B81">
        <v>1</v>
      </c>
      <c r="C81">
        <v>1</v>
      </c>
      <c r="D81">
        <v>17</v>
      </c>
    </row>
    <row r="82" spans="1:4" x14ac:dyDescent="0.25">
      <c r="A82" s="1">
        <v>41355</v>
      </c>
      <c r="B82">
        <v>1</v>
      </c>
      <c r="C82">
        <v>1</v>
      </c>
      <c r="D82">
        <v>21</v>
      </c>
    </row>
    <row r="83" spans="1:4" x14ac:dyDescent="0.25">
      <c r="A83" s="1">
        <v>41356</v>
      </c>
      <c r="B83">
        <v>1</v>
      </c>
      <c r="C83">
        <v>1</v>
      </c>
      <c r="D83">
        <v>21</v>
      </c>
    </row>
    <row r="84" spans="1:4" x14ac:dyDescent="0.25">
      <c r="A84" s="1">
        <v>41357</v>
      </c>
      <c r="B84">
        <v>1</v>
      </c>
      <c r="C84">
        <v>1</v>
      </c>
      <c r="D84">
        <v>19</v>
      </c>
    </row>
    <row r="85" spans="1:4" x14ac:dyDescent="0.25">
      <c r="A85" s="1">
        <v>41358</v>
      </c>
      <c r="B85">
        <v>1</v>
      </c>
      <c r="C85">
        <v>1</v>
      </c>
      <c r="D85">
        <v>13</v>
      </c>
    </row>
    <row r="86" spans="1:4" x14ac:dyDescent="0.25">
      <c r="A86" s="1">
        <v>41359</v>
      </c>
      <c r="B86">
        <v>1</v>
      </c>
      <c r="C86">
        <v>1</v>
      </c>
      <c r="D86">
        <v>16</v>
      </c>
    </row>
    <row r="87" spans="1:4" x14ac:dyDescent="0.25">
      <c r="A87" s="1">
        <v>41360</v>
      </c>
      <c r="B87">
        <v>1</v>
      </c>
      <c r="C87">
        <v>1</v>
      </c>
      <c r="D87">
        <v>11</v>
      </c>
    </row>
    <row r="88" spans="1:4" x14ac:dyDescent="0.25">
      <c r="A88" s="1">
        <v>41361</v>
      </c>
      <c r="B88">
        <v>1</v>
      </c>
      <c r="C88">
        <v>1</v>
      </c>
      <c r="D88">
        <v>13</v>
      </c>
    </row>
    <row r="89" spans="1:4" x14ac:dyDescent="0.25">
      <c r="A89" s="1">
        <v>41362</v>
      </c>
      <c r="B89">
        <v>1</v>
      </c>
      <c r="C89">
        <v>1</v>
      </c>
      <c r="D89">
        <v>17</v>
      </c>
    </row>
    <row r="90" spans="1:4" x14ac:dyDescent="0.25">
      <c r="A90" s="1">
        <v>41363</v>
      </c>
      <c r="B90">
        <v>1</v>
      </c>
      <c r="C90">
        <v>1</v>
      </c>
      <c r="D90">
        <v>19</v>
      </c>
    </row>
    <row r="91" spans="1:4" x14ac:dyDescent="0.25">
      <c r="A91" s="1">
        <v>41364</v>
      </c>
      <c r="B91">
        <v>1</v>
      </c>
      <c r="C91">
        <v>1</v>
      </c>
      <c r="D91">
        <v>20</v>
      </c>
    </row>
    <row r="92" spans="1:4" x14ac:dyDescent="0.25">
      <c r="A92" s="1">
        <v>41365</v>
      </c>
      <c r="B92">
        <v>1</v>
      </c>
      <c r="C92">
        <v>1</v>
      </c>
      <c r="D92">
        <v>11</v>
      </c>
    </row>
    <row r="93" spans="1:4" x14ac:dyDescent="0.25">
      <c r="A93" s="1">
        <v>41366</v>
      </c>
      <c r="B93">
        <v>1</v>
      </c>
      <c r="C93">
        <v>1</v>
      </c>
      <c r="D93">
        <v>19</v>
      </c>
    </row>
    <row r="94" spans="1:4" x14ac:dyDescent="0.25">
      <c r="A94" s="1">
        <v>41367</v>
      </c>
      <c r="B94">
        <v>1</v>
      </c>
      <c r="C94">
        <v>1</v>
      </c>
      <c r="D94">
        <v>24</v>
      </c>
    </row>
    <row r="95" spans="1:4" x14ac:dyDescent="0.25">
      <c r="A95" s="1">
        <v>41368</v>
      </c>
      <c r="B95">
        <v>1</v>
      </c>
      <c r="C95">
        <v>1</v>
      </c>
      <c r="D95">
        <v>18</v>
      </c>
    </row>
    <row r="96" spans="1:4" x14ac:dyDescent="0.25">
      <c r="A96" s="1">
        <v>41369</v>
      </c>
      <c r="B96">
        <v>1</v>
      </c>
      <c r="C96">
        <v>1</v>
      </c>
      <c r="D96">
        <v>19</v>
      </c>
    </row>
    <row r="97" spans="1:4" x14ac:dyDescent="0.25">
      <c r="A97" s="1">
        <v>41370</v>
      </c>
      <c r="B97">
        <v>1</v>
      </c>
      <c r="C97">
        <v>1</v>
      </c>
      <c r="D97">
        <v>23</v>
      </c>
    </row>
    <row r="98" spans="1:4" x14ac:dyDescent="0.25">
      <c r="A98" s="1">
        <v>41371</v>
      </c>
      <c r="B98">
        <v>1</v>
      </c>
      <c r="C98">
        <v>1</v>
      </c>
      <c r="D98">
        <v>17</v>
      </c>
    </row>
    <row r="99" spans="1:4" x14ac:dyDescent="0.25">
      <c r="A99" s="1">
        <v>41372</v>
      </c>
      <c r="B99">
        <v>1</v>
      </c>
      <c r="C99">
        <v>1</v>
      </c>
      <c r="D99">
        <v>19</v>
      </c>
    </row>
    <row r="100" spans="1:4" x14ac:dyDescent="0.25">
      <c r="A100" s="1">
        <v>41373</v>
      </c>
      <c r="B100">
        <v>1</v>
      </c>
      <c r="C100">
        <v>1</v>
      </c>
      <c r="D100">
        <v>13</v>
      </c>
    </row>
    <row r="101" spans="1:4" x14ac:dyDescent="0.25">
      <c r="A101" s="1">
        <v>41374</v>
      </c>
      <c r="B101">
        <v>1</v>
      </c>
      <c r="C101">
        <v>1</v>
      </c>
      <c r="D101">
        <v>19</v>
      </c>
    </row>
    <row r="102" spans="1:4" x14ac:dyDescent="0.25">
      <c r="A102" s="1">
        <v>41375</v>
      </c>
      <c r="B102">
        <v>1</v>
      </c>
      <c r="C102">
        <v>1</v>
      </c>
      <c r="D102">
        <v>16</v>
      </c>
    </row>
    <row r="103" spans="1:4" x14ac:dyDescent="0.25">
      <c r="A103" s="1">
        <v>41376</v>
      </c>
      <c r="B103">
        <v>1</v>
      </c>
      <c r="C103">
        <v>1</v>
      </c>
      <c r="D103">
        <v>18</v>
      </c>
    </row>
    <row r="104" spans="1:4" x14ac:dyDescent="0.25">
      <c r="A104" s="1">
        <v>41377</v>
      </c>
      <c r="B104">
        <v>1</v>
      </c>
      <c r="C104">
        <v>1</v>
      </c>
      <c r="D104">
        <v>17</v>
      </c>
    </row>
    <row r="105" spans="1:4" x14ac:dyDescent="0.25">
      <c r="A105" s="1">
        <v>41378</v>
      </c>
      <c r="B105">
        <v>1</v>
      </c>
      <c r="C105">
        <v>1</v>
      </c>
      <c r="D105">
        <v>26</v>
      </c>
    </row>
    <row r="106" spans="1:4" x14ac:dyDescent="0.25">
      <c r="A106" s="1">
        <v>41379</v>
      </c>
      <c r="B106">
        <v>1</v>
      </c>
      <c r="C106">
        <v>1</v>
      </c>
      <c r="D106">
        <v>14</v>
      </c>
    </row>
    <row r="107" spans="1:4" x14ac:dyDescent="0.25">
      <c r="A107" s="1">
        <v>41380</v>
      </c>
      <c r="B107">
        <v>1</v>
      </c>
      <c r="C107">
        <v>1</v>
      </c>
      <c r="D107">
        <v>9</v>
      </c>
    </row>
    <row r="108" spans="1:4" x14ac:dyDescent="0.25">
      <c r="A108" s="1">
        <v>41381</v>
      </c>
      <c r="B108">
        <v>1</v>
      </c>
      <c r="C108">
        <v>1</v>
      </c>
      <c r="D108">
        <v>17</v>
      </c>
    </row>
    <row r="109" spans="1:4" x14ac:dyDescent="0.25">
      <c r="A109" s="1">
        <v>41382</v>
      </c>
      <c r="B109">
        <v>1</v>
      </c>
      <c r="C109">
        <v>1</v>
      </c>
      <c r="D109">
        <v>21</v>
      </c>
    </row>
    <row r="110" spans="1:4" x14ac:dyDescent="0.25">
      <c r="A110" s="1">
        <v>41383</v>
      </c>
      <c r="B110">
        <v>1</v>
      </c>
      <c r="C110">
        <v>1</v>
      </c>
      <c r="D110">
        <v>22</v>
      </c>
    </row>
    <row r="111" spans="1:4" x14ac:dyDescent="0.25">
      <c r="A111" s="1">
        <v>41384</v>
      </c>
      <c r="B111">
        <v>1</v>
      </c>
      <c r="C111">
        <v>1</v>
      </c>
      <c r="D111">
        <v>22</v>
      </c>
    </row>
    <row r="112" spans="1:4" x14ac:dyDescent="0.25">
      <c r="A112" s="1">
        <v>41385</v>
      </c>
      <c r="B112">
        <v>1</v>
      </c>
      <c r="C112">
        <v>1</v>
      </c>
      <c r="D112">
        <v>20</v>
      </c>
    </row>
    <row r="113" spans="1:4" x14ac:dyDescent="0.25">
      <c r="A113" s="1">
        <v>41386</v>
      </c>
      <c r="B113">
        <v>1</v>
      </c>
      <c r="C113">
        <v>1</v>
      </c>
      <c r="D113">
        <v>13</v>
      </c>
    </row>
    <row r="114" spans="1:4" x14ac:dyDescent="0.25">
      <c r="A114" s="1">
        <v>41387</v>
      </c>
      <c r="B114">
        <v>1</v>
      </c>
      <c r="C114">
        <v>1</v>
      </c>
      <c r="D114">
        <v>11</v>
      </c>
    </row>
    <row r="115" spans="1:4" x14ac:dyDescent="0.25">
      <c r="A115" s="1">
        <v>41388</v>
      </c>
      <c r="B115">
        <v>1</v>
      </c>
      <c r="C115">
        <v>1</v>
      </c>
      <c r="D115">
        <v>13</v>
      </c>
    </row>
    <row r="116" spans="1:4" x14ac:dyDescent="0.25">
      <c r="A116" s="1">
        <v>41389</v>
      </c>
      <c r="B116">
        <v>1</v>
      </c>
      <c r="C116">
        <v>1</v>
      </c>
      <c r="D116">
        <v>14</v>
      </c>
    </row>
    <row r="117" spans="1:4" x14ac:dyDescent="0.25">
      <c r="A117" s="1">
        <v>41390</v>
      </c>
      <c r="B117">
        <v>1</v>
      </c>
      <c r="C117">
        <v>1</v>
      </c>
      <c r="D117">
        <v>20</v>
      </c>
    </row>
    <row r="118" spans="1:4" x14ac:dyDescent="0.25">
      <c r="A118" s="1">
        <v>41391</v>
      </c>
      <c r="B118">
        <v>1</v>
      </c>
      <c r="C118">
        <v>1</v>
      </c>
      <c r="D118">
        <v>22</v>
      </c>
    </row>
    <row r="119" spans="1:4" x14ac:dyDescent="0.25">
      <c r="A119" s="1">
        <v>41392</v>
      </c>
      <c r="B119">
        <v>1</v>
      </c>
      <c r="C119">
        <v>1</v>
      </c>
      <c r="D119">
        <v>19</v>
      </c>
    </row>
    <row r="120" spans="1:4" x14ac:dyDescent="0.25">
      <c r="A120" s="1">
        <v>41393</v>
      </c>
      <c r="B120">
        <v>1</v>
      </c>
      <c r="C120">
        <v>1</v>
      </c>
      <c r="D120">
        <v>11</v>
      </c>
    </row>
    <row r="121" spans="1:4" x14ac:dyDescent="0.25">
      <c r="A121" s="1">
        <v>41394</v>
      </c>
      <c r="B121">
        <v>1</v>
      </c>
      <c r="C121">
        <v>1</v>
      </c>
      <c r="D121">
        <v>15</v>
      </c>
    </row>
    <row r="122" spans="1:4" x14ac:dyDescent="0.25">
      <c r="A122" s="1">
        <v>41395</v>
      </c>
      <c r="B122">
        <v>1</v>
      </c>
      <c r="C122">
        <v>1</v>
      </c>
      <c r="D122">
        <v>16</v>
      </c>
    </row>
    <row r="123" spans="1:4" x14ac:dyDescent="0.25">
      <c r="A123" s="1">
        <v>41396</v>
      </c>
      <c r="B123">
        <v>1</v>
      </c>
      <c r="C123">
        <v>1</v>
      </c>
      <c r="D123">
        <v>23</v>
      </c>
    </row>
    <row r="124" spans="1:4" x14ac:dyDescent="0.25">
      <c r="A124" s="1">
        <v>41397</v>
      </c>
      <c r="B124">
        <v>1</v>
      </c>
      <c r="C124">
        <v>1</v>
      </c>
      <c r="D124">
        <v>22</v>
      </c>
    </row>
    <row r="125" spans="1:4" x14ac:dyDescent="0.25">
      <c r="A125" s="1">
        <v>41398</v>
      </c>
      <c r="B125">
        <v>1</v>
      </c>
      <c r="C125">
        <v>1</v>
      </c>
      <c r="D125">
        <v>20</v>
      </c>
    </row>
    <row r="126" spans="1:4" x14ac:dyDescent="0.25">
      <c r="A126" s="1">
        <v>41399</v>
      </c>
      <c r="B126">
        <v>1</v>
      </c>
      <c r="C126">
        <v>1</v>
      </c>
      <c r="D126">
        <v>14</v>
      </c>
    </row>
    <row r="127" spans="1:4" x14ac:dyDescent="0.25">
      <c r="A127" s="1">
        <v>41400</v>
      </c>
      <c r="B127">
        <v>1</v>
      </c>
      <c r="C127">
        <v>1</v>
      </c>
      <c r="D127">
        <v>14</v>
      </c>
    </row>
    <row r="128" spans="1:4" x14ac:dyDescent="0.25">
      <c r="A128" s="1">
        <v>41401</v>
      </c>
      <c r="B128">
        <v>1</v>
      </c>
      <c r="C128">
        <v>1</v>
      </c>
      <c r="D128">
        <v>15</v>
      </c>
    </row>
    <row r="129" spans="1:4" x14ac:dyDescent="0.25">
      <c r="A129" s="1">
        <v>41402</v>
      </c>
      <c r="B129">
        <v>1</v>
      </c>
      <c r="C129">
        <v>1</v>
      </c>
      <c r="D129">
        <v>14</v>
      </c>
    </row>
    <row r="130" spans="1:4" x14ac:dyDescent="0.25">
      <c r="A130" s="1">
        <v>41403</v>
      </c>
      <c r="B130">
        <v>1</v>
      </c>
      <c r="C130">
        <v>1</v>
      </c>
      <c r="D130">
        <v>11</v>
      </c>
    </row>
    <row r="131" spans="1:4" x14ac:dyDescent="0.25">
      <c r="A131" s="1">
        <v>41404</v>
      </c>
      <c r="B131">
        <v>1</v>
      </c>
      <c r="C131">
        <v>1</v>
      </c>
      <c r="D131">
        <v>16</v>
      </c>
    </row>
    <row r="132" spans="1:4" x14ac:dyDescent="0.25">
      <c r="A132" s="1">
        <v>41405</v>
      </c>
      <c r="B132">
        <v>1</v>
      </c>
      <c r="C132">
        <v>1</v>
      </c>
      <c r="D132">
        <v>19</v>
      </c>
    </row>
    <row r="133" spans="1:4" x14ac:dyDescent="0.25">
      <c r="A133" s="1">
        <v>41406</v>
      </c>
      <c r="B133">
        <v>1</v>
      </c>
      <c r="C133">
        <v>1</v>
      </c>
      <c r="D133">
        <v>13</v>
      </c>
    </row>
    <row r="134" spans="1:4" x14ac:dyDescent="0.25">
      <c r="A134" s="1">
        <v>41407</v>
      </c>
      <c r="B134">
        <v>1</v>
      </c>
      <c r="C134">
        <v>1</v>
      </c>
      <c r="D134">
        <v>9</v>
      </c>
    </row>
    <row r="135" spans="1:4" x14ac:dyDescent="0.25">
      <c r="A135" s="1">
        <v>41408</v>
      </c>
      <c r="B135">
        <v>1</v>
      </c>
      <c r="C135">
        <v>1</v>
      </c>
      <c r="D135">
        <v>13</v>
      </c>
    </row>
    <row r="136" spans="1:4" x14ac:dyDescent="0.25">
      <c r="A136" s="1">
        <v>41409</v>
      </c>
      <c r="B136">
        <v>1</v>
      </c>
      <c r="C136">
        <v>1</v>
      </c>
      <c r="D136">
        <v>16</v>
      </c>
    </row>
    <row r="137" spans="1:4" x14ac:dyDescent="0.25">
      <c r="A137" s="1">
        <v>41410</v>
      </c>
      <c r="B137">
        <v>1</v>
      </c>
      <c r="C137">
        <v>1</v>
      </c>
      <c r="D137">
        <v>15</v>
      </c>
    </row>
    <row r="138" spans="1:4" x14ac:dyDescent="0.25">
      <c r="A138" s="1">
        <v>41411</v>
      </c>
      <c r="B138">
        <v>1</v>
      </c>
      <c r="C138">
        <v>1</v>
      </c>
      <c r="D138">
        <v>16</v>
      </c>
    </row>
    <row r="139" spans="1:4" x14ac:dyDescent="0.25">
      <c r="A139" s="1">
        <v>41412</v>
      </c>
      <c r="B139">
        <v>1</v>
      </c>
      <c r="C139">
        <v>1</v>
      </c>
      <c r="D139">
        <v>20</v>
      </c>
    </row>
    <row r="140" spans="1:4" x14ac:dyDescent="0.25">
      <c r="A140" s="1">
        <v>41413</v>
      </c>
      <c r="B140">
        <v>1</v>
      </c>
      <c r="C140">
        <v>1</v>
      </c>
      <c r="D140">
        <v>19</v>
      </c>
    </row>
    <row r="141" spans="1:4" x14ac:dyDescent="0.25">
      <c r="A141" s="1">
        <v>41414</v>
      </c>
      <c r="B141">
        <v>1</v>
      </c>
      <c r="C141">
        <v>1</v>
      </c>
      <c r="D141">
        <v>14</v>
      </c>
    </row>
    <row r="142" spans="1:4" x14ac:dyDescent="0.25">
      <c r="A142" s="1">
        <v>41415</v>
      </c>
      <c r="B142">
        <v>1</v>
      </c>
      <c r="C142">
        <v>1</v>
      </c>
      <c r="D142">
        <v>24</v>
      </c>
    </row>
    <row r="143" spans="1:4" x14ac:dyDescent="0.25">
      <c r="A143" s="1">
        <v>41416</v>
      </c>
      <c r="B143">
        <v>1</v>
      </c>
      <c r="C143">
        <v>1</v>
      </c>
      <c r="D143">
        <v>23</v>
      </c>
    </row>
    <row r="144" spans="1:4" x14ac:dyDescent="0.25">
      <c r="A144" s="1">
        <v>41417</v>
      </c>
      <c r="B144">
        <v>1</v>
      </c>
      <c r="C144">
        <v>1</v>
      </c>
      <c r="D144">
        <v>14</v>
      </c>
    </row>
    <row r="145" spans="1:4" x14ac:dyDescent="0.25">
      <c r="A145" s="1">
        <v>41418</v>
      </c>
      <c r="B145">
        <v>1</v>
      </c>
      <c r="C145">
        <v>1</v>
      </c>
      <c r="D145">
        <v>24</v>
      </c>
    </row>
    <row r="146" spans="1:4" x14ac:dyDescent="0.25">
      <c r="A146" s="1">
        <v>41419</v>
      </c>
      <c r="B146">
        <v>1</v>
      </c>
      <c r="C146">
        <v>1</v>
      </c>
      <c r="D146">
        <v>25</v>
      </c>
    </row>
    <row r="147" spans="1:4" x14ac:dyDescent="0.25">
      <c r="A147" s="1">
        <v>41420</v>
      </c>
      <c r="B147">
        <v>1</v>
      </c>
      <c r="C147">
        <v>1</v>
      </c>
      <c r="D147">
        <v>27</v>
      </c>
    </row>
    <row r="148" spans="1:4" x14ac:dyDescent="0.25">
      <c r="A148" s="1">
        <v>41421</v>
      </c>
      <c r="B148">
        <v>1</v>
      </c>
      <c r="C148">
        <v>1</v>
      </c>
      <c r="D148">
        <v>7</v>
      </c>
    </row>
    <row r="149" spans="1:4" x14ac:dyDescent="0.25">
      <c r="A149" s="1">
        <v>41422</v>
      </c>
      <c r="B149">
        <v>1</v>
      </c>
      <c r="C149">
        <v>1</v>
      </c>
      <c r="D149">
        <v>12</v>
      </c>
    </row>
    <row r="150" spans="1:4" x14ac:dyDescent="0.25">
      <c r="A150" s="1">
        <v>41423</v>
      </c>
      <c r="B150">
        <v>1</v>
      </c>
      <c r="C150">
        <v>1</v>
      </c>
      <c r="D150">
        <v>10</v>
      </c>
    </row>
    <row r="151" spans="1:4" x14ac:dyDescent="0.25">
      <c r="A151" s="1">
        <v>41424</v>
      </c>
      <c r="B151">
        <v>1</v>
      </c>
      <c r="C151">
        <v>1</v>
      </c>
      <c r="D151">
        <v>19</v>
      </c>
    </row>
    <row r="152" spans="1:4" x14ac:dyDescent="0.25">
      <c r="A152" s="1">
        <v>41425</v>
      </c>
      <c r="B152">
        <v>1</v>
      </c>
      <c r="C152">
        <v>1</v>
      </c>
      <c r="D152">
        <v>27</v>
      </c>
    </row>
    <row r="153" spans="1:4" x14ac:dyDescent="0.25">
      <c r="A153" s="1">
        <v>41426</v>
      </c>
      <c r="B153">
        <v>1</v>
      </c>
      <c r="C153">
        <v>1</v>
      </c>
      <c r="D153">
        <v>26</v>
      </c>
    </row>
    <row r="154" spans="1:4" x14ac:dyDescent="0.25">
      <c r="A154" s="1">
        <v>41427</v>
      </c>
      <c r="B154">
        <v>1</v>
      </c>
      <c r="C154">
        <v>1</v>
      </c>
      <c r="D154">
        <v>22</v>
      </c>
    </row>
    <row r="155" spans="1:4" x14ac:dyDescent="0.25">
      <c r="A155" s="1">
        <v>41428</v>
      </c>
      <c r="B155">
        <v>1</v>
      </c>
      <c r="C155">
        <v>1</v>
      </c>
      <c r="D155">
        <v>12</v>
      </c>
    </row>
    <row r="156" spans="1:4" x14ac:dyDescent="0.25">
      <c r="A156" s="1">
        <v>41429</v>
      </c>
      <c r="B156">
        <v>1</v>
      </c>
      <c r="C156">
        <v>1</v>
      </c>
      <c r="D156">
        <v>15</v>
      </c>
    </row>
    <row r="157" spans="1:4" x14ac:dyDescent="0.25">
      <c r="A157" s="1">
        <v>41430</v>
      </c>
      <c r="B157">
        <v>1</v>
      </c>
      <c r="C157">
        <v>1</v>
      </c>
      <c r="D157">
        <v>24</v>
      </c>
    </row>
    <row r="158" spans="1:4" x14ac:dyDescent="0.25">
      <c r="A158" s="1">
        <v>41431</v>
      </c>
      <c r="B158">
        <v>1</v>
      </c>
      <c r="C158">
        <v>1</v>
      </c>
      <c r="D158">
        <v>9</v>
      </c>
    </row>
    <row r="159" spans="1:4" x14ac:dyDescent="0.25">
      <c r="A159" s="1">
        <v>41432</v>
      </c>
      <c r="B159">
        <v>1</v>
      </c>
      <c r="C159">
        <v>1</v>
      </c>
      <c r="D159">
        <v>21</v>
      </c>
    </row>
    <row r="160" spans="1:4" x14ac:dyDescent="0.25">
      <c r="A160" s="1">
        <v>41433</v>
      </c>
      <c r="B160">
        <v>1</v>
      </c>
      <c r="C160">
        <v>1</v>
      </c>
      <c r="D160">
        <v>20</v>
      </c>
    </row>
    <row r="161" spans="1:4" x14ac:dyDescent="0.25">
      <c r="A161" s="1">
        <v>41434</v>
      </c>
      <c r="B161">
        <v>1</v>
      </c>
      <c r="C161">
        <v>1</v>
      </c>
      <c r="D161">
        <v>38</v>
      </c>
    </row>
    <row r="162" spans="1:4" x14ac:dyDescent="0.25">
      <c r="A162" s="1">
        <v>41435</v>
      </c>
      <c r="B162">
        <v>1</v>
      </c>
      <c r="C162">
        <v>1</v>
      </c>
      <c r="D162">
        <v>20</v>
      </c>
    </row>
    <row r="163" spans="1:4" x14ac:dyDescent="0.25">
      <c r="A163" s="1">
        <v>41436</v>
      </c>
      <c r="B163">
        <v>1</v>
      </c>
      <c r="C163">
        <v>1</v>
      </c>
      <c r="D163">
        <v>18</v>
      </c>
    </row>
    <row r="164" spans="1:4" x14ac:dyDescent="0.25">
      <c r="A164" s="1">
        <v>41437</v>
      </c>
      <c r="B164">
        <v>1</v>
      </c>
      <c r="C164">
        <v>1</v>
      </c>
      <c r="D164">
        <v>22</v>
      </c>
    </row>
    <row r="165" spans="1:4" x14ac:dyDescent="0.25">
      <c r="A165" s="1">
        <v>41438</v>
      </c>
      <c r="B165">
        <v>1</v>
      </c>
      <c r="C165">
        <v>1</v>
      </c>
      <c r="D165">
        <v>21</v>
      </c>
    </row>
    <row r="166" spans="1:4" x14ac:dyDescent="0.25">
      <c r="A166" s="1">
        <v>41439</v>
      </c>
      <c r="B166">
        <v>1</v>
      </c>
      <c r="C166">
        <v>1</v>
      </c>
      <c r="D166">
        <v>22</v>
      </c>
    </row>
    <row r="167" spans="1:4" x14ac:dyDescent="0.25">
      <c r="A167" s="1">
        <v>41440</v>
      </c>
      <c r="B167">
        <v>1</v>
      </c>
      <c r="C167">
        <v>1</v>
      </c>
      <c r="D167">
        <v>26</v>
      </c>
    </row>
    <row r="168" spans="1:4" x14ac:dyDescent="0.25">
      <c r="A168" s="1">
        <v>41441</v>
      </c>
      <c r="B168">
        <v>1</v>
      </c>
      <c r="C168">
        <v>1</v>
      </c>
      <c r="D168">
        <v>23</v>
      </c>
    </row>
    <row r="169" spans="1:4" x14ac:dyDescent="0.25">
      <c r="A169" s="1">
        <v>41442</v>
      </c>
      <c r="B169">
        <v>1</v>
      </c>
      <c r="C169">
        <v>1</v>
      </c>
      <c r="D169">
        <v>13</v>
      </c>
    </row>
    <row r="170" spans="1:4" x14ac:dyDescent="0.25">
      <c r="A170" s="1">
        <v>41443</v>
      </c>
      <c r="B170">
        <v>1</v>
      </c>
      <c r="C170">
        <v>1</v>
      </c>
      <c r="D170">
        <v>21</v>
      </c>
    </row>
    <row r="171" spans="1:4" x14ac:dyDescent="0.25">
      <c r="A171" s="1">
        <v>41444</v>
      </c>
      <c r="B171">
        <v>1</v>
      </c>
      <c r="C171">
        <v>1</v>
      </c>
      <c r="D171">
        <v>18</v>
      </c>
    </row>
    <row r="172" spans="1:4" x14ac:dyDescent="0.25">
      <c r="A172" s="1">
        <v>41445</v>
      </c>
      <c r="B172">
        <v>1</v>
      </c>
      <c r="C172">
        <v>1</v>
      </c>
      <c r="D172">
        <v>24</v>
      </c>
    </row>
    <row r="173" spans="1:4" x14ac:dyDescent="0.25">
      <c r="A173" s="1">
        <v>41446</v>
      </c>
      <c r="B173">
        <v>1</v>
      </c>
      <c r="C173">
        <v>1</v>
      </c>
      <c r="D173">
        <v>19</v>
      </c>
    </row>
    <row r="174" spans="1:4" x14ac:dyDescent="0.25">
      <c r="A174" s="1">
        <v>41447</v>
      </c>
      <c r="B174">
        <v>1</v>
      </c>
      <c r="C174">
        <v>1</v>
      </c>
      <c r="D174">
        <v>23</v>
      </c>
    </row>
    <row r="175" spans="1:4" x14ac:dyDescent="0.25">
      <c r="A175" s="1">
        <v>41448</v>
      </c>
      <c r="B175">
        <v>1</v>
      </c>
      <c r="C175">
        <v>1</v>
      </c>
      <c r="D175">
        <v>24</v>
      </c>
    </row>
    <row r="176" spans="1:4" x14ac:dyDescent="0.25">
      <c r="A176" s="1">
        <v>41449</v>
      </c>
      <c r="B176">
        <v>1</v>
      </c>
      <c r="C176">
        <v>1</v>
      </c>
      <c r="D176">
        <v>17</v>
      </c>
    </row>
    <row r="177" spans="1:4" x14ac:dyDescent="0.25">
      <c r="A177" s="1">
        <v>41450</v>
      </c>
      <c r="B177">
        <v>1</v>
      </c>
      <c r="C177">
        <v>1</v>
      </c>
      <c r="D177">
        <v>21</v>
      </c>
    </row>
    <row r="178" spans="1:4" x14ac:dyDescent="0.25">
      <c r="A178" s="1">
        <v>41451</v>
      </c>
      <c r="B178">
        <v>1</v>
      </c>
      <c r="C178">
        <v>1</v>
      </c>
      <c r="D178">
        <v>21</v>
      </c>
    </row>
    <row r="179" spans="1:4" x14ac:dyDescent="0.25">
      <c r="A179" s="1">
        <v>41452</v>
      </c>
      <c r="B179">
        <v>1</v>
      </c>
      <c r="C179">
        <v>1</v>
      </c>
      <c r="D179">
        <v>26</v>
      </c>
    </row>
    <row r="180" spans="1:4" x14ac:dyDescent="0.25">
      <c r="A180" s="1">
        <v>41453</v>
      </c>
      <c r="B180">
        <v>1</v>
      </c>
      <c r="C180">
        <v>1</v>
      </c>
      <c r="D180">
        <v>17</v>
      </c>
    </row>
    <row r="181" spans="1:4" x14ac:dyDescent="0.25">
      <c r="A181" s="1">
        <v>41454</v>
      </c>
      <c r="B181">
        <v>1</v>
      </c>
      <c r="C181">
        <v>1</v>
      </c>
      <c r="D181">
        <v>20</v>
      </c>
    </row>
    <row r="182" spans="1:4" x14ac:dyDescent="0.25">
      <c r="A182" s="1">
        <v>41455</v>
      </c>
      <c r="B182">
        <v>1</v>
      </c>
      <c r="C182">
        <v>1</v>
      </c>
      <c r="D182">
        <v>24</v>
      </c>
    </row>
    <row r="183" spans="1:4" x14ac:dyDescent="0.25">
      <c r="A183" s="1">
        <v>41456</v>
      </c>
      <c r="B183">
        <v>1</v>
      </c>
      <c r="C183">
        <v>1</v>
      </c>
      <c r="D183">
        <v>23</v>
      </c>
    </row>
    <row r="184" spans="1:4" x14ac:dyDescent="0.25">
      <c r="A184" s="1">
        <v>41457</v>
      </c>
      <c r="B184">
        <v>1</v>
      </c>
      <c r="C184">
        <v>1</v>
      </c>
      <c r="D184">
        <v>17</v>
      </c>
    </row>
    <row r="185" spans="1:4" x14ac:dyDescent="0.25">
      <c r="A185" s="1">
        <v>41458</v>
      </c>
      <c r="B185">
        <v>1</v>
      </c>
      <c r="C185">
        <v>1</v>
      </c>
      <c r="D185">
        <v>12</v>
      </c>
    </row>
    <row r="186" spans="1:4" x14ac:dyDescent="0.25">
      <c r="A186" s="1">
        <v>41459</v>
      </c>
      <c r="B186">
        <v>1</v>
      </c>
      <c r="C186">
        <v>1</v>
      </c>
      <c r="D186">
        <v>24</v>
      </c>
    </row>
    <row r="187" spans="1:4" x14ac:dyDescent="0.25">
      <c r="A187" s="1">
        <v>41460</v>
      </c>
      <c r="B187">
        <v>1</v>
      </c>
      <c r="C187">
        <v>1</v>
      </c>
      <c r="D187">
        <v>17</v>
      </c>
    </row>
    <row r="188" spans="1:4" x14ac:dyDescent="0.25">
      <c r="A188" s="1">
        <v>41461</v>
      </c>
      <c r="B188">
        <v>1</v>
      </c>
      <c r="C188">
        <v>1</v>
      </c>
      <c r="D188">
        <v>16</v>
      </c>
    </row>
    <row r="189" spans="1:4" x14ac:dyDescent="0.25">
      <c r="A189" s="1">
        <v>41462</v>
      </c>
      <c r="B189">
        <v>1</v>
      </c>
      <c r="C189">
        <v>1</v>
      </c>
      <c r="D189">
        <v>34</v>
      </c>
    </row>
    <row r="190" spans="1:4" x14ac:dyDescent="0.25">
      <c r="A190" s="1">
        <v>41463</v>
      </c>
      <c r="B190">
        <v>1</v>
      </c>
      <c r="C190">
        <v>1</v>
      </c>
      <c r="D190">
        <v>20</v>
      </c>
    </row>
    <row r="191" spans="1:4" x14ac:dyDescent="0.25">
      <c r="A191" s="1">
        <v>41464</v>
      </c>
      <c r="B191">
        <v>1</v>
      </c>
      <c r="C191">
        <v>1</v>
      </c>
      <c r="D191">
        <v>23</v>
      </c>
    </row>
    <row r="192" spans="1:4" x14ac:dyDescent="0.25">
      <c r="A192" s="1">
        <v>41465</v>
      </c>
      <c r="B192">
        <v>1</v>
      </c>
      <c r="C192">
        <v>1</v>
      </c>
      <c r="D192">
        <v>14</v>
      </c>
    </row>
    <row r="193" spans="1:4" x14ac:dyDescent="0.25">
      <c r="A193" s="1">
        <v>41466</v>
      </c>
      <c r="B193">
        <v>1</v>
      </c>
      <c r="C193">
        <v>1</v>
      </c>
      <c r="D193">
        <v>25</v>
      </c>
    </row>
    <row r="194" spans="1:4" x14ac:dyDescent="0.25">
      <c r="A194" s="1">
        <v>41467</v>
      </c>
      <c r="B194">
        <v>1</v>
      </c>
      <c r="C194">
        <v>1</v>
      </c>
      <c r="D194">
        <v>29</v>
      </c>
    </row>
    <row r="195" spans="1:4" x14ac:dyDescent="0.25">
      <c r="A195" s="1">
        <v>41468</v>
      </c>
      <c r="B195">
        <v>1</v>
      </c>
      <c r="C195">
        <v>1</v>
      </c>
      <c r="D195">
        <v>22</v>
      </c>
    </row>
    <row r="196" spans="1:4" x14ac:dyDescent="0.25">
      <c r="A196" s="1">
        <v>41469</v>
      </c>
      <c r="B196">
        <v>1</v>
      </c>
      <c r="C196">
        <v>1</v>
      </c>
      <c r="D196">
        <v>29</v>
      </c>
    </row>
    <row r="197" spans="1:4" x14ac:dyDescent="0.25">
      <c r="A197" s="1">
        <v>41470</v>
      </c>
      <c r="B197">
        <v>1</v>
      </c>
      <c r="C197">
        <v>1</v>
      </c>
      <c r="D197">
        <v>18</v>
      </c>
    </row>
    <row r="198" spans="1:4" x14ac:dyDescent="0.25">
      <c r="A198" s="1">
        <v>41471</v>
      </c>
      <c r="B198">
        <v>1</v>
      </c>
      <c r="C198">
        <v>1</v>
      </c>
      <c r="D198">
        <v>12</v>
      </c>
    </row>
    <row r="199" spans="1:4" x14ac:dyDescent="0.25">
      <c r="A199" s="1">
        <v>41472</v>
      </c>
      <c r="B199">
        <v>1</v>
      </c>
      <c r="C199">
        <v>1</v>
      </c>
      <c r="D199">
        <v>16</v>
      </c>
    </row>
    <row r="200" spans="1:4" x14ac:dyDescent="0.25">
      <c r="A200" s="1">
        <v>41473</v>
      </c>
      <c r="B200">
        <v>1</v>
      </c>
      <c r="C200">
        <v>1</v>
      </c>
      <c r="D200">
        <v>21</v>
      </c>
    </row>
    <row r="201" spans="1:4" x14ac:dyDescent="0.25">
      <c r="A201" s="1">
        <v>41474</v>
      </c>
      <c r="B201">
        <v>1</v>
      </c>
      <c r="C201">
        <v>1</v>
      </c>
      <c r="D201">
        <v>25</v>
      </c>
    </row>
    <row r="202" spans="1:4" x14ac:dyDescent="0.25">
      <c r="A202" s="1">
        <v>41475</v>
      </c>
      <c r="B202">
        <v>1</v>
      </c>
      <c r="C202">
        <v>1</v>
      </c>
      <c r="D202">
        <v>25</v>
      </c>
    </row>
    <row r="203" spans="1:4" x14ac:dyDescent="0.25">
      <c r="A203" s="1">
        <v>41476</v>
      </c>
      <c r="B203">
        <v>1</v>
      </c>
      <c r="C203">
        <v>1</v>
      </c>
      <c r="D203">
        <v>26</v>
      </c>
    </row>
    <row r="204" spans="1:4" x14ac:dyDescent="0.25">
      <c r="A204" s="1">
        <v>41477</v>
      </c>
      <c r="B204">
        <v>1</v>
      </c>
      <c r="C204">
        <v>1</v>
      </c>
      <c r="D204">
        <v>18</v>
      </c>
    </row>
    <row r="205" spans="1:4" x14ac:dyDescent="0.25">
      <c r="A205" s="1">
        <v>41478</v>
      </c>
      <c r="B205">
        <v>1</v>
      </c>
      <c r="C205">
        <v>1</v>
      </c>
      <c r="D205">
        <v>17</v>
      </c>
    </row>
    <row r="206" spans="1:4" x14ac:dyDescent="0.25">
      <c r="A206" s="1">
        <v>41479</v>
      </c>
      <c r="B206">
        <v>1</v>
      </c>
      <c r="C206">
        <v>1</v>
      </c>
      <c r="D206">
        <v>21</v>
      </c>
    </row>
    <row r="207" spans="1:4" x14ac:dyDescent="0.25">
      <c r="A207" s="1">
        <v>41480</v>
      </c>
      <c r="B207">
        <v>1</v>
      </c>
      <c r="C207">
        <v>1</v>
      </c>
      <c r="D207">
        <v>21</v>
      </c>
    </row>
    <row r="208" spans="1:4" x14ac:dyDescent="0.25">
      <c r="A208" s="1">
        <v>41481</v>
      </c>
      <c r="B208">
        <v>1</v>
      </c>
      <c r="C208">
        <v>1</v>
      </c>
      <c r="D208">
        <v>31</v>
      </c>
    </row>
    <row r="209" spans="1:4" x14ac:dyDescent="0.25">
      <c r="A209" s="1">
        <v>41482</v>
      </c>
      <c r="B209">
        <v>1</v>
      </c>
      <c r="C209">
        <v>1</v>
      </c>
      <c r="D209">
        <v>19</v>
      </c>
    </row>
    <row r="210" spans="1:4" x14ac:dyDescent="0.25">
      <c r="A210" s="1">
        <v>41483</v>
      </c>
      <c r="B210">
        <v>1</v>
      </c>
      <c r="C210">
        <v>1</v>
      </c>
      <c r="D210">
        <v>25</v>
      </c>
    </row>
    <row r="211" spans="1:4" x14ac:dyDescent="0.25">
      <c r="A211" s="1">
        <v>41484</v>
      </c>
      <c r="B211">
        <v>1</v>
      </c>
      <c r="C211">
        <v>1</v>
      </c>
      <c r="D211">
        <v>8</v>
      </c>
    </row>
    <row r="212" spans="1:4" x14ac:dyDescent="0.25">
      <c r="A212" s="1">
        <v>41485</v>
      </c>
      <c r="B212">
        <v>1</v>
      </c>
      <c r="C212">
        <v>1</v>
      </c>
      <c r="D212">
        <v>26</v>
      </c>
    </row>
    <row r="213" spans="1:4" x14ac:dyDescent="0.25">
      <c r="A213" s="1">
        <v>41486</v>
      </c>
      <c r="B213">
        <v>1</v>
      </c>
      <c r="C213">
        <v>1</v>
      </c>
      <c r="D213">
        <v>27</v>
      </c>
    </row>
    <row r="214" spans="1:4" x14ac:dyDescent="0.25">
      <c r="A214" s="1">
        <v>41487</v>
      </c>
      <c r="B214">
        <v>1</v>
      </c>
      <c r="C214">
        <v>1</v>
      </c>
      <c r="D214">
        <v>21</v>
      </c>
    </row>
    <row r="215" spans="1:4" x14ac:dyDescent="0.25">
      <c r="A215" s="1">
        <v>41488</v>
      </c>
      <c r="B215">
        <v>1</v>
      </c>
      <c r="C215">
        <v>1</v>
      </c>
      <c r="D215">
        <v>19</v>
      </c>
    </row>
    <row r="216" spans="1:4" x14ac:dyDescent="0.25">
      <c r="A216" s="1">
        <v>41489</v>
      </c>
      <c r="B216">
        <v>1</v>
      </c>
      <c r="C216">
        <v>1</v>
      </c>
      <c r="D216">
        <v>24</v>
      </c>
    </row>
    <row r="217" spans="1:4" x14ac:dyDescent="0.25">
      <c r="A217" s="1">
        <v>41490</v>
      </c>
      <c r="B217">
        <v>1</v>
      </c>
      <c r="C217">
        <v>1</v>
      </c>
      <c r="D217">
        <v>26</v>
      </c>
    </row>
    <row r="218" spans="1:4" x14ac:dyDescent="0.25">
      <c r="A218" s="1">
        <v>41491</v>
      </c>
      <c r="B218">
        <v>1</v>
      </c>
      <c r="C218">
        <v>1</v>
      </c>
      <c r="D218">
        <v>17</v>
      </c>
    </row>
    <row r="219" spans="1:4" x14ac:dyDescent="0.25">
      <c r="A219" s="1">
        <v>41492</v>
      </c>
      <c r="B219">
        <v>1</v>
      </c>
      <c r="C219">
        <v>1</v>
      </c>
      <c r="D219">
        <v>10</v>
      </c>
    </row>
    <row r="220" spans="1:4" x14ac:dyDescent="0.25">
      <c r="A220" s="1">
        <v>41493</v>
      </c>
      <c r="B220">
        <v>1</v>
      </c>
      <c r="C220">
        <v>1</v>
      </c>
      <c r="D220">
        <v>25</v>
      </c>
    </row>
    <row r="221" spans="1:4" x14ac:dyDescent="0.25">
      <c r="A221" s="1">
        <v>41494</v>
      </c>
      <c r="B221">
        <v>1</v>
      </c>
      <c r="C221">
        <v>1</v>
      </c>
      <c r="D221">
        <v>20</v>
      </c>
    </row>
    <row r="222" spans="1:4" x14ac:dyDescent="0.25">
      <c r="A222" s="1">
        <v>41495</v>
      </c>
      <c r="B222">
        <v>1</v>
      </c>
      <c r="C222">
        <v>1</v>
      </c>
      <c r="D222">
        <v>19</v>
      </c>
    </row>
    <row r="223" spans="1:4" x14ac:dyDescent="0.25">
      <c r="A223" s="1">
        <v>41496</v>
      </c>
      <c r="B223">
        <v>1</v>
      </c>
      <c r="C223">
        <v>1</v>
      </c>
      <c r="D223">
        <v>22</v>
      </c>
    </row>
    <row r="224" spans="1:4" x14ac:dyDescent="0.25">
      <c r="A224" s="1">
        <v>41497</v>
      </c>
      <c r="B224">
        <v>1</v>
      </c>
      <c r="C224">
        <v>1</v>
      </c>
      <c r="D224">
        <v>25</v>
      </c>
    </row>
    <row r="225" spans="1:4" x14ac:dyDescent="0.25">
      <c r="A225" s="1">
        <v>41498</v>
      </c>
      <c r="B225">
        <v>1</v>
      </c>
      <c r="C225">
        <v>1</v>
      </c>
      <c r="D225">
        <v>10</v>
      </c>
    </row>
    <row r="226" spans="1:4" x14ac:dyDescent="0.25">
      <c r="A226" s="1">
        <v>41499</v>
      </c>
      <c r="B226">
        <v>1</v>
      </c>
      <c r="C226">
        <v>1</v>
      </c>
      <c r="D226">
        <v>11</v>
      </c>
    </row>
    <row r="227" spans="1:4" x14ac:dyDescent="0.25">
      <c r="A227" s="1">
        <v>41500</v>
      </c>
      <c r="B227">
        <v>1</v>
      </c>
      <c r="C227">
        <v>1</v>
      </c>
      <c r="D227">
        <v>19</v>
      </c>
    </row>
    <row r="228" spans="1:4" x14ac:dyDescent="0.25">
      <c r="A228" s="1">
        <v>41501</v>
      </c>
      <c r="B228">
        <v>1</v>
      </c>
      <c r="C228">
        <v>1</v>
      </c>
      <c r="D228">
        <v>22</v>
      </c>
    </row>
    <row r="229" spans="1:4" x14ac:dyDescent="0.25">
      <c r="A229" s="1">
        <v>41502</v>
      </c>
      <c r="B229">
        <v>1</v>
      </c>
      <c r="C229">
        <v>1</v>
      </c>
      <c r="D229">
        <v>15</v>
      </c>
    </row>
    <row r="230" spans="1:4" x14ac:dyDescent="0.25">
      <c r="A230" s="1">
        <v>41503</v>
      </c>
      <c r="B230">
        <v>1</v>
      </c>
      <c r="C230">
        <v>1</v>
      </c>
      <c r="D230">
        <v>29</v>
      </c>
    </row>
    <row r="231" spans="1:4" x14ac:dyDescent="0.25">
      <c r="A231" s="1">
        <v>41504</v>
      </c>
      <c r="B231">
        <v>1</v>
      </c>
      <c r="C231">
        <v>1</v>
      </c>
      <c r="D231">
        <v>27</v>
      </c>
    </row>
    <row r="232" spans="1:4" x14ac:dyDescent="0.25">
      <c r="A232" s="1">
        <v>41505</v>
      </c>
      <c r="B232">
        <v>1</v>
      </c>
      <c r="C232">
        <v>1</v>
      </c>
      <c r="D232">
        <v>11</v>
      </c>
    </row>
    <row r="233" spans="1:4" x14ac:dyDescent="0.25">
      <c r="A233" s="1">
        <v>41506</v>
      </c>
      <c r="B233">
        <v>1</v>
      </c>
      <c r="C233">
        <v>1</v>
      </c>
      <c r="D233">
        <v>15</v>
      </c>
    </row>
    <row r="234" spans="1:4" x14ac:dyDescent="0.25">
      <c r="A234" s="1">
        <v>41507</v>
      </c>
      <c r="B234">
        <v>1</v>
      </c>
      <c r="C234">
        <v>1</v>
      </c>
      <c r="D234">
        <v>20</v>
      </c>
    </row>
    <row r="235" spans="1:4" x14ac:dyDescent="0.25">
      <c r="A235" s="1">
        <v>41508</v>
      </c>
      <c r="B235">
        <v>1</v>
      </c>
      <c r="C235">
        <v>1</v>
      </c>
      <c r="D235">
        <v>20</v>
      </c>
    </row>
    <row r="236" spans="1:4" x14ac:dyDescent="0.25">
      <c r="A236" s="1">
        <v>41509</v>
      </c>
      <c r="B236">
        <v>1</v>
      </c>
      <c r="C236">
        <v>1</v>
      </c>
      <c r="D236">
        <v>19</v>
      </c>
    </row>
    <row r="237" spans="1:4" x14ac:dyDescent="0.25">
      <c r="A237" s="1">
        <v>41510</v>
      </c>
      <c r="B237">
        <v>1</v>
      </c>
      <c r="C237">
        <v>1</v>
      </c>
      <c r="D237">
        <v>19</v>
      </c>
    </row>
    <row r="238" spans="1:4" x14ac:dyDescent="0.25">
      <c r="A238" s="1">
        <v>41511</v>
      </c>
      <c r="B238">
        <v>1</v>
      </c>
      <c r="C238">
        <v>1</v>
      </c>
      <c r="D238">
        <v>23</v>
      </c>
    </row>
    <row r="239" spans="1:4" x14ac:dyDescent="0.25">
      <c r="A239" s="1">
        <v>41512</v>
      </c>
      <c r="B239">
        <v>1</v>
      </c>
      <c r="C239">
        <v>1</v>
      </c>
      <c r="D239">
        <v>11</v>
      </c>
    </row>
    <row r="240" spans="1:4" x14ac:dyDescent="0.25">
      <c r="A240" s="1">
        <v>41513</v>
      </c>
      <c r="B240">
        <v>1</v>
      </c>
      <c r="C240">
        <v>1</v>
      </c>
      <c r="D240">
        <v>16</v>
      </c>
    </row>
    <row r="241" spans="1:4" x14ac:dyDescent="0.25">
      <c r="A241" s="1">
        <v>41514</v>
      </c>
      <c r="B241">
        <v>1</v>
      </c>
      <c r="C241">
        <v>1</v>
      </c>
      <c r="D241">
        <v>20</v>
      </c>
    </row>
    <row r="242" spans="1:4" x14ac:dyDescent="0.25">
      <c r="A242" s="1">
        <v>41515</v>
      </c>
      <c r="B242">
        <v>1</v>
      </c>
      <c r="C242">
        <v>1</v>
      </c>
      <c r="D242">
        <v>14</v>
      </c>
    </row>
    <row r="243" spans="1:4" x14ac:dyDescent="0.25">
      <c r="A243" s="1">
        <v>41516</v>
      </c>
      <c r="B243">
        <v>1</v>
      </c>
      <c r="C243">
        <v>1</v>
      </c>
      <c r="D243">
        <v>20</v>
      </c>
    </row>
    <row r="244" spans="1:4" x14ac:dyDescent="0.25">
      <c r="A244" s="1">
        <v>41517</v>
      </c>
      <c r="B244">
        <v>1</v>
      </c>
      <c r="C244">
        <v>1</v>
      </c>
      <c r="D244">
        <v>25</v>
      </c>
    </row>
    <row r="245" spans="1:4" x14ac:dyDescent="0.25">
      <c r="A245" s="1">
        <v>41518</v>
      </c>
      <c r="B245">
        <v>1</v>
      </c>
      <c r="C245">
        <v>1</v>
      </c>
      <c r="D245">
        <v>25</v>
      </c>
    </row>
    <row r="246" spans="1:4" x14ac:dyDescent="0.25">
      <c r="A246" s="1">
        <v>41519</v>
      </c>
      <c r="B246">
        <v>1</v>
      </c>
      <c r="C246">
        <v>1</v>
      </c>
      <c r="D246">
        <v>10</v>
      </c>
    </row>
    <row r="247" spans="1:4" x14ac:dyDescent="0.25">
      <c r="A247" s="1">
        <v>41520</v>
      </c>
      <c r="B247">
        <v>1</v>
      </c>
      <c r="C247">
        <v>1</v>
      </c>
      <c r="D247">
        <v>16</v>
      </c>
    </row>
    <row r="248" spans="1:4" x14ac:dyDescent="0.25">
      <c r="A248" s="1">
        <v>41521</v>
      </c>
      <c r="B248">
        <v>1</v>
      </c>
      <c r="C248">
        <v>1</v>
      </c>
      <c r="D248">
        <v>10</v>
      </c>
    </row>
    <row r="249" spans="1:4" x14ac:dyDescent="0.25">
      <c r="A249" s="1">
        <v>41522</v>
      </c>
      <c r="B249">
        <v>1</v>
      </c>
      <c r="C249">
        <v>1</v>
      </c>
      <c r="D249">
        <v>16</v>
      </c>
    </row>
    <row r="250" spans="1:4" x14ac:dyDescent="0.25">
      <c r="A250" s="1">
        <v>41523</v>
      </c>
      <c r="B250">
        <v>1</v>
      </c>
      <c r="C250">
        <v>1</v>
      </c>
      <c r="D250">
        <v>20</v>
      </c>
    </row>
    <row r="251" spans="1:4" x14ac:dyDescent="0.25">
      <c r="A251" s="1">
        <v>41524</v>
      </c>
      <c r="B251">
        <v>1</v>
      </c>
      <c r="C251">
        <v>1</v>
      </c>
      <c r="D251">
        <v>20</v>
      </c>
    </row>
    <row r="252" spans="1:4" x14ac:dyDescent="0.25">
      <c r="A252" s="1">
        <v>41525</v>
      </c>
      <c r="B252">
        <v>1</v>
      </c>
      <c r="C252">
        <v>1</v>
      </c>
      <c r="D252">
        <v>19</v>
      </c>
    </row>
    <row r="253" spans="1:4" x14ac:dyDescent="0.25">
      <c r="A253" s="1">
        <v>41526</v>
      </c>
      <c r="B253">
        <v>1</v>
      </c>
      <c r="C253">
        <v>1</v>
      </c>
      <c r="D253">
        <v>15</v>
      </c>
    </row>
    <row r="254" spans="1:4" x14ac:dyDescent="0.25">
      <c r="A254" s="1">
        <v>41527</v>
      </c>
      <c r="B254">
        <v>1</v>
      </c>
      <c r="C254">
        <v>1</v>
      </c>
      <c r="D254">
        <v>17</v>
      </c>
    </row>
    <row r="255" spans="1:4" x14ac:dyDescent="0.25">
      <c r="A255" s="1">
        <v>41528</v>
      </c>
      <c r="B255">
        <v>1</v>
      </c>
      <c r="C255">
        <v>1</v>
      </c>
      <c r="D255">
        <v>26</v>
      </c>
    </row>
    <row r="256" spans="1:4" x14ac:dyDescent="0.25">
      <c r="A256" s="1">
        <v>41529</v>
      </c>
      <c r="B256">
        <v>1</v>
      </c>
      <c r="C256">
        <v>1</v>
      </c>
      <c r="D256">
        <v>14</v>
      </c>
    </row>
    <row r="257" spans="1:4" x14ac:dyDescent="0.25">
      <c r="A257" s="1">
        <v>41530</v>
      </c>
      <c r="B257">
        <v>1</v>
      </c>
      <c r="C257">
        <v>1</v>
      </c>
      <c r="D257">
        <v>16</v>
      </c>
    </row>
    <row r="258" spans="1:4" x14ac:dyDescent="0.25">
      <c r="A258" s="1">
        <v>41531</v>
      </c>
      <c r="B258">
        <v>1</v>
      </c>
      <c r="C258">
        <v>1</v>
      </c>
      <c r="D258">
        <v>27</v>
      </c>
    </row>
    <row r="259" spans="1:4" x14ac:dyDescent="0.25">
      <c r="A259" s="1">
        <v>41532</v>
      </c>
      <c r="B259">
        <v>1</v>
      </c>
      <c r="C259">
        <v>1</v>
      </c>
      <c r="D259">
        <v>14</v>
      </c>
    </row>
    <row r="260" spans="1:4" x14ac:dyDescent="0.25">
      <c r="A260" s="1">
        <v>41533</v>
      </c>
      <c r="B260">
        <v>1</v>
      </c>
      <c r="C260">
        <v>1</v>
      </c>
      <c r="D260">
        <v>16</v>
      </c>
    </row>
    <row r="261" spans="1:4" x14ac:dyDescent="0.25">
      <c r="A261" s="1">
        <v>41534</v>
      </c>
      <c r="B261">
        <v>1</v>
      </c>
      <c r="C261">
        <v>1</v>
      </c>
      <c r="D261">
        <v>20</v>
      </c>
    </row>
    <row r="262" spans="1:4" x14ac:dyDescent="0.25">
      <c r="A262" s="1">
        <v>41535</v>
      </c>
      <c r="B262">
        <v>1</v>
      </c>
      <c r="C262">
        <v>1</v>
      </c>
      <c r="D262">
        <v>18</v>
      </c>
    </row>
    <row r="263" spans="1:4" x14ac:dyDescent="0.25">
      <c r="A263" s="1">
        <v>41536</v>
      </c>
      <c r="B263">
        <v>1</v>
      </c>
      <c r="C263">
        <v>1</v>
      </c>
      <c r="D263">
        <v>16</v>
      </c>
    </row>
    <row r="264" spans="1:4" x14ac:dyDescent="0.25">
      <c r="A264" s="1">
        <v>41537</v>
      </c>
      <c r="B264">
        <v>1</v>
      </c>
      <c r="C264">
        <v>1</v>
      </c>
      <c r="D264">
        <v>11</v>
      </c>
    </row>
    <row r="265" spans="1:4" x14ac:dyDescent="0.25">
      <c r="A265" s="1">
        <v>41538</v>
      </c>
      <c r="B265">
        <v>1</v>
      </c>
      <c r="C265">
        <v>1</v>
      </c>
      <c r="D265">
        <v>13</v>
      </c>
    </row>
    <row r="266" spans="1:4" x14ac:dyDescent="0.25">
      <c r="A266" s="1">
        <v>41539</v>
      </c>
      <c r="B266">
        <v>1</v>
      </c>
      <c r="C266">
        <v>1</v>
      </c>
      <c r="D266">
        <v>16</v>
      </c>
    </row>
    <row r="267" spans="1:4" x14ac:dyDescent="0.25">
      <c r="A267" s="1">
        <v>41540</v>
      </c>
      <c r="B267">
        <v>1</v>
      </c>
      <c r="C267">
        <v>1</v>
      </c>
      <c r="D267">
        <v>18</v>
      </c>
    </row>
    <row r="268" spans="1:4" x14ac:dyDescent="0.25">
      <c r="A268" s="1">
        <v>41541</v>
      </c>
      <c r="B268">
        <v>1</v>
      </c>
      <c r="C268">
        <v>1</v>
      </c>
      <c r="D268">
        <v>14</v>
      </c>
    </row>
    <row r="269" spans="1:4" x14ac:dyDescent="0.25">
      <c r="A269" s="1">
        <v>41542</v>
      </c>
      <c r="B269">
        <v>1</v>
      </c>
      <c r="C269">
        <v>1</v>
      </c>
      <c r="D269">
        <v>17</v>
      </c>
    </row>
    <row r="270" spans="1:4" x14ac:dyDescent="0.25">
      <c r="A270" s="1">
        <v>41543</v>
      </c>
      <c r="B270">
        <v>1</v>
      </c>
      <c r="C270">
        <v>1</v>
      </c>
      <c r="D270">
        <v>20</v>
      </c>
    </row>
    <row r="271" spans="1:4" x14ac:dyDescent="0.25">
      <c r="A271" s="1">
        <v>41544</v>
      </c>
      <c r="B271">
        <v>1</v>
      </c>
      <c r="C271">
        <v>1</v>
      </c>
      <c r="D271">
        <v>22</v>
      </c>
    </row>
    <row r="272" spans="1:4" x14ac:dyDescent="0.25">
      <c r="A272" s="1">
        <v>41545</v>
      </c>
      <c r="B272">
        <v>1</v>
      </c>
      <c r="C272">
        <v>1</v>
      </c>
      <c r="D272">
        <v>13</v>
      </c>
    </row>
    <row r="273" spans="1:4" x14ac:dyDescent="0.25">
      <c r="A273" s="1">
        <v>41546</v>
      </c>
      <c r="B273">
        <v>1</v>
      </c>
      <c r="C273">
        <v>1</v>
      </c>
      <c r="D273">
        <v>20</v>
      </c>
    </row>
    <row r="274" spans="1:4" x14ac:dyDescent="0.25">
      <c r="A274" s="1">
        <v>41547</v>
      </c>
      <c r="B274">
        <v>1</v>
      </c>
      <c r="C274">
        <v>1</v>
      </c>
      <c r="D274">
        <v>20</v>
      </c>
    </row>
    <row r="275" spans="1:4" x14ac:dyDescent="0.25">
      <c r="A275" s="1">
        <v>41548</v>
      </c>
      <c r="B275">
        <v>1</v>
      </c>
      <c r="C275">
        <v>1</v>
      </c>
      <c r="D275">
        <v>12</v>
      </c>
    </row>
    <row r="276" spans="1:4" x14ac:dyDescent="0.25">
      <c r="A276" s="1">
        <v>41549</v>
      </c>
      <c r="B276">
        <v>1</v>
      </c>
      <c r="C276">
        <v>1</v>
      </c>
      <c r="D276">
        <v>11</v>
      </c>
    </row>
    <row r="277" spans="1:4" x14ac:dyDescent="0.25">
      <c r="A277" s="1">
        <v>41550</v>
      </c>
      <c r="B277">
        <v>1</v>
      </c>
      <c r="C277">
        <v>1</v>
      </c>
      <c r="D277">
        <v>14</v>
      </c>
    </row>
    <row r="278" spans="1:4" x14ac:dyDescent="0.25">
      <c r="A278" s="1">
        <v>41551</v>
      </c>
      <c r="B278">
        <v>1</v>
      </c>
      <c r="C278">
        <v>1</v>
      </c>
      <c r="D278">
        <v>14</v>
      </c>
    </row>
    <row r="279" spans="1:4" x14ac:dyDescent="0.25">
      <c r="A279" s="1">
        <v>41552</v>
      </c>
      <c r="B279">
        <v>1</v>
      </c>
      <c r="C279">
        <v>1</v>
      </c>
      <c r="D279">
        <v>14</v>
      </c>
    </row>
    <row r="280" spans="1:4" x14ac:dyDescent="0.25">
      <c r="A280" s="1">
        <v>41553</v>
      </c>
      <c r="B280">
        <v>1</v>
      </c>
      <c r="C280">
        <v>1</v>
      </c>
      <c r="D280">
        <v>20</v>
      </c>
    </row>
    <row r="281" spans="1:4" x14ac:dyDescent="0.25">
      <c r="A281" s="1">
        <v>41554</v>
      </c>
      <c r="B281">
        <v>1</v>
      </c>
      <c r="C281">
        <v>1</v>
      </c>
      <c r="D281">
        <v>13</v>
      </c>
    </row>
    <row r="282" spans="1:4" x14ac:dyDescent="0.25">
      <c r="A282" s="1">
        <v>41555</v>
      </c>
      <c r="B282">
        <v>1</v>
      </c>
      <c r="C282">
        <v>1</v>
      </c>
      <c r="D282">
        <v>13</v>
      </c>
    </row>
    <row r="283" spans="1:4" x14ac:dyDescent="0.25">
      <c r="A283" s="1">
        <v>41556</v>
      </c>
      <c r="B283">
        <v>1</v>
      </c>
      <c r="C283">
        <v>1</v>
      </c>
      <c r="D283">
        <v>14</v>
      </c>
    </row>
    <row r="284" spans="1:4" x14ac:dyDescent="0.25">
      <c r="A284" s="1">
        <v>41557</v>
      </c>
      <c r="B284">
        <v>1</v>
      </c>
      <c r="C284">
        <v>1</v>
      </c>
      <c r="D284">
        <v>20</v>
      </c>
    </row>
    <row r="285" spans="1:4" x14ac:dyDescent="0.25">
      <c r="A285" s="1">
        <v>41558</v>
      </c>
      <c r="B285">
        <v>1</v>
      </c>
      <c r="C285">
        <v>1</v>
      </c>
      <c r="D285">
        <v>17</v>
      </c>
    </row>
    <row r="286" spans="1:4" x14ac:dyDescent="0.25">
      <c r="A286" s="1">
        <v>41559</v>
      </c>
      <c r="B286">
        <v>1</v>
      </c>
      <c r="C286">
        <v>1</v>
      </c>
      <c r="D286">
        <v>17</v>
      </c>
    </row>
    <row r="287" spans="1:4" x14ac:dyDescent="0.25">
      <c r="A287" s="1">
        <v>41560</v>
      </c>
      <c r="B287">
        <v>1</v>
      </c>
      <c r="C287">
        <v>1</v>
      </c>
      <c r="D287">
        <v>20</v>
      </c>
    </row>
    <row r="288" spans="1:4" x14ac:dyDescent="0.25">
      <c r="A288" s="1">
        <v>41561</v>
      </c>
      <c r="B288">
        <v>1</v>
      </c>
      <c r="C288">
        <v>1</v>
      </c>
      <c r="D288">
        <v>15</v>
      </c>
    </row>
    <row r="289" spans="1:4" x14ac:dyDescent="0.25">
      <c r="A289" s="1">
        <v>41562</v>
      </c>
      <c r="B289">
        <v>1</v>
      </c>
      <c r="C289">
        <v>1</v>
      </c>
      <c r="D289">
        <v>15</v>
      </c>
    </row>
    <row r="290" spans="1:4" x14ac:dyDescent="0.25">
      <c r="A290" s="1">
        <v>41563</v>
      </c>
      <c r="B290">
        <v>1</v>
      </c>
      <c r="C290">
        <v>1</v>
      </c>
      <c r="D290">
        <v>15</v>
      </c>
    </row>
    <row r="291" spans="1:4" x14ac:dyDescent="0.25">
      <c r="A291" s="1">
        <v>41564</v>
      </c>
      <c r="B291">
        <v>1</v>
      </c>
      <c r="C291">
        <v>1</v>
      </c>
      <c r="D291">
        <v>10</v>
      </c>
    </row>
    <row r="292" spans="1:4" x14ac:dyDescent="0.25">
      <c r="A292" s="1">
        <v>41565</v>
      </c>
      <c r="B292">
        <v>1</v>
      </c>
      <c r="C292">
        <v>1</v>
      </c>
      <c r="D292">
        <v>10</v>
      </c>
    </row>
    <row r="293" spans="1:4" x14ac:dyDescent="0.25">
      <c r="A293" s="1">
        <v>41566</v>
      </c>
      <c r="B293">
        <v>1</v>
      </c>
      <c r="C293">
        <v>1</v>
      </c>
      <c r="D293">
        <v>18</v>
      </c>
    </row>
    <row r="294" spans="1:4" x14ac:dyDescent="0.25">
      <c r="A294" s="1">
        <v>41567</v>
      </c>
      <c r="B294">
        <v>1</v>
      </c>
      <c r="C294">
        <v>1</v>
      </c>
      <c r="D294">
        <v>25</v>
      </c>
    </row>
    <row r="295" spans="1:4" x14ac:dyDescent="0.25">
      <c r="A295" s="1">
        <v>41568</v>
      </c>
      <c r="B295">
        <v>1</v>
      </c>
      <c r="C295">
        <v>1</v>
      </c>
      <c r="D295">
        <v>13</v>
      </c>
    </row>
    <row r="296" spans="1:4" x14ac:dyDescent="0.25">
      <c r="A296" s="1">
        <v>41569</v>
      </c>
      <c r="B296">
        <v>1</v>
      </c>
      <c r="C296">
        <v>1</v>
      </c>
      <c r="D296">
        <v>11</v>
      </c>
    </row>
    <row r="297" spans="1:4" x14ac:dyDescent="0.25">
      <c r="A297" s="1">
        <v>41570</v>
      </c>
      <c r="B297">
        <v>1</v>
      </c>
      <c r="C297">
        <v>1</v>
      </c>
      <c r="D297">
        <v>16</v>
      </c>
    </row>
    <row r="298" spans="1:4" x14ac:dyDescent="0.25">
      <c r="A298" s="1">
        <v>41571</v>
      </c>
      <c r="B298">
        <v>1</v>
      </c>
      <c r="C298">
        <v>1</v>
      </c>
      <c r="D298">
        <v>17</v>
      </c>
    </row>
    <row r="299" spans="1:4" x14ac:dyDescent="0.25">
      <c r="A299" s="1">
        <v>41572</v>
      </c>
      <c r="B299">
        <v>1</v>
      </c>
      <c r="C299">
        <v>1</v>
      </c>
      <c r="D299">
        <v>18</v>
      </c>
    </row>
    <row r="300" spans="1:4" x14ac:dyDescent="0.25">
      <c r="A300" s="1">
        <v>41573</v>
      </c>
      <c r="B300">
        <v>1</v>
      </c>
      <c r="C300">
        <v>1</v>
      </c>
      <c r="D300">
        <v>19</v>
      </c>
    </row>
    <row r="301" spans="1:4" x14ac:dyDescent="0.25">
      <c r="A301" s="1">
        <v>41574</v>
      </c>
      <c r="B301">
        <v>1</v>
      </c>
      <c r="C301">
        <v>1</v>
      </c>
      <c r="D301">
        <v>14</v>
      </c>
    </row>
    <row r="302" spans="1:4" x14ac:dyDescent="0.25">
      <c r="A302" s="1">
        <v>41575</v>
      </c>
      <c r="B302">
        <v>1</v>
      </c>
      <c r="C302">
        <v>1</v>
      </c>
      <c r="D302">
        <v>11</v>
      </c>
    </row>
    <row r="303" spans="1:4" x14ac:dyDescent="0.25">
      <c r="A303" s="1">
        <v>41576</v>
      </c>
      <c r="B303">
        <v>1</v>
      </c>
      <c r="C303">
        <v>1</v>
      </c>
      <c r="D303">
        <v>17</v>
      </c>
    </row>
    <row r="304" spans="1:4" x14ac:dyDescent="0.25">
      <c r="A304" s="1">
        <v>41577</v>
      </c>
      <c r="B304">
        <v>1</v>
      </c>
      <c r="C304">
        <v>1</v>
      </c>
      <c r="D304">
        <v>20</v>
      </c>
    </row>
    <row r="305" spans="1:4" x14ac:dyDescent="0.25">
      <c r="A305" s="1">
        <v>41578</v>
      </c>
      <c r="B305">
        <v>1</v>
      </c>
      <c r="C305">
        <v>1</v>
      </c>
      <c r="D305">
        <v>21</v>
      </c>
    </row>
    <row r="306" spans="1:4" x14ac:dyDescent="0.25">
      <c r="A306" s="1">
        <v>41579</v>
      </c>
      <c r="B306">
        <v>1</v>
      </c>
      <c r="C306">
        <v>1</v>
      </c>
      <c r="D306">
        <v>20</v>
      </c>
    </row>
    <row r="307" spans="1:4" x14ac:dyDescent="0.25">
      <c r="A307" s="1">
        <v>41580</v>
      </c>
      <c r="B307">
        <v>1</v>
      </c>
      <c r="C307">
        <v>1</v>
      </c>
      <c r="D307">
        <v>24</v>
      </c>
    </row>
    <row r="308" spans="1:4" x14ac:dyDescent="0.25">
      <c r="A308" s="1">
        <v>41581</v>
      </c>
      <c r="B308">
        <v>1</v>
      </c>
      <c r="C308">
        <v>1</v>
      </c>
      <c r="D308">
        <v>19</v>
      </c>
    </row>
    <row r="309" spans="1:4" x14ac:dyDescent="0.25">
      <c r="A309" s="1">
        <v>41582</v>
      </c>
      <c r="B309">
        <v>1</v>
      </c>
      <c r="C309">
        <v>1</v>
      </c>
      <c r="D309">
        <v>12</v>
      </c>
    </row>
    <row r="310" spans="1:4" x14ac:dyDescent="0.25">
      <c r="A310" s="1">
        <v>41583</v>
      </c>
      <c r="B310">
        <v>1</v>
      </c>
      <c r="C310">
        <v>1</v>
      </c>
      <c r="D310">
        <v>20</v>
      </c>
    </row>
    <row r="311" spans="1:4" x14ac:dyDescent="0.25">
      <c r="A311" s="1">
        <v>41584</v>
      </c>
      <c r="B311">
        <v>1</v>
      </c>
      <c r="C311">
        <v>1</v>
      </c>
      <c r="D311">
        <v>16</v>
      </c>
    </row>
    <row r="312" spans="1:4" x14ac:dyDescent="0.25">
      <c r="A312" s="1">
        <v>41585</v>
      </c>
      <c r="B312">
        <v>1</v>
      </c>
      <c r="C312">
        <v>1</v>
      </c>
      <c r="D312">
        <v>17</v>
      </c>
    </row>
    <row r="313" spans="1:4" x14ac:dyDescent="0.25">
      <c r="A313" s="1">
        <v>41586</v>
      </c>
      <c r="B313">
        <v>1</v>
      </c>
      <c r="C313">
        <v>1</v>
      </c>
      <c r="D313">
        <v>22</v>
      </c>
    </row>
    <row r="314" spans="1:4" x14ac:dyDescent="0.25">
      <c r="A314" s="1">
        <v>41587</v>
      </c>
      <c r="B314">
        <v>1</v>
      </c>
      <c r="C314">
        <v>1</v>
      </c>
      <c r="D314">
        <v>18</v>
      </c>
    </row>
    <row r="315" spans="1:4" x14ac:dyDescent="0.25">
      <c r="A315" s="1">
        <v>41588</v>
      </c>
      <c r="B315">
        <v>1</v>
      </c>
      <c r="C315">
        <v>1</v>
      </c>
      <c r="D315">
        <v>23</v>
      </c>
    </row>
    <row r="316" spans="1:4" x14ac:dyDescent="0.25">
      <c r="A316" s="1">
        <v>41589</v>
      </c>
      <c r="B316">
        <v>1</v>
      </c>
      <c r="C316">
        <v>1</v>
      </c>
      <c r="D316">
        <v>16</v>
      </c>
    </row>
    <row r="317" spans="1:4" x14ac:dyDescent="0.25">
      <c r="A317" s="1">
        <v>41590</v>
      </c>
      <c r="B317">
        <v>1</v>
      </c>
      <c r="C317">
        <v>1</v>
      </c>
      <c r="D317">
        <v>20</v>
      </c>
    </row>
    <row r="318" spans="1:4" x14ac:dyDescent="0.25">
      <c r="A318" s="1">
        <v>41591</v>
      </c>
      <c r="B318">
        <v>1</v>
      </c>
      <c r="C318">
        <v>1</v>
      </c>
      <c r="D318">
        <v>20</v>
      </c>
    </row>
    <row r="319" spans="1:4" x14ac:dyDescent="0.25">
      <c r="A319" s="1">
        <v>41592</v>
      </c>
      <c r="B319">
        <v>1</v>
      </c>
      <c r="C319">
        <v>1</v>
      </c>
      <c r="D319">
        <v>9</v>
      </c>
    </row>
    <row r="320" spans="1:4" x14ac:dyDescent="0.25">
      <c r="A320" s="1">
        <v>41593</v>
      </c>
      <c r="B320">
        <v>1</v>
      </c>
      <c r="C320">
        <v>1</v>
      </c>
      <c r="D320">
        <v>18</v>
      </c>
    </row>
    <row r="321" spans="1:4" x14ac:dyDescent="0.25">
      <c r="A321" s="1">
        <v>41594</v>
      </c>
      <c r="B321">
        <v>1</v>
      </c>
      <c r="C321">
        <v>1</v>
      </c>
      <c r="D321">
        <v>13</v>
      </c>
    </row>
    <row r="322" spans="1:4" x14ac:dyDescent="0.25">
      <c r="A322" s="1">
        <v>41595</v>
      </c>
      <c r="B322">
        <v>1</v>
      </c>
      <c r="C322">
        <v>1</v>
      </c>
      <c r="D322">
        <v>17</v>
      </c>
    </row>
    <row r="323" spans="1:4" x14ac:dyDescent="0.25">
      <c r="A323" s="1">
        <v>41596</v>
      </c>
      <c r="B323">
        <v>1</v>
      </c>
      <c r="C323">
        <v>1</v>
      </c>
      <c r="D323">
        <v>17</v>
      </c>
    </row>
    <row r="324" spans="1:4" x14ac:dyDescent="0.25">
      <c r="A324" s="1">
        <v>41597</v>
      </c>
      <c r="B324">
        <v>1</v>
      </c>
      <c r="C324">
        <v>1</v>
      </c>
      <c r="D324">
        <v>18</v>
      </c>
    </row>
    <row r="325" spans="1:4" x14ac:dyDescent="0.25">
      <c r="A325" s="1">
        <v>41598</v>
      </c>
      <c r="B325">
        <v>1</v>
      </c>
      <c r="C325">
        <v>1</v>
      </c>
      <c r="D325">
        <v>17</v>
      </c>
    </row>
    <row r="326" spans="1:4" x14ac:dyDescent="0.25">
      <c r="A326" s="1">
        <v>41599</v>
      </c>
      <c r="B326">
        <v>1</v>
      </c>
      <c r="C326">
        <v>1</v>
      </c>
      <c r="D326">
        <v>16</v>
      </c>
    </row>
    <row r="327" spans="1:4" x14ac:dyDescent="0.25">
      <c r="A327" s="1">
        <v>41600</v>
      </c>
      <c r="B327">
        <v>1</v>
      </c>
      <c r="C327">
        <v>1</v>
      </c>
      <c r="D327">
        <v>17</v>
      </c>
    </row>
    <row r="328" spans="1:4" x14ac:dyDescent="0.25">
      <c r="A328" s="1">
        <v>41601</v>
      </c>
      <c r="B328">
        <v>1</v>
      </c>
      <c r="C328">
        <v>1</v>
      </c>
      <c r="D328">
        <v>31</v>
      </c>
    </row>
    <row r="329" spans="1:4" x14ac:dyDescent="0.25">
      <c r="A329" s="1">
        <v>41602</v>
      </c>
      <c r="B329">
        <v>1</v>
      </c>
      <c r="C329">
        <v>1</v>
      </c>
      <c r="D329">
        <v>20</v>
      </c>
    </row>
    <row r="330" spans="1:4" x14ac:dyDescent="0.25">
      <c r="A330" s="1">
        <v>41603</v>
      </c>
      <c r="B330">
        <v>1</v>
      </c>
      <c r="C330">
        <v>1</v>
      </c>
      <c r="D330">
        <v>16</v>
      </c>
    </row>
    <row r="331" spans="1:4" x14ac:dyDescent="0.25">
      <c r="A331" s="1">
        <v>41604</v>
      </c>
      <c r="B331">
        <v>1</v>
      </c>
      <c r="C331">
        <v>1</v>
      </c>
      <c r="D331">
        <v>25</v>
      </c>
    </row>
    <row r="332" spans="1:4" x14ac:dyDescent="0.25">
      <c r="A332" s="1">
        <v>41605</v>
      </c>
      <c r="B332">
        <v>1</v>
      </c>
      <c r="C332">
        <v>1</v>
      </c>
      <c r="D332">
        <v>25</v>
      </c>
    </row>
    <row r="333" spans="1:4" x14ac:dyDescent="0.25">
      <c r="A333" s="1">
        <v>41606</v>
      </c>
      <c r="B333">
        <v>1</v>
      </c>
      <c r="C333">
        <v>1</v>
      </c>
      <c r="D333">
        <v>17</v>
      </c>
    </row>
    <row r="334" spans="1:4" x14ac:dyDescent="0.25">
      <c r="A334" s="1">
        <v>41607</v>
      </c>
      <c r="B334">
        <v>1</v>
      </c>
      <c r="C334">
        <v>1</v>
      </c>
      <c r="D334">
        <v>19</v>
      </c>
    </row>
    <row r="335" spans="1:4" x14ac:dyDescent="0.25">
      <c r="A335" s="1">
        <v>41608</v>
      </c>
      <c r="B335">
        <v>1</v>
      </c>
      <c r="C335">
        <v>1</v>
      </c>
      <c r="D335">
        <v>30</v>
      </c>
    </row>
    <row r="336" spans="1:4" x14ac:dyDescent="0.25">
      <c r="A336" s="1">
        <v>41609</v>
      </c>
      <c r="B336">
        <v>1</v>
      </c>
      <c r="C336">
        <v>1</v>
      </c>
      <c r="D336">
        <v>16</v>
      </c>
    </row>
    <row r="337" spans="1:4" x14ac:dyDescent="0.25">
      <c r="A337" s="1">
        <v>41610</v>
      </c>
      <c r="B337">
        <v>1</v>
      </c>
      <c r="C337">
        <v>1</v>
      </c>
      <c r="D337">
        <v>8</v>
      </c>
    </row>
    <row r="338" spans="1:4" x14ac:dyDescent="0.25">
      <c r="A338" s="1">
        <v>41611</v>
      </c>
      <c r="B338">
        <v>1</v>
      </c>
      <c r="C338">
        <v>1</v>
      </c>
      <c r="D338">
        <v>21</v>
      </c>
    </row>
    <row r="339" spans="1:4" x14ac:dyDescent="0.25">
      <c r="A339" s="1">
        <v>41612</v>
      </c>
      <c r="B339">
        <v>1</v>
      </c>
      <c r="C339">
        <v>1</v>
      </c>
      <c r="D339">
        <v>6</v>
      </c>
    </row>
    <row r="340" spans="1:4" x14ac:dyDescent="0.25">
      <c r="A340" s="1">
        <v>41613</v>
      </c>
      <c r="B340">
        <v>1</v>
      </c>
      <c r="C340">
        <v>1</v>
      </c>
      <c r="D340">
        <v>13</v>
      </c>
    </row>
    <row r="341" spans="1:4" x14ac:dyDescent="0.25">
      <c r="A341" s="1">
        <v>41614</v>
      </c>
      <c r="B341">
        <v>1</v>
      </c>
      <c r="C341">
        <v>1</v>
      </c>
      <c r="D341">
        <v>15</v>
      </c>
    </row>
    <row r="342" spans="1:4" x14ac:dyDescent="0.25">
      <c r="A342" s="1">
        <v>41615</v>
      </c>
      <c r="B342">
        <v>1</v>
      </c>
      <c r="C342">
        <v>1</v>
      </c>
      <c r="D342">
        <v>17</v>
      </c>
    </row>
    <row r="343" spans="1:4" x14ac:dyDescent="0.25">
      <c r="A343" s="1">
        <v>41616</v>
      </c>
      <c r="B343">
        <v>1</v>
      </c>
      <c r="C343">
        <v>1</v>
      </c>
      <c r="D343">
        <v>17</v>
      </c>
    </row>
    <row r="344" spans="1:4" x14ac:dyDescent="0.25">
      <c r="A344" s="1">
        <v>41617</v>
      </c>
      <c r="B344">
        <v>1</v>
      </c>
      <c r="C344">
        <v>1</v>
      </c>
      <c r="D344">
        <v>8</v>
      </c>
    </row>
    <row r="345" spans="1:4" x14ac:dyDescent="0.25">
      <c r="A345" s="1">
        <v>41618</v>
      </c>
      <c r="B345">
        <v>1</v>
      </c>
      <c r="C345">
        <v>1</v>
      </c>
      <c r="D345">
        <v>14</v>
      </c>
    </row>
    <row r="346" spans="1:4" x14ac:dyDescent="0.25">
      <c r="A346" s="1">
        <v>41619</v>
      </c>
      <c r="B346">
        <v>1</v>
      </c>
      <c r="C346">
        <v>1</v>
      </c>
      <c r="D346">
        <v>7</v>
      </c>
    </row>
    <row r="347" spans="1:4" x14ac:dyDescent="0.25">
      <c r="A347" s="1">
        <v>41620</v>
      </c>
      <c r="B347">
        <v>1</v>
      </c>
      <c r="C347">
        <v>1</v>
      </c>
      <c r="D347">
        <v>5</v>
      </c>
    </row>
    <row r="348" spans="1:4" x14ac:dyDescent="0.25">
      <c r="A348" s="1">
        <v>41621</v>
      </c>
      <c r="B348">
        <v>1</v>
      </c>
      <c r="C348">
        <v>1</v>
      </c>
      <c r="D348">
        <v>13</v>
      </c>
    </row>
    <row r="349" spans="1:4" x14ac:dyDescent="0.25">
      <c r="A349" s="1">
        <v>41622</v>
      </c>
      <c r="B349">
        <v>1</v>
      </c>
      <c r="C349">
        <v>1</v>
      </c>
      <c r="D349">
        <v>16</v>
      </c>
    </row>
    <row r="350" spans="1:4" x14ac:dyDescent="0.25">
      <c r="A350" s="1">
        <v>41623</v>
      </c>
      <c r="B350">
        <v>1</v>
      </c>
      <c r="C350">
        <v>1</v>
      </c>
      <c r="D350">
        <v>15</v>
      </c>
    </row>
    <row r="351" spans="1:4" x14ac:dyDescent="0.25">
      <c r="A351" s="1">
        <v>41624</v>
      </c>
      <c r="B351">
        <v>1</v>
      </c>
      <c r="C351">
        <v>1</v>
      </c>
      <c r="D351">
        <v>15</v>
      </c>
    </row>
    <row r="352" spans="1:4" x14ac:dyDescent="0.25">
      <c r="A352" s="1">
        <v>41625</v>
      </c>
      <c r="B352">
        <v>1</v>
      </c>
      <c r="C352">
        <v>1</v>
      </c>
      <c r="D352">
        <v>8</v>
      </c>
    </row>
    <row r="353" spans="1:4" x14ac:dyDescent="0.25">
      <c r="A353" s="1">
        <v>41626</v>
      </c>
      <c r="B353">
        <v>1</v>
      </c>
      <c r="C353">
        <v>1</v>
      </c>
      <c r="D353">
        <v>18</v>
      </c>
    </row>
    <row r="354" spans="1:4" x14ac:dyDescent="0.25">
      <c r="A354" s="1">
        <v>41627</v>
      </c>
      <c r="B354">
        <v>1</v>
      </c>
      <c r="C354">
        <v>1</v>
      </c>
      <c r="D354">
        <v>7</v>
      </c>
    </row>
    <row r="355" spans="1:4" x14ac:dyDescent="0.25">
      <c r="A355" s="1">
        <v>41628</v>
      </c>
      <c r="B355">
        <v>1</v>
      </c>
      <c r="C355">
        <v>1</v>
      </c>
      <c r="D355">
        <v>13</v>
      </c>
    </row>
    <row r="356" spans="1:4" x14ac:dyDescent="0.25">
      <c r="A356" s="1">
        <v>41629</v>
      </c>
      <c r="B356">
        <v>1</v>
      </c>
      <c r="C356">
        <v>1</v>
      </c>
      <c r="D356">
        <v>11</v>
      </c>
    </row>
    <row r="357" spans="1:4" x14ac:dyDescent="0.25">
      <c r="A357" s="1">
        <v>41630</v>
      </c>
      <c r="B357">
        <v>1</v>
      </c>
      <c r="C357">
        <v>1</v>
      </c>
      <c r="D357">
        <v>9</v>
      </c>
    </row>
    <row r="358" spans="1:4" x14ac:dyDescent="0.25">
      <c r="A358" s="1">
        <v>41631</v>
      </c>
      <c r="B358">
        <v>1</v>
      </c>
      <c r="C358">
        <v>1</v>
      </c>
      <c r="D358">
        <v>8</v>
      </c>
    </row>
    <row r="359" spans="1:4" x14ac:dyDescent="0.25">
      <c r="A359" s="1">
        <v>41632</v>
      </c>
      <c r="B359">
        <v>1</v>
      </c>
      <c r="C359">
        <v>1</v>
      </c>
      <c r="D359">
        <v>17</v>
      </c>
    </row>
    <row r="360" spans="1:4" x14ac:dyDescent="0.25">
      <c r="A360" s="1">
        <v>41633</v>
      </c>
      <c r="B360">
        <v>1</v>
      </c>
      <c r="C360">
        <v>1</v>
      </c>
      <c r="D360">
        <v>6</v>
      </c>
    </row>
    <row r="361" spans="1:4" x14ac:dyDescent="0.25">
      <c r="A361" s="1">
        <v>41634</v>
      </c>
      <c r="B361">
        <v>1</v>
      </c>
      <c r="C361">
        <v>1</v>
      </c>
      <c r="D361">
        <v>16</v>
      </c>
    </row>
    <row r="362" spans="1:4" x14ac:dyDescent="0.25">
      <c r="A362" s="1">
        <v>41635</v>
      </c>
      <c r="B362">
        <v>1</v>
      </c>
      <c r="C362">
        <v>1</v>
      </c>
      <c r="D362">
        <v>18</v>
      </c>
    </row>
    <row r="363" spans="1:4" x14ac:dyDescent="0.25">
      <c r="A363" s="1">
        <v>41636</v>
      </c>
      <c r="B363">
        <v>1</v>
      </c>
      <c r="C363">
        <v>1</v>
      </c>
      <c r="D363">
        <v>17</v>
      </c>
    </row>
    <row r="364" spans="1:4" x14ac:dyDescent="0.25">
      <c r="A364" s="1">
        <v>41637</v>
      </c>
      <c r="B364">
        <v>1</v>
      </c>
      <c r="C364">
        <v>1</v>
      </c>
      <c r="D364">
        <v>14</v>
      </c>
    </row>
    <row r="365" spans="1:4" x14ac:dyDescent="0.25">
      <c r="A365" s="1">
        <v>41638</v>
      </c>
      <c r="B365">
        <v>1</v>
      </c>
      <c r="C365">
        <v>1</v>
      </c>
      <c r="D365">
        <v>5</v>
      </c>
    </row>
    <row r="366" spans="1:4" x14ac:dyDescent="0.25">
      <c r="A366" s="1">
        <v>41639</v>
      </c>
      <c r="B366">
        <v>1</v>
      </c>
      <c r="C366">
        <v>1</v>
      </c>
      <c r="D366">
        <v>15</v>
      </c>
    </row>
    <row r="367" spans="1:4" x14ac:dyDescent="0.25">
      <c r="A367" s="1">
        <v>41640</v>
      </c>
      <c r="B367">
        <v>1</v>
      </c>
      <c r="C367">
        <v>1</v>
      </c>
      <c r="D367">
        <v>9</v>
      </c>
    </row>
    <row r="368" spans="1:4" x14ac:dyDescent="0.25">
      <c r="A368" s="1">
        <v>41641</v>
      </c>
      <c r="B368">
        <v>1</v>
      </c>
      <c r="C368">
        <v>1</v>
      </c>
      <c r="D368">
        <v>14</v>
      </c>
    </row>
    <row r="369" spans="1:4" x14ac:dyDescent="0.25">
      <c r="A369" s="1">
        <v>41642</v>
      </c>
      <c r="B369">
        <v>1</v>
      </c>
      <c r="C369">
        <v>1</v>
      </c>
      <c r="D369">
        <v>11</v>
      </c>
    </row>
    <row r="370" spans="1:4" x14ac:dyDescent="0.25">
      <c r="A370" s="1">
        <v>41643</v>
      </c>
      <c r="B370">
        <v>1</v>
      </c>
      <c r="C370">
        <v>1</v>
      </c>
      <c r="D370">
        <v>20</v>
      </c>
    </row>
    <row r="371" spans="1:4" x14ac:dyDescent="0.25">
      <c r="A371" s="1">
        <v>41644</v>
      </c>
      <c r="B371">
        <v>1</v>
      </c>
      <c r="C371">
        <v>1</v>
      </c>
      <c r="D371">
        <v>17</v>
      </c>
    </row>
    <row r="372" spans="1:4" x14ac:dyDescent="0.25">
      <c r="A372" s="1">
        <v>41645</v>
      </c>
      <c r="B372">
        <v>1</v>
      </c>
      <c r="C372">
        <v>1</v>
      </c>
      <c r="D372">
        <v>14</v>
      </c>
    </row>
    <row r="373" spans="1:4" x14ac:dyDescent="0.25">
      <c r="A373" s="1">
        <v>41646</v>
      </c>
      <c r="B373">
        <v>1</v>
      </c>
      <c r="C373">
        <v>1</v>
      </c>
      <c r="D373">
        <v>11</v>
      </c>
    </row>
    <row r="374" spans="1:4" x14ac:dyDescent="0.25">
      <c r="A374" s="1">
        <v>41647</v>
      </c>
      <c r="B374">
        <v>1</v>
      </c>
      <c r="C374">
        <v>1</v>
      </c>
      <c r="D374">
        <v>12</v>
      </c>
    </row>
    <row r="375" spans="1:4" x14ac:dyDescent="0.25">
      <c r="A375" s="1">
        <v>41648</v>
      </c>
      <c r="B375">
        <v>1</v>
      </c>
      <c r="C375">
        <v>1</v>
      </c>
      <c r="D375">
        <v>17</v>
      </c>
    </row>
    <row r="376" spans="1:4" x14ac:dyDescent="0.25">
      <c r="A376" s="1">
        <v>41649</v>
      </c>
      <c r="B376">
        <v>1</v>
      </c>
      <c r="C376">
        <v>1</v>
      </c>
      <c r="D376">
        <v>12</v>
      </c>
    </row>
    <row r="377" spans="1:4" x14ac:dyDescent="0.25">
      <c r="A377" s="1">
        <v>41650</v>
      </c>
      <c r="B377">
        <v>1</v>
      </c>
      <c r="C377">
        <v>1</v>
      </c>
      <c r="D377">
        <v>17</v>
      </c>
    </row>
    <row r="378" spans="1:4" x14ac:dyDescent="0.25">
      <c r="A378" s="1">
        <v>41651</v>
      </c>
      <c r="B378">
        <v>1</v>
      </c>
      <c r="C378">
        <v>1</v>
      </c>
      <c r="D378">
        <v>12</v>
      </c>
    </row>
    <row r="379" spans="1:4" x14ac:dyDescent="0.25">
      <c r="A379" s="1">
        <v>41652</v>
      </c>
      <c r="B379">
        <v>1</v>
      </c>
      <c r="C379">
        <v>1</v>
      </c>
      <c r="D379">
        <v>12</v>
      </c>
    </row>
    <row r="380" spans="1:4" x14ac:dyDescent="0.25">
      <c r="A380" s="1">
        <v>41653</v>
      </c>
      <c r="B380">
        <v>1</v>
      </c>
      <c r="C380">
        <v>1</v>
      </c>
      <c r="D380">
        <v>17</v>
      </c>
    </row>
    <row r="381" spans="1:4" x14ac:dyDescent="0.25">
      <c r="A381" s="1">
        <v>41654</v>
      </c>
      <c r="B381">
        <v>1</v>
      </c>
      <c r="C381">
        <v>1</v>
      </c>
      <c r="D381">
        <v>17</v>
      </c>
    </row>
    <row r="382" spans="1:4" x14ac:dyDescent="0.25">
      <c r="A382" s="1">
        <v>41655</v>
      </c>
      <c r="B382">
        <v>1</v>
      </c>
      <c r="C382">
        <v>1</v>
      </c>
      <c r="D382">
        <v>15</v>
      </c>
    </row>
    <row r="383" spans="1:4" x14ac:dyDescent="0.25">
      <c r="A383" s="1">
        <v>41656</v>
      </c>
      <c r="B383">
        <v>1</v>
      </c>
      <c r="C383">
        <v>1</v>
      </c>
      <c r="D383">
        <v>18</v>
      </c>
    </row>
    <row r="384" spans="1:4" x14ac:dyDescent="0.25">
      <c r="A384" s="1">
        <v>41657</v>
      </c>
      <c r="B384">
        <v>1</v>
      </c>
      <c r="C384">
        <v>1</v>
      </c>
      <c r="D384">
        <v>15</v>
      </c>
    </row>
    <row r="385" spans="1:4" x14ac:dyDescent="0.25">
      <c r="A385" s="1">
        <v>41658</v>
      </c>
      <c r="B385">
        <v>1</v>
      </c>
      <c r="C385">
        <v>1</v>
      </c>
      <c r="D385">
        <v>12</v>
      </c>
    </row>
    <row r="386" spans="1:4" x14ac:dyDescent="0.25">
      <c r="A386" s="1">
        <v>41659</v>
      </c>
      <c r="B386">
        <v>1</v>
      </c>
      <c r="C386">
        <v>1</v>
      </c>
      <c r="D386">
        <v>6</v>
      </c>
    </row>
    <row r="387" spans="1:4" x14ac:dyDescent="0.25">
      <c r="A387" s="1">
        <v>41660</v>
      </c>
      <c r="B387">
        <v>1</v>
      </c>
      <c r="C387">
        <v>1</v>
      </c>
      <c r="D387">
        <v>7</v>
      </c>
    </row>
    <row r="388" spans="1:4" x14ac:dyDescent="0.25">
      <c r="A388" s="1">
        <v>41661</v>
      </c>
      <c r="B388">
        <v>1</v>
      </c>
      <c r="C388">
        <v>1</v>
      </c>
      <c r="D388">
        <v>21</v>
      </c>
    </row>
    <row r="389" spans="1:4" x14ac:dyDescent="0.25">
      <c r="A389" s="1">
        <v>41662</v>
      </c>
      <c r="B389">
        <v>1</v>
      </c>
      <c r="C389">
        <v>1</v>
      </c>
      <c r="D389">
        <v>18</v>
      </c>
    </row>
    <row r="390" spans="1:4" x14ac:dyDescent="0.25">
      <c r="A390" s="1">
        <v>41663</v>
      </c>
      <c r="B390">
        <v>1</v>
      </c>
      <c r="C390">
        <v>1</v>
      </c>
      <c r="D390">
        <v>18</v>
      </c>
    </row>
    <row r="391" spans="1:4" x14ac:dyDescent="0.25">
      <c r="A391" s="1">
        <v>41664</v>
      </c>
      <c r="B391">
        <v>1</v>
      </c>
      <c r="C391">
        <v>1</v>
      </c>
      <c r="D391">
        <v>21</v>
      </c>
    </row>
    <row r="392" spans="1:4" x14ac:dyDescent="0.25">
      <c r="A392" s="1">
        <v>41665</v>
      </c>
      <c r="B392">
        <v>1</v>
      </c>
      <c r="C392">
        <v>1</v>
      </c>
      <c r="D392">
        <v>16</v>
      </c>
    </row>
    <row r="393" spans="1:4" x14ac:dyDescent="0.25">
      <c r="A393" s="1">
        <v>41666</v>
      </c>
      <c r="B393">
        <v>1</v>
      </c>
      <c r="C393">
        <v>1</v>
      </c>
      <c r="D393">
        <v>8</v>
      </c>
    </row>
    <row r="394" spans="1:4" x14ac:dyDescent="0.25">
      <c r="A394" s="1">
        <v>41667</v>
      </c>
      <c r="B394">
        <v>1</v>
      </c>
      <c r="C394">
        <v>1</v>
      </c>
      <c r="D394">
        <v>6</v>
      </c>
    </row>
    <row r="395" spans="1:4" x14ac:dyDescent="0.25">
      <c r="A395" s="1">
        <v>41668</v>
      </c>
      <c r="B395">
        <v>1</v>
      </c>
      <c r="C395">
        <v>1</v>
      </c>
      <c r="D395">
        <v>13</v>
      </c>
    </row>
    <row r="396" spans="1:4" x14ac:dyDescent="0.25">
      <c r="A396" s="1">
        <v>41669</v>
      </c>
      <c r="B396">
        <v>1</v>
      </c>
      <c r="C396">
        <v>1</v>
      </c>
      <c r="D396">
        <v>11</v>
      </c>
    </row>
    <row r="397" spans="1:4" x14ac:dyDescent="0.25">
      <c r="A397" s="1">
        <v>41670</v>
      </c>
      <c r="B397">
        <v>1</v>
      </c>
      <c r="C397">
        <v>1</v>
      </c>
      <c r="D397">
        <v>18</v>
      </c>
    </row>
    <row r="398" spans="1:4" x14ac:dyDescent="0.25">
      <c r="A398" s="1">
        <v>41671</v>
      </c>
      <c r="B398">
        <v>1</v>
      </c>
      <c r="C398">
        <v>1</v>
      </c>
      <c r="D398">
        <v>13</v>
      </c>
    </row>
    <row r="399" spans="1:4" x14ac:dyDescent="0.25">
      <c r="A399" s="1">
        <v>41672</v>
      </c>
      <c r="B399">
        <v>1</v>
      </c>
      <c r="C399">
        <v>1</v>
      </c>
      <c r="D399">
        <v>16</v>
      </c>
    </row>
    <row r="400" spans="1:4" x14ac:dyDescent="0.25">
      <c r="A400" s="1">
        <v>41673</v>
      </c>
      <c r="B400">
        <v>1</v>
      </c>
      <c r="C400">
        <v>1</v>
      </c>
      <c r="D400">
        <v>10</v>
      </c>
    </row>
    <row r="401" spans="1:4" x14ac:dyDescent="0.25">
      <c r="A401" s="1">
        <v>41674</v>
      </c>
      <c r="B401">
        <v>1</v>
      </c>
      <c r="C401">
        <v>1</v>
      </c>
      <c r="D401">
        <v>9</v>
      </c>
    </row>
    <row r="402" spans="1:4" x14ac:dyDescent="0.25">
      <c r="A402" s="1">
        <v>41675</v>
      </c>
      <c r="B402">
        <v>1</v>
      </c>
      <c r="C402">
        <v>1</v>
      </c>
      <c r="D402">
        <v>21</v>
      </c>
    </row>
    <row r="403" spans="1:4" x14ac:dyDescent="0.25">
      <c r="A403" s="1">
        <v>41676</v>
      </c>
      <c r="B403">
        <v>1</v>
      </c>
      <c r="C403">
        <v>1</v>
      </c>
      <c r="D403">
        <v>17</v>
      </c>
    </row>
    <row r="404" spans="1:4" x14ac:dyDescent="0.25">
      <c r="A404" s="1">
        <v>41677</v>
      </c>
      <c r="B404">
        <v>1</v>
      </c>
      <c r="C404">
        <v>1</v>
      </c>
      <c r="D404">
        <v>15</v>
      </c>
    </row>
    <row r="405" spans="1:4" x14ac:dyDescent="0.25">
      <c r="A405" s="1">
        <v>41678</v>
      </c>
      <c r="B405">
        <v>1</v>
      </c>
      <c r="C405">
        <v>1</v>
      </c>
      <c r="D405">
        <v>15</v>
      </c>
    </row>
    <row r="406" spans="1:4" x14ac:dyDescent="0.25">
      <c r="A406" s="1">
        <v>41679</v>
      </c>
      <c r="B406">
        <v>1</v>
      </c>
      <c r="C406">
        <v>1</v>
      </c>
      <c r="D406">
        <v>18</v>
      </c>
    </row>
    <row r="407" spans="1:4" x14ac:dyDescent="0.25">
      <c r="A407" s="1">
        <v>41680</v>
      </c>
      <c r="B407">
        <v>1</v>
      </c>
      <c r="C407">
        <v>1</v>
      </c>
      <c r="D407">
        <v>10</v>
      </c>
    </row>
    <row r="408" spans="1:4" x14ac:dyDescent="0.25">
      <c r="A408" s="1">
        <v>41681</v>
      </c>
      <c r="B408">
        <v>1</v>
      </c>
      <c r="C408">
        <v>1</v>
      </c>
      <c r="D408">
        <v>10</v>
      </c>
    </row>
    <row r="409" spans="1:4" x14ac:dyDescent="0.25">
      <c r="A409" s="1">
        <v>41682</v>
      </c>
      <c r="B409">
        <v>1</v>
      </c>
      <c r="C409">
        <v>1</v>
      </c>
      <c r="D409">
        <v>9</v>
      </c>
    </row>
    <row r="410" spans="1:4" x14ac:dyDescent="0.25">
      <c r="A410" s="1">
        <v>41683</v>
      </c>
      <c r="B410">
        <v>1</v>
      </c>
      <c r="C410">
        <v>1</v>
      </c>
      <c r="D410">
        <v>22</v>
      </c>
    </row>
    <row r="411" spans="1:4" x14ac:dyDescent="0.25">
      <c r="A411" s="1">
        <v>41684</v>
      </c>
      <c r="B411">
        <v>1</v>
      </c>
      <c r="C411">
        <v>1</v>
      </c>
      <c r="D411">
        <v>20</v>
      </c>
    </row>
    <row r="412" spans="1:4" x14ac:dyDescent="0.25">
      <c r="A412" s="1">
        <v>41685</v>
      </c>
      <c r="B412">
        <v>1</v>
      </c>
      <c r="C412">
        <v>1</v>
      </c>
      <c r="D412">
        <v>20</v>
      </c>
    </row>
    <row r="413" spans="1:4" x14ac:dyDescent="0.25">
      <c r="A413" s="1">
        <v>41686</v>
      </c>
      <c r="B413">
        <v>1</v>
      </c>
      <c r="C413">
        <v>1</v>
      </c>
      <c r="D413">
        <v>13</v>
      </c>
    </row>
    <row r="414" spans="1:4" x14ac:dyDescent="0.25">
      <c r="A414" s="1">
        <v>41687</v>
      </c>
      <c r="B414">
        <v>1</v>
      </c>
      <c r="C414">
        <v>1</v>
      </c>
      <c r="D414">
        <v>11</v>
      </c>
    </row>
    <row r="415" spans="1:4" x14ac:dyDescent="0.25">
      <c r="A415" s="1">
        <v>41688</v>
      </c>
      <c r="B415">
        <v>1</v>
      </c>
      <c r="C415">
        <v>1</v>
      </c>
      <c r="D415">
        <v>11</v>
      </c>
    </row>
    <row r="416" spans="1:4" x14ac:dyDescent="0.25">
      <c r="A416" s="1">
        <v>41689</v>
      </c>
      <c r="B416">
        <v>1</v>
      </c>
      <c r="C416">
        <v>1</v>
      </c>
      <c r="D416">
        <v>16</v>
      </c>
    </row>
    <row r="417" spans="1:4" x14ac:dyDescent="0.25">
      <c r="A417" s="1">
        <v>41690</v>
      </c>
      <c r="B417">
        <v>1</v>
      </c>
      <c r="C417">
        <v>1</v>
      </c>
      <c r="D417">
        <v>19</v>
      </c>
    </row>
    <row r="418" spans="1:4" x14ac:dyDescent="0.25">
      <c r="A418" s="1">
        <v>41691</v>
      </c>
      <c r="B418">
        <v>1</v>
      </c>
      <c r="C418">
        <v>1</v>
      </c>
      <c r="D418">
        <v>16</v>
      </c>
    </row>
    <row r="419" spans="1:4" x14ac:dyDescent="0.25">
      <c r="A419" s="1">
        <v>41692</v>
      </c>
      <c r="B419">
        <v>1</v>
      </c>
      <c r="C419">
        <v>1</v>
      </c>
      <c r="D419">
        <v>17</v>
      </c>
    </row>
    <row r="420" spans="1:4" x14ac:dyDescent="0.25">
      <c r="A420" s="1">
        <v>41693</v>
      </c>
      <c r="B420">
        <v>1</v>
      </c>
      <c r="C420">
        <v>1</v>
      </c>
      <c r="D420">
        <v>13</v>
      </c>
    </row>
    <row r="421" spans="1:4" x14ac:dyDescent="0.25">
      <c r="A421" s="1">
        <v>41694</v>
      </c>
      <c r="B421">
        <v>1</v>
      </c>
      <c r="C421">
        <v>1</v>
      </c>
      <c r="D421">
        <v>7</v>
      </c>
    </row>
    <row r="422" spans="1:4" x14ac:dyDescent="0.25">
      <c r="A422" s="1">
        <v>41695</v>
      </c>
      <c r="B422">
        <v>1</v>
      </c>
      <c r="C422">
        <v>1</v>
      </c>
      <c r="D422">
        <v>14</v>
      </c>
    </row>
    <row r="423" spans="1:4" x14ac:dyDescent="0.25">
      <c r="A423" s="1">
        <v>41696</v>
      </c>
      <c r="B423">
        <v>1</v>
      </c>
      <c r="C423">
        <v>1</v>
      </c>
      <c r="D423">
        <v>17</v>
      </c>
    </row>
    <row r="424" spans="1:4" x14ac:dyDescent="0.25">
      <c r="A424" s="1">
        <v>41697</v>
      </c>
      <c r="B424">
        <v>1</v>
      </c>
      <c r="C424">
        <v>1</v>
      </c>
      <c r="D424">
        <v>10</v>
      </c>
    </row>
    <row r="425" spans="1:4" x14ac:dyDescent="0.25">
      <c r="A425" s="1">
        <v>41698</v>
      </c>
      <c r="B425">
        <v>1</v>
      </c>
      <c r="C425">
        <v>1</v>
      </c>
      <c r="D425">
        <v>16</v>
      </c>
    </row>
    <row r="426" spans="1:4" x14ac:dyDescent="0.25">
      <c r="A426" s="1">
        <v>41699</v>
      </c>
      <c r="B426">
        <v>1</v>
      </c>
      <c r="C426">
        <v>1</v>
      </c>
      <c r="D426">
        <v>20</v>
      </c>
    </row>
    <row r="427" spans="1:4" x14ac:dyDescent="0.25">
      <c r="A427" s="1">
        <v>41700</v>
      </c>
      <c r="B427">
        <v>1</v>
      </c>
      <c r="C427">
        <v>1</v>
      </c>
      <c r="D427">
        <v>15</v>
      </c>
    </row>
    <row r="428" spans="1:4" x14ac:dyDescent="0.25">
      <c r="A428" s="1">
        <v>41701</v>
      </c>
      <c r="B428">
        <v>1</v>
      </c>
      <c r="C428">
        <v>1</v>
      </c>
      <c r="D428">
        <v>12</v>
      </c>
    </row>
    <row r="429" spans="1:4" x14ac:dyDescent="0.25">
      <c r="A429" s="1">
        <v>41702</v>
      </c>
      <c r="B429">
        <v>1</v>
      </c>
      <c r="C429">
        <v>1</v>
      </c>
      <c r="D429">
        <v>11</v>
      </c>
    </row>
    <row r="430" spans="1:4" x14ac:dyDescent="0.25">
      <c r="A430" s="1">
        <v>41703</v>
      </c>
      <c r="B430">
        <v>1</v>
      </c>
      <c r="C430">
        <v>1</v>
      </c>
      <c r="D430">
        <v>18</v>
      </c>
    </row>
    <row r="431" spans="1:4" x14ac:dyDescent="0.25">
      <c r="A431" s="1">
        <v>41704</v>
      </c>
      <c r="B431">
        <v>1</v>
      </c>
      <c r="C431">
        <v>1</v>
      </c>
      <c r="D431">
        <v>19</v>
      </c>
    </row>
    <row r="432" spans="1:4" x14ac:dyDescent="0.25">
      <c r="A432" s="1">
        <v>41705</v>
      </c>
      <c r="B432">
        <v>1</v>
      </c>
      <c r="C432">
        <v>1</v>
      </c>
      <c r="D432">
        <v>21</v>
      </c>
    </row>
    <row r="433" spans="1:4" x14ac:dyDescent="0.25">
      <c r="A433" s="1">
        <v>41706</v>
      </c>
      <c r="B433">
        <v>1</v>
      </c>
      <c r="C433">
        <v>1</v>
      </c>
      <c r="D433">
        <v>14</v>
      </c>
    </row>
    <row r="434" spans="1:4" x14ac:dyDescent="0.25">
      <c r="A434" s="1">
        <v>41707</v>
      </c>
      <c r="B434">
        <v>1</v>
      </c>
      <c r="C434">
        <v>1</v>
      </c>
      <c r="D434">
        <v>21</v>
      </c>
    </row>
    <row r="435" spans="1:4" x14ac:dyDescent="0.25">
      <c r="A435" s="1">
        <v>41708</v>
      </c>
      <c r="B435">
        <v>1</v>
      </c>
      <c r="C435">
        <v>1</v>
      </c>
      <c r="D435">
        <v>13</v>
      </c>
    </row>
    <row r="436" spans="1:4" x14ac:dyDescent="0.25">
      <c r="A436" s="1">
        <v>41709</v>
      </c>
      <c r="B436">
        <v>1</v>
      </c>
      <c r="C436">
        <v>1</v>
      </c>
      <c r="D436">
        <v>14</v>
      </c>
    </row>
    <row r="437" spans="1:4" x14ac:dyDescent="0.25">
      <c r="A437" s="1">
        <v>41710</v>
      </c>
      <c r="B437">
        <v>1</v>
      </c>
      <c r="C437">
        <v>1</v>
      </c>
      <c r="D437">
        <v>24</v>
      </c>
    </row>
    <row r="438" spans="1:4" x14ac:dyDescent="0.25">
      <c r="A438" s="1">
        <v>41711</v>
      </c>
      <c r="B438">
        <v>1</v>
      </c>
      <c r="C438">
        <v>1</v>
      </c>
      <c r="D438">
        <v>17</v>
      </c>
    </row>
    <row r="439" spans="1:4" x14ac:dyDescent="0.25">
      <c r="A439" s="1">
        <v>41712</v>
      </c>
      <c r="B439">
        <v>1</v>
      </c>
      <c r="C439">
        <v>1</v>
      </c>
      <c r="D439">
        <v>16</v>
      </c>
    </row>
    <row r="440" spans="1:4" x14ac:dyDescent="0.25">
      <c r="A440" s="1">
        <v>41713</v>
      </c>
      <c r="B440">
        <v>1</v>
      </c>
      <c r="C440">
        <v>1</v>
      </c>
      <c r="D440">
        <v>22</v>
      </c>
    </row>
    <row r="441" spans="1:4" x14ac:dyDescent="0.25">
      <c r="A441" s="1">
        <v>41714</v>
      </c>
      <c r="B441">
        <v>1</v>
      </c>
      <c r="C441">
        <v>1</v>
      </c>
      <c r="D441">
        <v>31</v>
      </c>
    </row>
    <row r="442" spans="1:4" x14ac:dyDescent="0.25">
      <c r="A442" s="1">
        <v>41715</v>
      </c>
      <c r="B442">
        <v>1</v>
      </c>
      <c r="C442">
        <v>1</v>
      </c>
      <c r="D442">
        <v>19</v>
      </c>
    </row>
    <row r="443" spans="1:4" x14ac:dyDescent="0.25">
      <c r="A443" s="1">
        <v>41716</v>
      </c>
      <c r="B443">
        <v>1</v>
      </c>
      <c r="C443">
        <v>1</v>
      </c>
      <c r="D443">
        <v>17</v>
      </c>
    </row>
    <row r="444" spans="1:4" x14ac:dyDescent="0.25">
      <c r="A444" s="1">
        <v>41717</v>
      </c>
      <c r="B444">
        <v>1</v>
      </c>
      <c r="C444">
        <v>1</v>
      </c>
      <c r="D444">
        <v>24</v>
      </c>
    </row>
    <row r="445" spans="1:4" x14ac:dyDescent="0.25">
      <c r="A445" s="1">
        <v>41718</v>
      </c>
      <c r="B445">
        <v>1</v>
      </c>
      <c r="C445">
        <v>1</v>
      </c>
      <c r="D445">
        <v>21</v>
      </c>
    </row>
    <row r="446" spans="1:4" x14ac:dyDescent="0.25">
      <c r="A446" s="1">
        <v>41719</v>
      </c>
      <c r="B446">
        <v>1</v>
      </c>
      <c r="C446">
        <v>1</v>
      </c>
      <c r="D446">
        <v>18</v>
      </c>
    </row>
    <row r="447" spans="1:4" x14ac:dyDescent="0.25">
      <c r="A447" s="1">
        <v>41720</v>
      </c>
      <c r="B447">
        <v>1</v>
      </c>
      <c r="C447">
        <v>1</v>
      </c>
      <c r="D447">
        <v>20</v>
      </c>
    </row>
    <row r="448" spans="1:4" x14ac:dyDescent="0.25">
      <c r="A448" s="1">
        <v>41721</v>
      </c>
      <c r="B448">
        <v>1</v>
      </c>
      <c r="C448">
        <v>1</v>
      </c>
      <c r="D448">
        <v>25</v>
      </c>
    </row>
    <row r="449" spans="1:4" x14ac:dyDescent="0.25">
      <c r="A449" s="1">
        <v>41722</v>
      </c>
      <c r="B449">
        <v>1</v>
      </c>
      <c r="C449">
        <v>1</v>
      </c>
      <c r="D449">
        <v>4</v>
      </c>
    </row>
    <row r="450" spans="1:4" x14ac:dyDescent="0.25">
      <c r="A450" s="1">
        <v>41723</v>
      </c>
      <c r="B450">
        <v>1</v>
      </c>
      <c r="C450">
        <v>1</v>
      </c>
      <c r="D450">
        <v>15</v>
      </c>
    </row>
    <row r="451" spans="1:4" x14ac:dyDescent="0.25">
      <c r="A451" s="1">
        <v>41724</v>
      </c>
      <c r="B451">
        <v>1</v>
      </c>
      <c r="C451">
        <v>1</v>
      </c>
      <c r="D451">
        <v>17</v>
      </c>
    </row>
    <row r="452" spans="1:4" x14ac:dyDescent="0.25">
      <c r="A452" s="1">
        <v>41725</v>
      </c>
      <c r="B452">
        <v>1</v>
      </c>
      <c r="C452">
        <v>1</v>
      </c>
      <c r="D452">
        <v>17</v>
      </c>
    </row>
    <row r="453" spans="1:4" x14ac:dyDescent="0.25">
      <c r="A453" s="1">
        <v>41726</v>
      </c>
      <c r="B453">
        <v>1</v>
      </c>
      <c r="C453">
        <v>1</v>
      </c>
      <c r="D453">
        <v>16</v>
      </c>
    </row>
    <row r="454" spans="1:4" x14ac:dyDescent="0.25">
      <c r="A454" s="1">
        <v>41727</v>
      </c>
      <c r="B454">
        <v>1</v>
      </c>
      <c r="C454">
        <v>1</v>
      </c>
      <c r="D454">
        <v>18</v>
      </c>
    </row>
    <row r="455" spans="1:4" x14ac:dyDescent="0.25">
      <c r="A455" s="1">
        <v>41728</v>
      </c>
      <c r="B455">
        <v>1</v>
      </c>
      <c r="C455">
        <v>1</v>
      </c>
      <c r="D455">
        <v>15</v>
      </c>
    </row>
    <row r="456" spans="1:4" x14ac:dyDescent="0.25">
      <c r="A456" s="1">
        <v>41729</v>
      </c>
      <c r="B456">
        <v>1</v>
      </c>
      <c r="C456">
        <v>1</v>
      </c>
      <c r="D456">
        <v>15</v>
      </c>
    </row>
    <row r="457" spans="1:4" x14ac:dyDescent="0.25">
      <c r="A457" s="1">
        <v>41730</v>
      </c>
      <c r="B457">
        <v>1</v>
      </c>
      <c r="C457">
        <v>1</v>
      </c>
      <c r="D457">
        <v>19</v>
      </c>
    </row>
    <row r="458" spans="1:4" x14ac:dyDescent="0.25">
      <c r="A458" s="1">
        <v>41731</v>
      </c>
      <c r="B458">
        <v>1</v>
      </c>
      <c r="C458">
        <v>1</v>
      </c>
      <c r="D458">
        <v>11</v>
      </c>
    </row>
    <row r="459" spans="1:4" x14ac:dyDescent="0.25">
      <c r="A459" s="1">
        <v>41732</v>
      </c>
      <c r="B459">
        <v>1</v>
      </c>
      <c r="C459">
        <v>1</v>
      </c>
      <c r="D459">
        <v>16</v>
      </c>
    </row>
    <row r="460" spans="1:4" x14ac:dyDescent="0.25">
      <c r="A460" s="1">
        <v>41733</v>
      </c>
      <c r="B460">
        <v>1</v>
      </c>
      <c r="C460">
        <v>1</v>
      </c>
      <c r="D460">
        <v>17</v>
      </c>
    </row>
    <row r="461" spans="1:4" x14ac:dyDescent="0.25">
      <c r="A461" s="1">
        <v>41734</v>
      </c>
      <c r="B461">
        <v>1</v>
      </c>
      <c r="C461">
        <v>1</v>
      </c>
      <c r="D461">
        <v>21</v>
      </c>
    </row>
    <row r="462" spans="1:4" x14ac:dyDescent="0.25">
      <c r="A462" s="1">
        <v>41735</v>
      </c>
      <c r="B462">
        <v>1</v>
      </c>
      <c r="C462">
        <v>1</v>
      </c>
      <c r="D462">
        <v>26</v>
      </c>
    </row>
    <row r="463" spans="1:4" x14ac:dyDescent="0.25">
      <c r="A463" s="1">
        <v>41736</v>
      </c>
      <c r="B463">
        <v>1</v>
      </c>
      <c r="C463">
        <v>1</v>
      </c>
      <c r="D463">
        <v>19</v>
      </c>
    </row>
    <row r="464" spans="1:4" x14ac:dyDescent="0.25">
      <c r="A464" s="1">
        <v>41737</v>
      </c>
      <c r="B464">
        <v>1</v>
      </c>
      <c r="C464">
        <v>1</v>
      </c>
      <c r="D464">
        <v>19</v>
      </c>
    </row>
    <row r="465" spans="1:4" x14ac:dyDescent="0.25">
      <c r="A465" s="1">
        <v>41738</v>
      </c>
      <c r="B465">
        <v>1</v>
      </c>
      <c r="C465">
        <v>1</v>
      </c>
      <c r="D465">
        <v>20</v>
      </c>
    </row>
    <row r="466" spans="1:4" x14ac:dyDescent="0.25">
      <c r="A466" s="1">
        <v>41739</v>
      </c>
      <c r="B466">
        <v>1</v>
      </c>
      <c r="C466">
        <v>1</v>
      </c>
      <c r="D466">
        <v>18</v>
      </c>
    </row>
    <row r="467" spans="1:4" x14ac:dyDescent="0.25">
      <c r="A467" s="1">
        <v>41740</v>
      </c>
      <c r="B467">
        <v>1</v>
      </c>
      <c r="C467">
        <v>1</v>
      </c>
      <c r="D467">
        <v>23</v>
      </c>
    </row>
    <row r="468" spans="1:4" x14ac:dyDescent="0.25">
      <c r="A468" s="1">
        <v>41741</v>
      </c>
      <c r="B468">
        <v>1</v>
      </c>
      <c r="C468">
        <v>1</v>
      </c>
      <c r="D468">
        <v>19</v>
      </c>
    </row>
    <row r="469" spans="1:4" x14ac:dyDescent="0.25">
      <c r="A469" s="1">
        <v>41742</v>
      </c>
      <c r="B469">
        <v>1</v>
      </c>
      <c r="C469">
        <v>1</v>
      </c>
      <c r="D469">
        <v>22</v>
      </c>
    </row>
    <row r="470" spans="1:4" x14ac:dyDescent="0.25">
      <c r="A470" s="1">
        <v>41743</v>
      </c>
      <c r="B470">
        <v>1</v>
      </c>
      <c r="C470">
        <v>1</v>
      </c>
      <c r="D470">
        <v>20</v>
      </c>
    </row>
    <row r="471" spans="1:4" x14ac:dyDescent="0.25">
      <c r="A471" s="1">
        <v>41744</v>
      </c>
      <c r="B471">
        <v>1</v>
      </c>
      <c r="C471">
        <v>1</v>
      </c>
      <c r="D471">
        <v>22</v>
      </c>
    </row>
    <row r="472" spans="1:4" x14ac:dyDescent="0.25">
      <c r="A472" s="1">
        <v>41745</v>
      </c>
      <c r="B472">
        <v>1</v>
      </c>
      <c r="C472">
        <v>1</v>
      </c>
      <c r="D472">
        <v>20</v>
      </c>
    </row>
    <row r="473" spans="1:4" x14ac:dyDescent="0.25">
      <c r="A473" s="1">
        <v>41746</v>
      </c>
      <c r="B473">
        <v>1</v>
      </c>
      <c r="C473">
        <v>1</v>
      </c>
      <c r="D473">
        <v>18</v>
      </c>
    </row>
    <row r="474" spans="1:4" x14ac:dyDescent="0.25">
      <c r="A474" s="1">
        <v>41747</v>
      </c>
      <c r="B474">
        <v>1</v>
      </c>
      <c r="C474">
        <v>1</v>
      </c>
      <c r="D474">
        <v>20</v>
      </c>
    </row>
    <row r="475" spans="1:4" x14ac:dyDescent="0.25">
      <c r="A475" s="1">
        <v>41748</v>
      </c>
      <c r="B475">
        <v>1</v>
      </c>
      <c r="C475">
        <v>1</v>
      </c>
      <c r="D475">
        <v>22</v>
      </c>
    </row>
    <row r="476" spans="1:4" x14ac:dyDescent="0.25">
      <c r="A476" s="1">
        <v>41749</v>
      </c>
      <c r="B476">
        <v>1</v>
      </c>
      <c r="C476">
        <v>1</v>
      </c>
      <c r="D476">
        <v>22</v>
      </c>
    </row>
    <row r="477" spans="1:4" x14ac:dyDescent="0.25">
      <c r="A477" s="1">
        <v>41750</v>
      </c>
      <c r="B477">
        <v>1</v>
      </c>
      <c r="C477">
        <v>1</v>
      </c>
      <c r="D477">
        <v>17</v>
      </c>
    </row>
    <row r="478" spans="1:4" x14ac:dyDescent="0.25">
      <c r="A478" s="1">
        <v>41751</v>
      </c>
      <c r="B478">
        <v>1</v>
      </c>
      <c r="C478">
        <v>1</v>
      </c>
      <c r="D478">
        <v>12</v>
      </c>
    </row>
    <row r="479" spans="1:4" x14ac:dyDescent="0.25">
      <c r="A479" s="1">
        <v>41752</v>
      </c>
      <c r="B479">
        <v>1</v>
      </c>
      <c r="C479">
        <v>1</v>
      </c>
      <c r="D479">
        <v>16</v>
      </c>
    </row>
    <row r="480" spans="1:4" x14ac:dyDescent="0.25">
      <c r="A480" s="1">
        <v>41753</v>
      </c>
      <c r="B480">
        <v>1</v>
      </c>
      <c r="C480">
        <v>1</v>
      </c>
      <c r="D480">
        <v>25</v>
      </c>
    </row>
    <row r="481" spans="1:4" x14ac:dyDescent="0.25">
      <c r="A481" s="1">
        <v>41754</v>
      </c>
      <c r="B481">
        <v>1</v>
      </c>
      <c r="C481">
        <v>1</v>
      </c>
      <c r="D481">
        <v>22</v>
      </c>
    </row>
    <row r="482" spans="1:4" x14ac:dyDescent="0.25">
      <c r="A482" s="1">
        <v>41755</v>
      </c>
      <c r="B482">
        <v>1</v>
      </c>
      <c r="C482">
        <v>1</v>
      </c>
      <c r="D482">
        <v>21</v>
      </c>
    </row>
    <row r="483" spans="1:4" x14ac:dyDescent="0.25">
      <c r="A483" s="1">
        <v>41756</v>
      </c>
      <c r="B483">
        <v>1</v>
      </c>
      <c r="C483">
        <v>1</v>
      </c>
      <c r="D483">
        <v>20</v>
      </c>
    </row>
    <row r="484" spans="1:4" x14ac:dyDescent="0.25">
      <c r="A484" s="1">
        <v>41757</v>
      </c>
      <c r="B484">
        <v>1</v>
      </c>
      <c r="C484">
        <v>1</v>
      </c>
      <c r="D484">
        <v>15</v>
      </c>
    </row>
    <row r="485" spans="1:4" x14ac:dyDescent="0.25">
      <c r="A485" s="1">
        <v>41758</v>
      </c>
      <c r="B485">
        <v>1</v>
      </c>
      <c r="C485">
        <v>1</v>
      </c>
      <c r="D485">
        <v>18</v>
      </c>
    </row>
    <row r="486" spans="1:4" x14ac:dyDescent="0.25">
      <c r="A486" s="1">
        <v>41759</v>
      </c>
      <c r="B486">
        <v>1</v>
      </c>
      <c r="C486">
        <v>1</v>
      </c>
      <c r="D486">
        <v>13</v>
      </c>
    </row>
    <row r="487" spans="1:4" x14ac:dyDescent="0.25">
      <c r="A487" s="1">
        <v>41760</v>
      </c>
      <c r="B487">
        <v>1</v>
      </c>
      <c r="C487">
        <v>1</v>
      </c>
      <c r="D487">
        <v>22</v>
      </c>
    </row>
    <row r="488" spans="1:4" x14ac:dyDescent="0.25">
      <c r="A488" s="1">
        <v>41761</v>
      </c>
      <c r="B488">
        <v>1</v>
      </c>
      <c r="C488">
        <v>1</v>
      </c>
      <c r="D488">
        <v>19</v>
      </c>
    </row>
    <row r="489" spans="1:4" x14ac:dyDescent="0.25">
      <c r="A489" s="1">
        <v>41762</v>
      </c>
      <c r="B489">
        <v>1</v>
      </c>
      <c r="C489">
        <v>1</v>
      </c>
      <c r="D489">
        <v>22</v>
      </c>
    </row>
    <row r="490" spans="1:4" x14ac:dyDescent="0.25">
      <c r="A490" s="1">
        <v>41763</v>
      </c>
      <c r="B490">
        <v>1</v>
      </c>
      <c r="C490">
        <v>1</v>
      </c>
      <c r="D490">
        <v>23</v>
      </c>
    </row>
    <row r="491" spans="1:4" x14ac:dyDescent="0.25">
      <c r="A491" s="1">
        <v>41764</v>
      </c>
      <c r="B491">
        <v>1</v>
      </c>
      <c r="C491">
        <v>1</v>
      </c>
      <c r="D491">
        <v>21</v>
      </c>
    </row>
    <row r="492" spans="1:4" x14ac:dyDescent="0.25">
      <c r="A492" s="1">
        <v>41765</v>
      </c>
      <c r="B492">
        <v>1</v>
      </c>
      <c r="C492">
        <v>1</v>
      </c>
      <c r="D492">
        <v>19</v>
      </c>
    </row>
    <row r="493" spans="1:4" x14ac:dyDescent="0.25">
      <c r="A493" s="1">
        <v>41766</v>
      </c>
      <c r="B493">
        <v>1</v>
      </c>
      <c r="C493">
        <v>1</v>
      </c>
      <c r="D493">
        <v>21</v>
      </c>
    </row>
    <row r="494" spans="1:4" x14ac:dyDescent="0.25">
      <c r="A494" s="1">
        <v>41767</v>
      </c>
      <c r="B494">
        <v>1</v>
      </c>
      <c r="C494">
        <v>1</v>
      </c>
      <c r="D494">
        <v>15</v>
      </c>
    </row>
    <row r="495" spans="1:4" x14ac:dyDescent="0.25">
      <c r="A495" s="1">
        <v>41768</v>
      </c>
      <c r="B495">
        <v>1</v>
      </c>
      <c r="C495">
        <v>1</v>
      </c>
      <c r="D495">
        <v>18</v>
      </c>
    </row>
    <row r="496" spans="1:4" x14ac:dyDescent="0.25">
      <c r="A496" s="1">
        <v>41769</v>
      </c>
      <c r="B496">
        <v>1</v>
      </c>
      <c r="C496">
        <v>1</v>
      </c>
      <c r="D496">
        <v>16</v>
      </c>
    </row>
    <row r="497" spans="1:4" x14ac:dyDescent="0.25">
      <c r="A497" s="1">
        <v>41770</v>
      </c>
      <c r="B497">
        <v>1</v>
      </c>
      <c r="C497">
        <v>1</v>
      </c>
      <c r="D497">
        <v>27</v>
      </c>
    </row>
    <row r="498" spans="1:4" x14ac:dyDescent="0.25">
      <c r="A498" s="1">
        <v>41771</v>
      </c>
      <c r="B498">
        <v>1</v>
      </c>
      <c r="C498">
        <v>1</v>
      </c>
      <c r="D498">
        <v>16</v>
      </c>
    </row>
    <row r="499" spans="1:4" x14ac:dyDescent="0.25">
      <c r="A499" s="1">
        <v>41772</v>
      </c>
      <c r="B499">
        <v>1</v>
      </c>
      <c r="C499">
        <v>1</v>
      </c>
      <c r="D499">
        <v>22</v>
      </c>
    </row>
    <row r="500" spans="1:4" x14ac:dyDescent="0.25">
      <c r="A500" s="1">
        <v>41773</v>
      </c>
      <c r="B500">
        <v>1</v>
      </c>
      <c r="C500">
        <v>1</v>
      </c>
      <c r="D500">
        <v>21</v>
      </c>
    </row>
    <row r="501" spans="1:4" x14ac:dyDescent="0.25">
      <c r="A501" s="1">
        <v>41774</v>
      </c>
      <c r="B501">
        <v>1</v>
      </c>
      <c r="C501">
        <v>1</v>
      </c>
      <c r="D501">
        <v>22</v>
      </c>
    </row>
    <row r="502" spans="1:4" x14ac:dyDescent="0.25">
      <c r="A502" s="1">
        <v>41775</v>
      </c>
      <c r="B502">
        <v>1</v>
      </c>
      <c r="C502">
        <v>1</v>
      </c>
      <c r="D502">
        <v>23</v>
      </c>
    </row>
    <row r="503" spans="1:4" x14ac:dyDescent="0.25">
      <c r="A503" s="1">
        <v>41776</v>
      </c>
      <c r="B503">
        <v>1</v>
      </c>
      <c r="C503">
        <v>1</v>
      </c>
      <c r="D503">
        <v>18</v>
      </c>
    </row>
    <row r="504" spans="1:4" x14ac:dyDescent="0.25">
      <c r="A504" s="1">
        <v>41777</v>
      </c>
      <c r="B504">
        <v>1</v>
      </c>
      <c r="C504">
        <v>1</v>
      </c>
      <c r="D504">
        <v>36</v>
      </c>
    </row>
    <row r="505" spans="1:4" x14ac:dyDescent="0.25">
      <c r="A505" s="1">
        <v>41778</v>
      </c>
      <c r="B505">
        <v>1</v>
      </c>
      <c r="C505">
        <v>1</v>
      </c>
      <c r="D505">
        <v>12</v>
      </c>
    </row>
    <row r="506" spans="1:4" x14ac:dyDescent="0.25">
      <c r="A506" s="1">
        <v>41779</v>
      </c>
      <c r="B506">
        <v>1</v>
      </c>
      <c r="C506">
        <v>1</v>
      </c>
      <c r="D506">
        <v>23</v>
      </c>
    </row>
    <row r="507" spans="1:4" x14ac:dyDescent="0.25">
      <c r="A507" s="1">
        <v>41780</v>
      </c>
      <c r="B507">
        <v>1</v>
      </c>
      <c r="C507">
        <v>1</v>
      </c>
      <c r="D507">
        <v>16</v>
      </c>
    </row>
    <row r="508" spans="1:4" x14ac:dyDescent="0.25">
      <c r="A508" s="1">
        <v>41781</v>
      </c>
      <c r="B508">
        <v>1</v>
      </c>
      <c r="C508">
        <v>1</v>
      </c>
      <c r="D508">
        <v>25</v>
      </c>
    </row>
    <row r="509" spans="1:4" x14ac:dyDescent="0.25">
      <c r="A509" s="1">
        <v>41782</v>
      </c>
      <c r="B509">
        <v>1</v>
      </c>
      <c r="C509">
        <v>1</v>
      </c>
      <c r="D509">
        <v>28</v>
      </c>
    </row>
    <row r="510" spans="1:4" x14ac:dyDescent="0.25">
      <c r="A510" s="1">
        <v>41783</v>
      </c>
      <c r="B510">
        <v>1</v>
      </c>
      <c r="C510">
        <v>1</v>
      </c>
      <c r="D510">
        <v>25</v>
      </c>
    </row>
    <row r="511" spans="1:4" x14ac:dyDescent="0.25">
      <c r="A511" s="1">
        <v>41784</v>
      </c>
      <c r="B511">
        <v>1</v>
      </c>
      <c r="C511">
        <v>1</v>
      </c>
      <c r="D511">
        <v>20</v>
      </c>
    </row>
    <row r="512" spans="1:4" x14ac:dyDescent="0.25">
      <c r="A512" s="1">
        <v>41785</v>
      </c>
      <c r="B512">
        <v>1</v>
      </c>
      <c r="C512">
        <v>1</v>
      </c>
      <c r="D512">
        <v>15</v>
      </c>
    </row>
    <row r="513" spans="1:4" x14ac:dyDescent="0.25">
      <c r="A513" s="1">
        <v>41786</v>
      </c>
      <c r="B513">
        <v>1</v>
      </c>
      <c r="C513">
        <v>1</v>
      </c>
      <c r="D513">
        <v>13</v>
      </c>
    </row>
    <row r="514" spans="1:4" x14ac:dyDescent="0.25">
      <c r="A514" s="1">
        <v>41787</v>
      </c>
      <c r="B514">
        <v>1</v>
      </c>
      <c r="C514">
        <v>1</v>
      </c>
      <c r="D514">
        <v>13</v>
      </c>
    </row>
    <row r="515" spans="1:4" x14ac:dyDescent="0.25">
      <c r="A515" s="1">
        <v>41788</v>
      </c>
      <c r="B515">
        <v>1</v>
      </c>
      <c r="C515">
        <v>1</v>
      </c>
      <c r="D515">
        <v>20</v>
      </c>
    </row>
    <row r="516" spans="1:4" x14ac:dyDescent="0.25">
      <c r="A516" s="1">
        <v>41789</v>
      </c>
      <c r="B516">
        <v>1</v>
      </c>
      <c r="C516">
        <v>1</v>
      </c>
      <c r="D516">
        <v>29</v>
      </c>
    </row>
    <row r="517" spans="1:4" x14ac:dyDescent="0.25">
      <c r="A517" s="1">
        <v>41790</v>
      </c>
      <c r="B517">
        <v>1</v>
      </c>
      <c r="C517">
        <v>1</v>
      </c>
      <c r="D517">
        <v>31</v>
      </c>
    </row>
    <row r="518" spans="1:4" x14ac:dyDescent="0.25">
      <c r="A518" s="1">
        <v>41791</v>
      </c>
      <c r="B518">
        <v>1</v>
      </c>
      <c r="C518">
        <v>1</v>
      </c>
      <c r="D518">
        <v>24</v>
      </c>
    </row>
    <row r="519" spans="1:4" x14ac:dyDescent="0.25">
      <c r="A519" s="1">
        <v>41792</v>
      </c>
      <c r="B519">
        <v>1</v>
      </c>
      <c r="C519">
        <v>1</v>
      </c>
      <c r="D519">
        <v>16</v>
      </c>
    </row>
    <row r="520" spans="1:4" x14ac:dyDescent="0.25">
      <c r="A520" s="1">
        <v>41793</v>
      </c>
      <c r="B520">
        <v>1</v>
      </c>
      <c r="C520">
        <v>1</v>
      </c>
      <c r="D520">
        <v>23</v>
      </c>
    </row>
    <row r="521" spans="1:4" x14ac:dyDescent="0.25">
      <c r="A521" s="1">
        <v>41794</v>
      </c>
      <c r="B521">
        <v>1</v>
      </c>
      <c r="C521">
        <v>1</v>
      </c>
      <c r="D521">
        <v>20</v>
      </c>
    </row>
    <row r="522" spans="1:4" x14ac:dyDescent="0.25">
      <c r="A522" s="1">
        <v>41795</v>
      </c>
      <c r="B522">
        <v>1</v>
      </c>
      <c r="C522">
        <v>1</v>
      </c>
      <c r="D522">
        <v>24</v>
      </c>
    </row>
    <row r="523" spans="1:4" x14ac:dyDescent="0.25">
      <c r="A523" s="1">
        <v>41796</v>
      </c>
      <c r="B523">
        <v>1</v>
      </c>
      <c r="C523">
        <v>1</v>
      </c>
      <c r="D523">
        <v>23</v>
      </c>
    </row>
    <row r="524" spans="1:4" x14ac:dyDescent="0.25">
      <c r="A524" s="1">
        <v>41797</v>
      </c>
      <c r="B524">
        <v>1</v>
      </c>
      <c r="C524">
        <v>1</v>
      </c>
      <c r="D524">
        <v>27</v>
      </c>
    </row>
    <row r="525" spans="1:4" x14ac:dyDescent="0.25">
      <c r="A525" s="1">
        <v>41798</v>
      </c>
      <c r="B525">
        <v>1</v>
      </c>
      <c r="C525">
        <v>1</v>
      </c>
      <c r="D525">
        <v>29</v>
      </c>
    </row>
    <row r="526" spans="1:4" x14ac:dyDescent="0.25">
      <c r="A526" s="1">
        <v>41799</v>
      </c>
      <c r="B526">
        <v>1</v>
      </c>
      <c r="C526">
        <v>1</v>
      </c>
      <c r="D526">
        <v>18</v>
      </c>
    </row>
    <row r="527" spans="1:4" x14ac:dyDescent="0.25">
      <c r="A527" s="1">
        <v>41800</v>
      </c>
      <c r="B527">
        <v>1</v>
      </c>
      <c r="C527">
        <v>1</v>
      </c>
      <c r="D527">
        <v>14</v>
      </c>
    </row>
    <row r="528" spans="1:4" x14ac:dyDescent="0.25">
      <c r="A528" s="1">
        <v>41801</v>
      </c>
      <c r="B528">
        <v>1</v>
      </c>
      <c r="C528">
        <v>1</v>
      </c>
      <c r="D528">
        <v>22</v>
      </c>
    </row>
    <row r="529" spans="1:4" x14ac:dyDescent="0.25">
      <c r="A529" s="1">
        <v>41802</v>
      </c>
      <c r="B529">
        <v>1</v>
      </c>
      <c r="C529">
        <v>1</v>
      </c>
      <c r="D529">
        <v>22</v>
      </c>
    </row>
    <row r="530" spans="1:4" x14ac:dyDescent="0.25">
      <c r="A530" s="1">
        <v>41803</v>
      </c>
      <c r="B530">
        <v>1</v>
      </c>
      <c r="C530">
        <v>1</v>
      </c>
      <c r="D530">
        <v>25</v>
      </c>
    </row>
    <row r="531" spans="1:4" x14ac:dyDescent="0.25">
      <c r="A531" s="1">
        <v>41804</v>
      </c>
      <c r="B531">
        <v>1</v>
      </c>
      <c r="C531">
        <v>1</v>
      </c>
      <c r="D531">
        <v>29</v>
      </c>
    </row>
    <row r="532" spans="1:4" x14ac:dyDescent="0.25">
      <c r="A532" s="1">
        <v>41805</v>
      </c>
      <c r="B532">
        <v>1</v>
      </c>
      <c r="C532">
        <v>1</v>
      </c>
      <c r="D532">
        <v>33</v>
      </c>
    </row>
    <row r="533" spans="1:4" x14ac:dyDescent="0.25">
      <c r="A533" s="1">
        <v>41806</v>
      </c>
      <c r="B533">
        <v>1</v>
      </c>
      <c r="C533">
        <v>1</v>
      </c>
      <c r="D533">
        <v>25</v>
      </c>
    </row>
    <row r="534" spans="1:4" x14ac:dyDescent="0.25">
      <c r="A534" s="1">
        <v>41807</v>
      </c>
      <c r="B534">
        <v>1</v>
      </c>
      <c r="C534">
        <v>1</v>
      </c>
      <c r="D534">
        <v>32</v>
      </c>
    </row>
    <row r="535" spans="1:4" x14ac:dyDescent="0.25">
      <c r="A535" s="1">
        <v>41808</v>
      </c>
      <c r="B535">
        <v>1</v>
      </c>
      <c r="C535">
        <v>1</v>
      </c>
      <c r="D535">
        <v>20</v>
      </c>
    </row>
    <row r="536" spans="1:4" x14ac:dyDescent="0.25">
      <c r="A536" s="1">
        <v>41809</v>
      </c>
      <c r="B536">
        <v>1</v>
      </c>
      <c r="C536">
        <v>1</v>
      </c>
      <c r="D536">
        <v>22</v>
      </c>
    </row>
    <row r="537" spans="1:4" x14ac:dyDescent="0.25">
      <c r="A537" s="1">
        <v>41810</v>
      </c>
      <c r="B537">
        <v>1</v>
      </c>
      <c r="C537">
        <v>1</v>
      </c>
      <c r="D537">
        <v>19</v>
      </c>
    </row>
    <row r="538" spans="1:4" x14ac:dyDescent="0.25">
      <c r="A538" s="1">
        <v>41811</v>
      </c>
      <c r="B538">
        <v>1</v>
      </c>
      <c r="C538">
        <v>1</v>
      </c>
      <c r="D538">
        <v>26</v>
      </c>
    </row>
    <row r="539" spans="1:4" x14ac:dyDescent="0.25">
      <c r="A539" s="1">
        <v>41812</v>
      </c>
      <c r="B539">
        <v>1</v>
      </c>
      <c r="C539">
        <v>1</v>
      </c>
      <c r="D539">
        <v>37</v>
      </c>
    </row>
    <row r="540" spans="1:4" x14ac:dyDescent="0.25">
      <c r="A540" s="1">
        <v>41813</v>
      </c>
      <c r="B540">
        <v>1</v>
      </c>
      <c r="C540">
        <v>1</v>
      </c>
      <c r="D540">
        <v>19</v>
      </c>
    </row>
    <row r="541" spans="1:4" x14ac:dyDescent="0.25">
      <c r="A541" s="1">
        <v>41814</v>
      </c>
      <c r="B541">
        <v>1</v>
      </c>
      <c r="C541">
        <v>1</v>
      </c>
      <c r="D541">
        <v>24</v>
      </c>
    </row>
    <row r="542" spans="1:4" x14ac:dyDescent="0.25">
      <c r="A542" s="1">
        <v>41815</v>
      </c>
      <c r="B542">
        <v>1</v>
      </c>
      <c r="C542">
        <v>1</v>
      </c>
      <c r="D542">
        <v>21</v>
      </c>
    </row>
    <row r="543" spans="1:4" x14ac:dyDescent="0.25">
      <c r="A543" s="1">
        <v>41816</v>
      </c>
      <c r="B543">
        <v>1</v>
      </c>
      <c r="C543">
        <v>1</v>
      </c>
      <c r="D543">
        <v>18</v>
      </c>
    </row>
    <row r="544" spans="1:4" x14ac:dyDescent="0.25">
      <c r="A544" s="1">
        <v>41817</v>
      </c>
      <c r="B544">
        <v>1</v>
      </c>
      <c r="C544">
        <v>1</v>
      </c>
      <c r="D544">
        <v>29</v>
      </c>
    </row>
    <row r="545" spans="1:4" x14ac:dyDescent="0.25">
      <c r="A545" s="1">
        <v>41818</v>
      </c>
      <c r="B545">
        <v>1</v>
      </c>
      <c r="C545">
        <v>1</v>
      </c>
      <c r="D545">
        <v>34</v>
      </c>
    </row>
    <row r="546" spans="1:4" x14ac:dyDescent="0.25">
      <c r="A546" s="1">
        <v>41819</v>
      </c>
      <c r="B546">
        <v>1</v>
      </c>
      <c r="C546">
        <v>1</v>
      </c>
      <c r="D546">
        <v>19</v>
      </c>
    </row>
    <row r="547" spans="1:4" x14ac:dyDescent="0.25">
      <c r="A547" s="1">
        <v>41820</v>
      </c>
      <c r="B547">
        <v>1</v>
      </c>
      <c r="C547">
        <v>1</v>
      </c>
      <c r="D547">
        <v>16</v>
      </c>
    </row>
    <row r="548" spans="1:4" x14ac:dyDescent="0.25">
      <c r="A548" s="1">
        <v>41821</v>
      </c>
      <c r="B548">
        <v>1</v>
      </c>
      <c r="C548">
        <v>1</v>
      </c>
      <c r="D548">
        <v>16</v>
      </c>
    </row>
    <row r="549" spans="1:4" x14ac:dyDescent="0.25">
      <c r="A549" s="1">
        <v>41822</v>
      </c>
      <c r="B549">
        <v>1</v>
      </c>
      <c r="C549">
        <v>1</v>
      </c>
      <c r="D549">
        <v>24</v>
      </c>
    </row>
    <row r="550" spans="1:4" x14ac:dyDescent="0.25">
      <c r="A550" s="1">
        <v>41823</v>
      </c>
      <c r="B550">
        <v>1</v>
      </c>
      <c r="C550">
        <v>1</v>
      </c>
      <c r="D550">
        <v>25</v>
      </c>
    </row>
    <row r="551" spans="1:4" x14ac:dyDescent="0.25">
      <c r="A551" s="1">
        <v>41824</v>
      </c>
      <c r="B551">
        <v>1</v>
      </c>
      <c r="C551">
        <v>1</v>
      </c>
      <c r="D551">
        <v>28</v>
      </c>
    </row>
    <row r="552" spans="1:4" x14ac:dyDescent="0.25">
      <c r="A552" s="1">
        <v>41825</v>
      </c>
      <c r="B552">
        <v>1</v>
      </c>
      <c r="C552">
        <v>1</v>
      </c>
      <c r="D552">
        <v>25</v>
      </c>
    </row>
    <row r="553" spans="1:4" x14ac:dyDescent="0.25">
      <c r="A553" s="1">
        <v>41826</v>
      </c>
      <c r="B553">
        <v>1</v>
      </c>
      <c r="C553">
        <v>1</v>
      </c>
      <c r="D553">
        <v>34</v>
      </c>
    </row>
    <row r="554" spans="1:4" x14ac:dyDescent="0.25">
      <c r="A554" s="1">
        <v>41827</v>
      </c>
      <c r="B554">
        <v>1</v>
      </c>
      <c r="C554">
        <v>1</v>
      </c>
      <c r="D554">
        <v>16</v>
      </c>
    </row>
    <row r="555" spans="1:4" x14ac:dyDescent="0.25">
      <c r="A555" s="1">
        <v>41828</v>
      </c>
      <c r="B555">
        <v>1</v>
      </c>
      <c r="C555">
        <v>1</v>
      </c>
      <c r="D555">
        <v>25</v>
      </c>
    </row>
    <row r="556" spans="1:4" x14ac:dyDescent="0.25">
      <c r="A556" s="1">
        <v>41829</v>
      </c>
      <c r="B556">
        <v>1</v>
      </c>
      <c r="C556">
        <v>1</v>
      </c>
      <c r="D556">
        <v>27</v>
      </c>
    </row>
    <row r="557" spans="1:4" x14ac:dyDescent="0.25">
      <c r="A557" s="1">
        <v>41830</v>
      </c>
      <c r="B557">
        <v>1</v>
      </c>
      <c r="C557">
        <v>1</v>
      </c>
      <c r="D557">
        <v>23</v>
      </c>
    </row>
    <row r="558" spans="1:4" x14ac:dyDescent="0.25">
      <c r="A558" s="1">
        <v>41831</v>
      </c>
      <c r="B558">
        <v>1</v>
      </c>
      <c r="C558">
        <v>1</v>
      </c>
      <c r="D558">
        <v>25</v>
      </c>
    </row>
    <row r="559" spans="1:4" x14ac:dyDescent="0.25">
      <c r="A559" s="1">
        <v>41832</v>
      </c>
      <c r="B559">
        <v>1</v>
      </c>
      <c r="C559">
        <v>1</v>
      </c>
      <c r="D559">
        <v>22</v>
      </c>
    </row>
    <row r="560" spans="1:4" x14ac:dyDescent="0.25">
      <c r="A560" s="1">
        <v>41833</v>
      </c>
      <c r="B560">
        <v>1</v>
      </c>
      <c r="C560">
        <v>1</v>
      </c>
      <c r="D560">
        <v>24</v>
      </c>
    </row>
    <row r="561" spans="1:4" x14ac:dyDescent="0.25">
      <c r="A561" s="1">
        <v>41834</v>
      </c>
      <c r="B561">
        <v>1</v>
      </c>
      <c r="C561">
        <v>1</v>
      </c>
      <c r="D561">
        <v>21</v>
      </c>
    </row>
    <row r="562" spans="1:4" x14ac:dyDescent="0.25">
      <c r="A562" s="1">
        <v>41835</v>
      </c>
      <c r="B562">
        <v>1</v>
      </c>
      <c r="C562">
        <v>1</v>
      </c>
      <c r="D562">
        <v>24</v>
      </c>
    </row>
    <row r="563" spans="1:4" x14ac:dyDescent="0.25">
      <c r="A563" s="1">
        <v>41836</v>
      </c>
      <c r="B563">
        <v>1</v>
      </c>
      <c r="C563">
        <v>1</v>
      </c>
      <c r="D563">
        <v>17</v>
      </c>
    </row>
    <row r="564" spans="1:4" x14ac:dyDescent="0.25">
      <c r="A564" s="1">
        <v>41837</v>
      </c>
      <c r="B564">
        <v>1</v>
      </c>
      <c r="C564">
        <v>1</v>
      </c>
      <c r="D564">
        <v>26</v>
      </c>
    </row>
    <row r="565" spans="1:4" x14ac:dyDescent="0.25">
      <c r="A565" s="1">
        <v>41838</v>
      </c>
      <c r="B565">
        <v>1</v>
      </c>
      <c r="C565">
        <v>1</v>
      </c>
      <c r="D565">
        <v>25</v>
      </c>
    </row>
    <row r="566" spans="1:4" x14ac:dyDescent="0.25">
      <c r="A566" s="1">
        <v>41839</v>
      </c>
      <c r="B566">
        <v>1</v>
      </c>
      <c r="C566">
        <v>1</v>
      </c>
      <c r="D566">
        <v>31</v>
      </c>
    </row>
    <row r="567" spans="1:4" x14ac:dyDescent="0.25">
      <c r="A567" s="1">
        <v>41840</v>
      </c>
      <c r="B567">
        <v>1</v>
      </c>
      <c r="C567">
        <v>1</v>
      </c>
      <c r="D567">
        <v>26</v>
      </c>
    </row>
    <row r="568" spans="1:4" x14ac:dyDescent="0.25">
      <c r="A568" s="1">
        <v>41841</v>
      </c>
      <c r="B568">
        <v>1</v>
      </c>
      <c r="C568">
        <v>1</v>
      </c>
      <c r="D568">
        <v>21</v>
      </c>
    </row>
    <row r="569" spans="1:4" x14ac:dyDescent="0.25">
      <c r="A569" s="1">
        <v>41842</v>
      </c>
      <c r="B569">
        <v>1</v>
      </c>
      <c r="C569">
        <v>1</v>
      </c>
      <c r="D569">
        <v>30</v>
      </c>
    </row>
    <row r="570" spans="1:4" x14ac:dyDescent="0.25">
      <c r="A570" s="1">
        <v>41843</v>
      </c>
      <c r="B570">
        <v>1</v>
      </c>
      <c r="C570">
        <v>1</v>
      </c>
      <c r="D570">
        <v>19</v>
      </c>
    </row>
    <row r="571" spans="1:4" x14ac:dyDescent="0.25">
      <c r="A571" s="1">
        <v>41844</v>
      </c>
      <c r="B571">
        <v>1</v>
      </c>
      <c r="C571">
        <v>1</v>
      </c>
      <c r="D571">
        <v>26</v>
      </c>
    </row>
    <row r="572" spans="1:4" x14ac:dyDescent="0.25">
      <c r="A572" s="1">
        <v>41845</v>
      </c>
      <c r="B572">
        <v>1</v>
      </c>
      <c r="C572">
        <v>1</v>
      </c>
      <c r="D572">
        <v>24</v>
      </c>
    </row>
    <row r="573" spans="1:4" x14ac:dyDescent="0.25">
      <c r="A573" s="1">
        <v>41846</v>
      </c>
      <c r="B573">
        <v>1</v>
      </c>
      <c r="C573">
        <v>1</v>
      </c>
      <c r="D573">
        <v>29</v>
      </c>
    </row>
    <row r="574" spans="1:4" x14ac:dyDescent="0.25">
      <c r="A574" s="1">
        <v>41847</v>
      </c>
      <c r="B574">
        <v>1</v>
      </c>
      <c r="C574">
        <v>1</v>
      </c>
      <c r="D574">
        <v>35</v>
      </c>
    </row>
    <row r="575" spans="1:4" x14ac:dyDescent="0.25">
      <c r="A575" s="1">
        <v>41848</v>
      </c>
      <c r="B575">
        <v>1</v>
      </c>
      <c r="C575">
        <v>1</v>
      </c>
      <c r="D575">
        <v>11</v>
      </c>
    </row>
    <row r="576" spans="1:4" x14ac:dyDescent="0.25">
      <c r="A576" s="1">
        <v>41849</v>
      </c>
      <c r="B576">
        <v>1</v>
      </c>
      <c r="C576">
        <v>1</v>
      </c>
      <c r="D576">
        <v>19</v>
      </c>
    </row>
    <row r="577" spans="1:4" x14ac:dyDescent="0.25">
      <c r="A577" s="1">
        <v>41850</v>
      </c>
      <c r="B577">
        <v>1</v>
      </c>
      <c r="C577">
        <v>1</v>
      </c>
      <c r="D577">
        <v>25</v>
      </c>
    </row>
    <row r="578" spans="1:4" x14ac:dyDescent="0.25">
      <c r="A578" s="1">
        <v>41851</v>
      </c>
      <c r="B578">
        <v>1</v>
      </c>
      <c r="C578">
        <v>1</v>
      </c>
      <c r="D578">
        <v>23</v>
      </c>
    </row>
    <row r="579" spans="1:4" x14ac:dyDescent="0.25">
      <c r="A579" s="1">
        <v>41852</v>
      </c>
      <c r="B579">
        <v>1</v>
      </c>
      <c r="C579">
        <v>1</v>
      </c>
      <c r="D579">
        <v>12</v>
      </c>
    </row>
    <row r="580" spans="1:4" x14ac:dyDescent="0.25">
      <c r="A580" s="1">
        <v>41853</v>
      </c>
      <c r="B580">
        <v>1</v>
      </c>
      <c r="C580">
        <v>1</v>
      </c>
      <c r="D580">
        <v>23</v>
      </c>
    </row>
    <row r="581" spans="1:4" x14ac:dyDescent="0.25">
      <c r="A581" s="1">
        <v>41854</v>
      </c>
      <c r="B581">
        <v>1</v>
      </c>
      <c r="C581">
        <v>1</v>
      </c>
      <c r="D581">
        <v>27</v>
      </c>
    </row>
    <row r="582" spans="1:4" x14ac:dyDescent="0.25">
      <c r="A582" s="1">
        <v>41855</v>
      </c>
      <c r="B582">
        <v>1</v>
      </c>
      <c r="C582">
        <v>1</v>
      </c>
      <c r="D582">
        <v>20</v>
      </c>
    </row>
    <row r="583" spans="1:4" x14ac:dyDescent="0.25">
      <c r="A583" s="1">
        <v>41856</v>
      </c>
      <c r="B583">
        <v>1</v>
      </c>
      <c r="C583">
        <v>1</v>
      </c>
      <c r="D583">
        <v>19</v>
      </c>
    </row>
    <row r="584" spans="1:4" x14ac:dyDescent="0.25">
      <c r="A584" s="1">
        <v>41857</v>
      </c>
      <c r="B584">
        <v>1</v>
      </c>
      <c r="C584">
        <v>1</v>
      </c>
      <c r="D584">
        <v>25</v>
      </c>
    </row>
    <row r="585" spans="1:4" x14ac:dyDescent="0.25">
      <c r="A585" s="1">
        <v>41858</v>
      </c>
      <c r="B585">
        <v>1</v>
      </c>
      <c r="C585">
        <v>1</v>
      </c>
      <c r="D585">
        <v>21</v>
      </c>
    </row>
    <row r="586" spans="1:4" x14ac:dyDescent="0.25">
      <c r="A586" s="1">
        <v>41859</v>
      </c>
      <c r="B586">
        <v>1</v>
      </c>
      <c r="C586">
        <v>1</v>
      </c>
      <c r="D586">
        <v>27</v>
      </c>
    </row>
    <row r="587" spans="1:4" x14ac:dyDescent="0.25">
      <c r="A587" s="1">
        <v>41860</v>
      </c>
      <c r="B587">
        <v>1</v>
      </c>
      <c r="C587">
        <v>1</v>
      </c>
      <c r="D587">
        <v>27</v>
      </c>
    </row>
    <row r="588" spans="1:4" x14ac:dyDescent="0.25">
      <c r="A588" s="1">
        <v>41861</v>
      </c>
      <c r="B588">
        <v>1</v>
      </c>
      <c r="C588">
        <v>1</v>
      </c>
      <c r="D588">
        <v>22</v>
      </c>
    </row>
    <row r="589" spans="1:4" x14ac:dyDescent="0.25">
      <c r="A589" s="1">
        <v>41862</v>
      </c>
      <c r="B589">
        <v>1</v>
      </c>
      <c r="C589">
        <v>1</v>
      </c>
      <c r="D589">
        <v>22</v>
      </c>
    </row>
    <row r="590" spans="1:4" x14ac:dyDescent="0.25">
      <c r="A590" s="1">
        <v>41863</v>
      </c>
      <c r="B590">
        <v>1</v>
      </c>
      <c r="C590">
        <v>1</v>
      </c>
      <c r="D590">
        <v>20</v>
      </c>
    </row>
    <row r="591" spans="1:4" x14ac:dyDescent="0.25">
      <c r="A591" s="1">
        <v>41864</v>
      </c>
      <c r="B591">
        <v>1</v>
      </c>
      <c r="C591">
        <v>1</v>
      </c>
      <c r="D591">
        <v>11</v>
      </c>
    </row>
    <row r="592" spans="1:4" x14ac:dyDescent="0.25">
      <c r="A592" s="1">
        <v>41865</v>
      </c>
      <c r="B592">
        <v>1</v>
      </c>
      <c r="C592">
        <v>1</v>
      </c>
      <c r="D592">
        <v>17</v>
      </c>
    </row>
    <row r="593" spans="1:4" x14ac:dyDescent="0.25">
      <c r="A593" s="1">
        <v>41866</v>
      </c>
      <c r="B593">
        <v>1</v>
      </c>
      <c r="C593">
        <v>1</v>
      </c>
      <c r="D593">
        <v>21</v>
      </c>
    </row>
    <row r="594" spans="1:4" x14ac:dyDescent="0.25">
      <c r="A594" s="1">
        <v>41867</v>
      </c>
      <c r="B594">
        <v>1</v>
      </c>
      <c r="C594">
        <v>1</v>
      </c>
      <c r="D594">
        <v>20</v>
      </c>
    </row>
    <row r="595" spans="1:4" x14ac:dyDescent="0.25">
      <c r="A595" s="1">
        <v>41868</v>
      </c>
      <c r="B595">
        <v>1</v>
      </c>
      <c r="C595">
        <v>1</v>
      </c>
      <c r="D595">
        <v>31</v>
      </c>
    </row>
    <row r="596" spans="1:4" x14ac:dyDescent="0.25">
      <c r="A596" s="1">
        <v>41869</v>
      </c>
      <c r="B596">
        <v>1</v>
      </c>
      <c r="C596">
        <v>1</v>
      </c>
      <c r="D596">
        <v>25</v>
      </c>
    </row>
    <row r="597" spans="1:4" x14ac:dyDescent="0.25">
      <c r="A597" s="1">
        <v>41870</v>
      </c>
      <c r="B597">
        <v>1</v>
      </c>
      <c r="C597">
        <v>1</v>
      </c>
      <c r="D597">
        <v>15</v>
      </c>
    </row>
    <row r="598" spans="1:4" x14ac:dyDescent="0.25">
      <c r="A598" s="1">
        <v>41871</v>
      </c>
      <c r="B598">
        <v>1</v>
      </c>
      <c r="C598">
        <v>1</v>
      </c>
      <c r="D598">
        <v>21</v>
      </c>
    </row>
    <row r="599" spans="1:4" x14ac:dyDescent="0.25">
      <c r="A599" s="1">
        <v>41872</v>
      </c>
      <c r="B599">
        <v>1</v>
      </c>
      <c r="C599">
        <v>1</v>
      </c>
      <c r="D599">
        <v>20</v>
      </c>
    </row>
    <row r="600" spans="1:4" x14ac:dyDescent="0.25">
      <c r="A600" s="1">
        <v>41873</v>
      </c>
      <c r="B600">
        <v>1</v>
      </c>
      <c r="C600">
        <v>1</v>
      </c>
      <c r="D600">
        <v>21</v>
      </c>
    </row>
    <row r="601" spans="1:4" x14ac:dyDescent="0.25">
      <c r="A601" s="1">
        <v>41874</v>
      </c>
      <c r="B601">
        <v>1</v>
      </c>
      <c r="C601">
        <v>1</v>
      </c>
      <c r="D601">
        <v>26</v>
      </c>
    </row>
    <row r="602" spans="1:4" x14ac:dyDescent="0.25">
      <c r="A602" s="1">
        <v>41875</v>
      </c>
      <c r="B602">
        <v>1</v>
      </c>
      <c r="C602">
        <v>1</v>
      </c>
      <c r="D602">
        <v>26</v>
      </c>
    </row>
    <row r="603" spans="1:4" x14ac:dyDescent="0.25">
      <c r="A603" s="1">
        <v>41876</v>
      </c>
      <c r="B603">
        <v>1</v>
      </c>
      <c r="C603">
        <v>1</v>
      </c>
      <c r="D603">
        <v>12</v>
      </c>
    </row>
    <row r="604" spans="1:4" x14ac:dyDescent="0.25">
      <c r="A604" s="1">
        <v>41877</v>
      </c>
      <c r="B604">
        <v>1</v>
      </c>
      <c r="C604">
        <v>1</v>
      </c>
      <c r="D604">
        <v>25</v>
      </c>
    </row>
    <row r="605" spans="1:4" x14ac:dyDescent="0.25">
      <c r="A605" s="1">
        <v>41878</v>
      </c>
      <c r="B605">
        <v>1</v>
      </c>
      <c r="C605">
        <v>1</v>
      </c>
      <c r="D605">
        <v>21</v>
      </c>
    </row>
    <row r="606" spans="1:4" x14ac:dyDescent="0.25">
      <c r="A606" s="1">
        <v>41879</v>
      </c>
      <c r="B606">
        <v>1</v>
      </c>
      <c r="C606">
        <v>1</v>
      </c>
      <c r="D606">
        <v>19</v>
      </c>
    </row>
    <row r="607" spans="1:4" x14ac:dyDescent="0.25">
      <c r="A607" s="1">
        <v>41880</v>
      </c>
      <c r="B607">
        <v>1</v>
      </c>
      <c r="C607">
        <v>1</v>
      </c>
      <c r="D607">
        <v>17</v>
      </c>
    </row>
    <row r="608" spans="1:4" x14ac:dyDescent="0.25">
      <c r="A608" s="1">
        <v>41881</v>
      </c>
      <c r="B608">
        <v>1</v>
      </c>
      <c r="C608">
        <v>1</v>
      </c>
      <c r="D608">
        <v>30</v>
      </c>
    </row>
    <row r="609" spans="1:4" x14ac:dyDescent="0.25">
      <c r="A609" s="1">
        <v>41882</v>
      </c>
      <c r="B609">
        <v>1</v>
      </c>
      <c r="C609">
        <v>1</v>
      </c>
      <c r="D609">
        <v>28</v>
      </c>
    </row>
    <row r="610" spans="1:4" x14ac:dyDescent="0.25">
      <c r="A610" s="1">
        <v>41883</v>
      </c>
      <c r="B610">
        <v>1</v>
      </c>
      <c r="C610">
        <v>1</v>
      </c>
      <c r="D610">
        <v>16</v>
      </c>
    </row>
    <row r="611" spans="1:4" x14ac:dyDescent="0.25">
      <c r="A611" s="1">
        <v>41884</v>
      </c>
      <c r="B611">
        <v>1</v>
      </c>
      <c r="C611">
        <v>1</v>
      </c>
      <c r="D611">
        <v>15</v>
      </c>
    </row>
    <row r="612" spans="1:4" x14ac:dyDescent="0.25">
      <c r="A612" s="1">
        <v>41885</v>
      </c>
      <c r="B612">
        <v>1</v>
      </c>
      <c r="C612">
        <v>1</v>
      </c>
      <c r="D612">
        <v>22</v>
      </c>
    </row>
    <row r="613" spans="1:4" x14ac:dyDescent="0.25">
      <c r="A613" s="1">
        <v>41886</v>
      </c>
      <c r="B613">
        <v>1</v>
      </c>
      <c r="C613">
        <v>1</v>
      </c>
      <c r="D613">
        <v>26</v>
      </c>
    </row>
    <row r="614" spans="1:4" x14ac:dyDescent="0.25">
      <c r="A614" s="1">
        <v>41887</v>
      </c>
      <c r="B614">
        <v>1</v>
      </c>
      <c r="C614">
        <v>1</v>
      </c>
      <c r="D614">
        <v>27</v>
      </c>
    </row>
    <row r="615" spans="1:4" x14ac:dyDescent="0.25">
      <c r="A615" s="1">
        <v>41888</v>
      </c>
      <c r="B615">
        <v>1</v>
      </c>
      <c r="C615">
        <v>1</v>
      </c>
      <c r="D615">
        <v>21</v>
      </c>
    </row>
    <row r="616" spans="1:4" x14ac:dyDescent="0.25">
      <c r="A616" s="1">
        <v>41889</v>
      </c>
      <c r="B616">
        <v>1</v>
      </c>
      <c r="C616">
        <v>1</v>
      </c>
      <c r="D616">
        <v>25</v>
      </c>
    </row>
    <row r="617" spans="1:4" x14ac:dyDescent="0.25">
      <c r="A617" s="1">
        <v>41890</v>
      </c>
      <c r="B617">
        <v>1</v>
      </c>
      <c r="C617">
        <v>1</v>
      </c>
      <c r="D617">
        <v>12</v>
      </c>
    </row>
    <row r="618" spans="1:4" x14ac:dyDescent="0.25">
      <c r="A618" s="1">
        <v>41891</v>
      </c>
      <c r="B618">
        <v>1</v>
      </c>
      <c r="C618">
        <v>1</v>
      </c>
      <c r="D618">
        <v>22</v>
      </c>
    </row>
    <row r="619" spans="1:4" x14ac:dyDescent="0.25">
      <c r="A619" s="1">
        <v>41892</v>
      </c>
      <c r="B619">
        <v>1</v>
      </c>
      <c r="C619">
        <v>1</v>
      </c>
      <c r="D619">
        <v>16</v>
      </c>
    </row>
    <row r="620" spans="1:4" x14ac:dyDescent="0.25">
      <c r="A620" s="1">
        <v>41893</v>
      </c>
      <c r="B620">
        <v>1</v>
      </c>
      <c r="C620">
        <v>1</v>
      </c>
      <c r="D620">
        <v>15</v>
      </c>
    </row>
    <row r="621" spans="1:4" x14ac:dyDescent="0.25">
      <c r="A621" s="1">
        <v>41894</v>
      </c>
      <c r="B621">
        <v>1</v>
      </c>
      <c r="C621">
        <v>1</v>
      </c>
      <c r="D621">
        <v>25</v>
      </c>
    </row>
    <row r="622" spans="1:4" x14ac:dyDescent="0.25">
      <c r="A622" s="1">
        <v>41895</v>
      </c>
      <c r="B622">
        <v>1</v>
      </c>
      <c r="C622">
        <v>1</v>
      </c>
      <c r="D622">
        <v>17</v>
      </c>
    </row>
    <row r="623" spans="1:4" x14ac:dyDescent="0.25">
      <c r="A623" s="1">
        <v>41896</v>
      </c>
      <c r="B623">
        <v>1</v>
      </c>
      <c r="C623">
        <v>1</v>
      </c>
      <c r="D623">
        <v>26</v>
      </c>
    </row>
    <row r="624" spans="1:4" x14ac:dyDescent="0.25">
      <c r="A624" s="1">
        <v>41897</v>
      </c>
      <c r="B624">
        <v>1</v>
      </c>
      <c r="C624">
        <v>1</v>
      </c>
      <c r="D624">
        <v>12</v>
      </c>
    </row>
    <row r="625" spans="1:4" x14ac:dyDescent="0.25">
      <c r="A625" s="1">
        <v>41898</v>
      </c>
      <c r="B625">
        <v>1</v>
      </c>
      <c r="C625">
        <v>1</v>
      </c>
      <c r="D625">
        <v>15</v>
      </c>
    </row>
    <row r="626" spans="1:4" x14ac:dyDescent="0.25">
      <c r="A626" s="1">
        <v>41899</v>
      </c>
      <c r="B626">
        <v>1</v>
      </c>
      <c r="C626">
        <v>1</v>
      </c>
      <c r="D626">
        <v>17</v>
      </c>
    </row>
    <row r="627" spans="1:4" x14ac:dyDescent="0.25">
      <c r="A627" s="1">
        <v>41900</v>
      </c>
      <c r="B627">
        <v>1</v>
      </c>
      <c r="C627">
        <v>1</v>
      </c>
      <c r="D627">
        <v>18</v>
      </c>
    </row>
    <row r="628" spans="1:4" x14ac:dyDescent="0.25">
      <c r="A628" s="1">
        <v>41901</v>
      </c>
      <c r="B628">
        <v>1</v>
      </c>
      <c r="C628">
        <v>1</v>
      </c>
      <c r="D628">
        <v>21</v>
      </c>
    </row>
    <row r="629" spans="1:4" x14ac:dyDescent="0.25">
      <c r="A629" s="1">
        <v>41902</v>
      </c>
      <c r="B629">
        <v>1</v>
      </c>
      <c r="C629">
        <v>1</v>
      </c>
      <c r="D629">
        <v>21</v>
      </c>
    </row>
    <row r="630" spans="1:4" x14ac:dyDescent="0.25">
      <c r="A630" s="1">
        <v>41903</v>
      </c>
      <c r="B630">
        <v>1</v>
      </c>
      <c r="C630">
        <v>1</v>
      </c>
      <c r="D630">
        <v>20</v>
      </c>
    </row>
    <row r="631" spans="1:4" x14ac:dyDescent="0.25">
      <c r="A631" s="1">
        <v>41904</v>
      </c>
      <c r="B631">
        <v>1</v>
      </c>
      <c r="C631">
        <v>1</v>
      </c>
      <c r="D631">
        <v>15</v>
      </c>
    </row>
    <row r="632" spans="1:4" x14ac:dyDescent="0.25">
      <c r="A632" s="1">
        <v>41905</v>
      </c>
      <c r="B632">
        <v>1</v>
      </c>
      <c r="C632">
        <v>1</v>
      </c>
      <c r="D632">
        <v>20</v>
      </c>
    </row>
    <row r="633" spans="1:4" x14ac:dyDescent="0.25">
      <c r="A633" s="1">
        <v>41906</v>
      </c>
      <c r="B633">
        <v>1</v>
      </c>
      <c r="C633">
        <v>1</v>
      </c>
      <c r="D633">
        <v>14</v>
      </c>
    </row>
    <row r="634" spans="1:4" x14ac:dyDescent="0.25">
      <c r="A634" s="1">
        <v>41907</v>
      </c>
      <c r="B634">
        <v>1</v>
      </c>
      <c r="C634">
        <v>1</v>
      </c>
      <c r="D634">
        <v>17</v>
      </c>
    </row>
    <row r="635" spans="1:4" x14ac:dyDescent="0.25">
      <c r="A635" s="1">
        <v>41908</v>
      </c>
      <c r="B635">
        <v>1</v>
      </c>
      <c r="C635">
        <v>1</v>
      </c>
      <c r="D635">
        <v>23</v>
      </c>
    </row>
    <row r="636" spans="1:4" x14ac:dyDescent="0.25">
      <c r="A636" s="1">
        <v>41909</v>
      </c>
      <c r="B636">
        <v>1</v>
      </c>
      <c r="C636">
        <v>1</v>
      </c>
      <c r="D636">
        <v>13</v>
      </c>
    </row>
    <row r="637" spans="1:4" x14ac:dyDescent="0.25">
      <c r="A637" s="1">
        <v>41910</v>
      </c>
      <c r="B637">
        <v>1</v>
      </c>
      <c r="C637">
        <v>1</v>
      </c>
      <c r="D637">
        <v>22</v>
      </c>
    </row>
    <row r="638" spans="1:4" x14ac:dyDescent="0.25">
      <c r="A638" s="1">
        <v>41911</v>
      </c>
      <c r="B638">
        <v>1</v>
      </c>
      <c r="C638">
        <v>1</v>
      </c>
      <c r="D638">
        <v>18</v>
      </c>
    </row>
    <row r="639" spans="1:4" x14ac:dyDescent="0.25">
      <c r="A639" s="1">
        <v>41912</v>
      </c>
      <c r="B639">
        <v>1</v>
      </c>
      <c r="C639">
        <v>1</v>
      </c>
      <c r="D639">
        <v>15</v>
      </c>
    </row>
    <row r="640" spans="1:4" x14ac:dyDescent="0.25">
      <c r="A640" s="1">
        <v>41913</v>
      </c>
      <c r="B640">
        <v>1</v>
      </c>
      <c r="C640">
        <v>1</v>
      </c>
      <c r="D640">
        <v>12</v>
      </c>
    </row>
    <row r="641" spans="1:4" x14ac:dyDescent="0.25">
      <c r="A641" s="1">
        <v>41914</v>
      </c>
      <c r="B641">
        <v>1</v>
      </c>
      <c r="C641">
        <v>1</v>
      </c>
      <c r="D641">
        <v>15</v>
      </c>
    </row>
    <row r="642" spans="1:4" x14ac:dyDescent="0.25">
      <c r="A642" s="1">
        <v>41915</v>
      </c>
      <c r="B642">
        <v>1</v>
      </c>
      <c r="C642">
        <v>1</v>
      </c>
      <c r="D642">
        <v>24</v>
      </c>
    </row>
    <row r="643" spans="1:4" x14ac:dyDescent="0.25">
      <c r="A643" s="1">
        <v>41916</v>
      </c>
      <c r="B643">
        <v>1</v>
      </c>
      <c r="C643">
        <v>1</v>
      </c>
      <c r="D643">
        <v>27</v>
      </c>
    </row>
    <row r="644" spans="1:4" x14ac:dyDescent="0.25">
      <c r="A644" s="1">
        <v>41917</v>
      </c>
      <c r="B644">
        <v>1</v>
      </c>
      <c r="C644">
        <v>1</v>
      </c>
      <c r="D644">
        <v>33</v>
      </c>
    </row>
    <row r="645" spans="1:4" x14ac:dyDescent="0.25">
      <c r="A645" s="1">
        <v>41918</v>
      </c>
      <c r="B645">
        <v>1</v>
      </c>
      <c r="C645">
        <v>1</v>
      </c>
      <c r="D645">
        <v>9</v>
      </c>
    </row>
    <row r="646" spans="1:4" x14ac:dyDescent="0.25">
      <c r="A646" s="1">
        <v>41919</v>
      </c>
      <c r="B646">
        <v>1</v>
      </c>
      <c r="C646">
        <v>1</v>
      </c>
      <c r="D646">
        <v>10</v>
      </c>
    </row>
    <row r="647" spans="1:4" x14ac:dyDescent="0.25">
      <c r="A647" s="1">
        <v>41920</v>
      </c>
      <c r="B647">
        <v>1</v>
      </c>
      <c r="C647">
        <v>1</v>
      </c>
      <c r="D647">
        <v>25</v>
      </c>
    </row>
    <row r="648" spans="1:4" x14ac:dyDescent="0.25">
      <c r="A648" s="1">
        <v>41921</v>
      </c>
      <c r="B648">
        <v>1</v>
      </c>
      <c r="C648">
        <v>1</v>
      </c>
      <c r="D648">
        <v>18</v>
      </c>
    </row>
    <row r="649" spans="1:4" x14ac:dyDescent="0.25">
      <c r="A649" s="1">
        <v>41922</v>
      </c>
      <c r="B649">
        <v>1</v>
      </c>
      <c r="C649">
        <v>1</v>
      </c>
      <c r="D649">
        <v>19</v>
      </c>
    </row>
    <row r="650" spans="1:4" x14ac:dyDescent="0.25">
      <c r="A650" s="1">
        <v>41923</v>
      </c>
      <c r="B650">
        <v>1</v>
      </c>
      <c r="C650">
        <v>1</v>
      </c>
      <c r="D650">
        <v>28</v>
      </c>
    </row>
    <row r="651" spans="1:4" x14ac:dyDescent="0.25">
      <c r="A651" s="1">
        <v>41924</v>
      </c>
      <c r="B651">
        <v>1</v>
      </c>
      <c r="C651">
        <v>1</v>
      </c>
      <c r="D651">
        <v>29</v>
      </c>
    </row>
    <row r="652" spans="1:4" x14ac:dyDescent="0.25">
      <c r="A652" s="1">
        <v>41925</v>
      </c>
      <c r="B652">
        <v>1</v>
      </c>
      <c r="C652">
        <v>1</v>
      </c>
      <c r="D652">
        <v>6</v>
      </c>
    </row>
    <row r="653" spans="1:4" x14ac:dyDescent="0.25">
      <c r="A653" s="1">
        <v>41926</v>
      </c>
      <c r="B653">
        <v>1</v>
      </c>
      <c r="C653">
        <v>1</v>
      </c>
      <c r="D653">
        <v>20</v>
      </c>
    </row>
    <row r="654" spans="1:4" x14ac:dyDescent="0.25">
      <c r="A654" s="1">
        <v>41927</v>
      </c>
      <c r="B654">
        <v>1</v>
      </c>
      <c r="C654">
        <v>1</v>
      </c>
      <c r="D654">
        <v>21</v>
      </c>
    </row>
    <row r="655" spans="1:4" x14ac:dyDescent="0.25">
      <c r="A655" s="1">
        <v>41928</v>
      </c>
      <c r="B655">
        <v>1</v>
      </c>
      <c r="C655">
        <v>1</v>
      </c>
      <c r="D655">
        <v>17</v>
      </c>
    </row>
    <row r="656" spans="1:4" x14ac:dyDescent="0.25">
      <c r="A656" s="1">
        <v>41929</v>
      </c>
      <c r="B656">
        <v>1</v>
      </c>
      <c r="C656">
        <v>1</v>
      </c>
      <c r="D656">
        <v>18</v>
      </c>
    </row>
    <row r="657" spans="1:4" x14ac:dyDescent="0.25">
      <c r="A657" s="1">
        <v>41930</v>
      </c>
      <c r="B657">
        <v>1</v>
      </c>
      <c r="C657">
        <v>1</v>
      </c>
      <c r="D657">
        <v>22</v>
      </c>
    </row>
    <row r="658" spans="1:4" x14ac:dyDescent="0.25">
      <c r="A658" s="1">
        <v>41931</v>
      </c>
      <c r="B658">
        <v>1</v>
      </c>
      <c r="C658">
        <v>1</v>
      </c>
      <c r="D658">
        <v>13</v>
      </c>
    </row>
    <row r="659" spans="1:4" x14ac:dyDescent="0.25">
      <c r="A659" s="1">
        <v>41932</v>
      </c>
      <c r="B659">
        <v>1</v>
      </c>
      <c r="C659">
        <v>1</v>
      </c>
      <c r="D659">
        <v>8</v>
      </c>
    </row>
    <row r="660" spans="1:4" x14ac:dyDescent="0.25">
      <c r="A660" s="1">
        <v>41933</v>
      </c>
      <c r="B660">
        <v>1</v>
      </c>
      <c r="C660">
        <v>1</v>
      </c>
      <c r="D660">
        <v>19</v>
      </c>
    </row>
    <row r="661" spans="1:4" x14ac:dyDescent="0.25">
      <c r="A661" s="1">
        <v>41934</v>
      </c>
      <c r="B661">
        <v>1</v>
      </c>
      <c r="C661">
        <v>1</v>
      </c>
      <c r="D661">
        <v>14</v>
      </c>
    </row>
    <row r="662" spans="1:4" x14ac:dyDescent="0.25">
      <c r="A662" s="1">
        <v>41935</v>
      </c>
      <c r="B662">
        <v>1</v>
      </c>
      <c r="C662">
        <v>1</v>
      </c>
      <c r="D662">
        <v>18</v>
      </c>
    </row>
    <row r="663" spans="1:4" x14ac:dyDescent="0.25">
      <c r="A663" s="1">
        <v>41936</v>
      </c>
      <c r="B663">
        <v>1</v>
      </c>
      <c r="C663">
        <v>1</v>
      </c>
      <c r="D663">
        <v>17</v>
      </c>
    </row>
    <row r="664" spans="1:4" x14ac:dyDescent="0.25">
      <c r="A664" s="1">
        <v>41937</v>
      </c>
      <c r="B664">
        <v>1</v>
      </c>
      <c r="C664">
        <v>1</v>
      </c>
      <c r="D664">
        <v>21</v>
      </c>
    </row>
    <row r="665" spans="1:4" x14ac:dyDescent="0.25">
      <c r="A665" s="1">
        <v>41938</v>
      </c>
      <c r="B665">
        <v>1</v>
      </c>
      <c r="C665">
        <v>1</v>
      </c>
      <c r="D665">
        <v>22</v>
      </c>
    </row>
    <row r="666" spans="1:4" x14ac:dyDescent="0.25">
      <c r="A666" s="1">
        <v>41939</v>
      </c>
      <c r="B666">
        <v>1</v>
      </c>
      <c r="C666">
        <v>1</v>
      </c>
      <c r="D666">
        <v>15</v>
      </c>
    </row>
    <row r="667" spans="1:4" x14ac:dyDescent="0.25">
      <c r="A667" s="1">
        <v>41940</v>
      </c>
      <c r="B667">
        <v>1</v>
      </c>
      <c r="C667">
        <v>1</v>
      </c>
      <c r="D667">
        <v>12</v>
      </c>
    </row>
    <row r="668" spans="1:4" x14ac:dyDescent="0.25">
      <c r="A668" s="1">
        <v>41941</v>
      </c>
      <c r="B668">
        <v>1</v>
      </c>
      <c r="C668">
        <v>1</v>
      </c>
      <c r="D668">
        <v>11</v>
      </c>
    </row>
    <row r="669" spans="1:4" x14ac:dyDescent="0.25">
      <c r="A669" s="1">
        <v>41942</v>
      </c>
      <c r="B669">
        <v>1</v>
      </c>
      <c r="C669">
        <v>1</v>
      </c>
      <c r="D669">
        <v>12</v>
      </c>
    </row>
    <row r="670" spans="1:4" x14ac:dyDescent="0.25">
      <c r="A670" s="1">
        <v>41943</v>
      </c>
      <c r="B670">
        <v>1</v>
      </c>
      <c r="C670">
        <v>1</v>
      </c>
      <c r="D670">
        <v>20</v>
      </c>
    </row>
    <row r="671" spans="1:4" x14ac:dyDescent="0.25">
      <c r="A671" s="1">
        <v>41944</v>
      </c>
      <c r="B671">
        <v>1</v>
      </c>
      <c r="C671">
        <v>1</v>
      </c>
      <c r="D671">
        <v>17</v>
      </c>
    </row>
    <row r="672" spans="1:4" x14ac:dyDescent="0.25">
      <c r="A672" s="1">
        <v>41945</v>
      </c>
      <c r="B672">
        <v>1</v>
      </c>
      <c r="C672">
        <v>1</v>
      </c>
      <c r="D672">
        <v>33</v>
      </c>
    </row>
    <row r="673" spans="1:4" x14ac:dyDescent="0.25">
      <c r="A673" s="1">
        <v>41946</v>
      </c>
      <c r="B673">
        <v>1</v>
      </c>
      <c r="C673">
        <v>1</v>
      </c>
      <c r="D673">
        <v>16</v>
      </c>
    </row>
    <row r="674" spans="1:4" x14ac:dyDescent="0.25">
      <c r="A674" s="1">
        <v>41947</v>
      </c>
      <c r="B674">
        <v>1</v>
      </c>
      <c r="C674">
        <v>1</v>
      </c>
      <c r="D674">
        <v>16</v>
      </c>
    </row>
    <row r="675" spans="1:4" x14ac:dyDescent="0.25">
      <c r="A675" s="1">
        <v>41948</v>
      </c>
      <c r="B675">
        <v>1</v>
      </c>
      <c r="C675">
        <v>1</v>
      </c>
      <c r="D675">
        <v>15</v>
      </c>
    </row>
    <row r="676" spans="1:4" x14ac:dyDescent="0.25">
      <c r="A676" s="1">
        <v>41949</v>
      </c>
      <c r="B676">
        <v>1</v>
      </c>
      <c r="C676">
        <v>1</v>
      </c>
      <c r="D676">
        <v>22</v>
      </c>
    </row>
    <row r="677" spans="1:4" x14ac:dyDescent="0.25">
      <c r="A677" s="1">
        <v>41950</v>
      </c>
      <c r="B677">
        <v>1</v>
      </c>
      <c r="C677">
        <v>1</v>
      </c>
      <c r="D677">
        <v>22</v>
      </c>
    </row>
    <row r="678" spans="1:4" x14ac:dyDescent="0.25">
      <c r="A678" s="1">
        <v>41951</v>
      </c>
      <c r="B678">
        <v>1</v>
      </c>
      <c r="C678">
        <v>1</v>
      </c>
      <c r="D678">
        <v>12</v>
      </c>
    </row>
    <row r="679" spans="1:4" x14ac:dyDescent="0.25">
      <c r="A679" s="1">
        <v>41952</v>
      </c>
      <c r="B679">
        <v>1</v>
      </c>
      <c r="C679">
        <v>1</v>
      </c>
      <c r="D679">
        <v>28</v>
      </c>
    </row>
    <row r="680" spans="1:4" x14ac:dyDescent="0.25">
      <c r="A680" s="1">
        <v>41953</v>
      </c>
      <c r="B680">
        <v>1</v>
      </c>
      <c r="C680">
        <v>1</v>
      </c>
      <c r="D680">
        <v>16</v>
      </c>
    </row>
    <row r="681" spans="1:4" x14ac:dyDescent="0.25">
      <c r="A681" s="1">
        <v>41954</v>
      </c>
      <c r="B681">
        <v>1</v>
      </c>
      <c r="C681">
        <v>1</v>
      </c>
      <c r="D681">
        <v>12</v>
      </c>
    </row>
    <row r="682" spans="1:4" x14ac:dyDescent="0.25">
      <c r="A682" s="1">
        <v>41955</v>
      </c>
      <c r="B682">
        <v>1</v>
      </c>
      <c r="C682">
        <v>1</v>
      </c>
      <c r="D682">
        <v>18</v>
      </c>
    </row>
    <row r="683" spans="1:4" x14ac:dyDescent="0.25">
      <c r="A683" s="1">
        <v>41956</v>
      </c>
      <c r="B683">
        <v>1</v>
      </c>
      <c r="C683">
        <v>1</v>
      </c>
      <c r="D683">
        <v>18</v>
      </c>
    </row>
    <row r="684" spans="1:4" x14ac:dyDescent="0.25">
      <c r="A684" s="1">
        <v>41957</v>
      </c>
      <c r="B684">
        <v>1</v>
      </c>
      <c r="C684">
        <v>1</v>
      </c>
      <c r="D684">
        <v>25</v>
      </c>
    </row>
    <row r="685" spans="1:4" x14ac:dyDescent="0.25">
      <c r="A685" s="1">
        <v>41958</v>
      </c>
      <c r="B685">
        <v>1</v>
      </c>
      <c r="C685">
        <v>1</v>
      </c>
      <c r="D685">
        <v>24</v>
      </c>
    </row>
    <row r="686" spans="1:4" x14ac:dyDescent="0.25">
      <c r="A686" s="1">
        <v>41959</v>
      </c>
      <c r="B686">
        <v>1</v>
      </c>
      <c r="C686">
        <v>1</v>
      </c>
      <c r="D686">
        <v>18</v>
      </c>
    </row>
    <row r="687" spans="1:4" x14ac:dyDescent="0.25">
      <c r="A687" s="1">
        <v>41960</v>
      </c>
      <c r="B687">
        <v>1</v>
      </c>
      <c r="C687">
        <v>1</v>
      </c>
      <c r="D687">
        <v>17</v>
      </c>
    </row>
    <row r="688" spans="1:4" x14ac:dyDescent="0.25">
      <c r="A688" s="1">
        <v>41961</v>
      </c>
      <c r="B688">
        <v>1</v>
      </c>
      <c r="C688">
        <v>1</v>
      </c>
      <c r="D688">
        <v>18</v>
      </c>
    </row>
    <row r="689" spans="1:4" x14ac:dyDescent="0.25">
      <c r="A689" s="1">
        <v>41962</v>
      </c>
      <c r="B689">
        <v>1</v>
      </c>
      <c r="C689">
        <v>1</v>
      </c>
      <c r="D689">
        <v>19</v>
      </c>
    </row>
    <row r="690" spans="1:4" x14ac:dyDescent="0.25">
      <c r="A690" s="1">
        <v>41963</v>
      </c>
      <c r="B690">
        <v>1</v>
      </c>
      <c r="C690">
        <v>1</v>
      </c>
      <c r="D690">
        <v>17</v>
      </c>
    </row>
    <row r="691" spans="1:4" x14ac:dyDescent="0.25">
      <c r="A691" s="1">
        <v>41964</v>
      </c>
      <c r="B691">
        <v>1</v>
      </c>
      <c r="C691">
        <v>1</v>
      </c>
      <c r="D691">
        <v>28</v>
      </c>
    </row>
    <row r="692" spans="1:4" x14ac:dyDescent="0.25">
      <c r="A692" s="1">
        <v>41965</v>
      </c>
      <c r="B692">
        <v>1</v>
      </c>
      <c r="C692">
        <v>1</v>
      </c>
      <c r="D692">
        <v>20</v>
      </c>
    </row>
    <row r="693" spans="1:4" x14ac:dyDescent="0.25">
      <c r="A693" s="1">
        <v>41966</v>
      </c>
      <c r="B693">
        <v>1</v>
      </c>
      <c r="C693">
        <v>1</v>
      </c>
      <c r="D693">
        <v>29</v>
      </c>
    </row>
    <row r="694" spans="1:4" x14ac:dyDescent="0.25">
      <c r="A694" s="1">
        <v>41967</v>
      </c>
      <c r="B694">
        <v>1</v>
      </c>
      <c r="C694">
        <v>1</v>
      </c>
      <c r="D694">
        <v>18</v>
      </c>
    </row>
    <row r="695" spans="1:4" x14ac:dyDescent="0.25">
      <c r="A695" s="1">
        <v>41968</v>
      </c>
      <c r="B695">
        <v>1</v>
      </c>
      <c r="C695">
        <v>1</v>
      </c>
      <c r="D695">
        <v>19</v>
      </c>
    </row>
    <row r="696" spans="1:4" x14ac:dyDescent="0.25">
      <c r="A696" s="1">
        <v>41969</v>
      </c>
      <c r="B696">
        <v>1</v>
      </c>
      <c r="C696">
        <v>1</v>
      </c>
      <c r="D696">
        <v>23</v>
      </c>
    </row>
    <row r="697" spans="1:4" x14ac:dyDescent="0.25">
      <c r="A697" s="1">
        <v>41970</v>
      </c>
      <c r="B697">
        <v>1</v>
      </c>
      <c r="C697">
        <v>1</v>
      </c>
      <c r="D697">
        <v>23</v>
      </c>
    </row>
    <row r="698" spans="1:4" x14ac:dyDescent="0.25">
      <c r="A698" s="1">
        <v>41971</v>
      </c>
      <c r="B698">
        <v>1</v>
      </c>
      <c r="C698">
        <v>1</v>
      </c>
      <c r="D698">
        <v>24</v>
      </c>
    </row>
    <row r="699" spans="1:4" x14ac:dyDescent="0.25">
      <c r="A699" s="1">
        <v>41972</v>
      </c>
      <c r="B699">
        <v>1</v>
      </c>
      <c r="C699">
        <v>1</v>
      </c>
      <c r="D699">
        <v>28</v>
      </c>
    </row>
    <row r="700" spans="1:4" x14ac:dyDescent="0.25">
      <c r="A700" s="1">
        <v>41973</v>
      </c>
      <c r="B700">
        <v>1</v>
      </c>
      <c r="C700">
        <v>1</v>
      </c>
      <c r="D700">
        <v>24</v>
      </c>
    </row>
    <row r="701" spans="1:4" x14ac:dyDescent="0.25">
      <c r="A701" s="1">
        <v>41974</v>
      </c>
      <c r="B701">
        <v>1</v>
      </c>
      <c r="C701">
        <v>1</v>
      </c>
      <c r="D701">
        <v>10</v>
      </c>
    </row>
    <row r="702" spans="1:4" x14ac:dyDescent="0.25">
      <c r="A702" s="1">
        <v>41975</v>
      </c>
      <c r="B702">
        <v>1</v>
      </c>
      <c r="C702">
        <v>1</v>
      </c>
      <c r="D702">
        <v>17</v>
      </c>
    </row>
    <row r="703" spans="1:4" x14ac:dyDescent="0.25">
      <c r="A703" s="1">
        <v>41976</v>
      </c>
      <c r="B703">
        <v>1</v>
      </c>
      <c r="C703">
        <v>1</v>
      </c>
      <c r="D703">
        <v>9</v>
      </c>
    </row>
    <row r="704" spans="1:4" x14ac:dyDescent="0.25">
      <c r="A704" s="1">
        <v>41977</v>
      </c>
      <c r="B704">
        <v>1</v>
      </c>
      <c r="C704">
        <v>1</v>
      </c>
      <c r="D704">
        <v>10</v>
      </c>
    </row>
    <row r="705" spans="1:4" x14ac:dyDescent="0.25">
      <c r="A705" s="1">
        <v>41978</v>
      </c>
      <c r="B705">
        <v>1</v>
      </c>
      <c r="C705">
        <v>1</v>
      </c>
      <c r="D705">
        <v>14</v>
      </c>
    </row>
    <row r="706" spans="1:4" x14ac:dyDescent="0.25">
      <c r="A706" s="1">
        <v>41979</v>
      </c>
      <c r="B706">
        <v>1</v>
      </c>
      <c r="C706">
        <v>1</v>
      </c>
      <c r="D706">
        <v>16</v>
      </c>
    </row>
    <row r="707" spans="1:4" x14ac:dyDescent="0.25">
      <c r="A707" s="1">
        <v>41980</v>
      </c>
      <c r="B707">
        <v>1</v>
      </c>
      <c r="C707">
        <v>1</v>
      </c>
      <c r="D707">
        <v>11</v>
      </c>
    </row>
    <row r="708" spans="1:4" x14ac:dyDescent="0.25">
      <c r="A708" s="1">
        <v>41981</v>
      </c>
      <c r="B708">
        <v>1</v>
      </c>
      <c r="C708">
        <v>1</v>
      </c>
      <c r="D708">
        <v>13</v>
      </c>
    </row>
    <row r="709" spans="1:4" x14ac:dyDescent="0.25">
      <c r="A709" s="1">
        <v>41982</v>
      </c>
      <c r="B709">
        <v>1</v>
      </c>
      <c r="C709">
        <v>1</v>
      </c>
      <c r="D709">
        <v>13</v>
      </c>
    </row>
    <row r="710" spans="1:4" x14ac:dyDescent="0.25">
      <c r="A710" s="1">
        <v>41983</v>
      </c>
      <c r="B710">
        <v>1</v>
      </c>
      <c r="C710">
        <v>1</v>
      </c>
      <c r="D710">
        <v>14</v>
      </c>
    </row>
    <row r="711" spans="1:4" x14ac:dyDescent="0.25">
      <c r="A711" s="1">
        <v>41984</v>
      </c>
      <c r="B711">
        <v>1</v>
      </c>
      <c r="C711">
        <v>1</v>
      </c>
      <c r="D711">
        <v>12</v>
      </c>
    </row>
    <row r="712" spans="1:4" x14ac:dyDescent="0.25">
      <c r="A712" s="1">
        <v>41985</v>
      </c>
      <c r="B712">
        <v>1</v>
      </c>
      <c r="C712">
        <v>1</v>
      </c>
      <c r="D712">
        <v>10</v>
      </c>
    </row>
    <row r="713" spans="1:4" x14ac:dyDescent="0.25">
      <c r="A713" s="1">
        <v>41986</v>
      </c>
      <c r="B713">
        <v>1</v>
      </c>
      <c r="C713">
        <v>1</v>
      </c>
      <c r="D713">
        <v>16</v>
      </c>
    </row>
    <row r="714" spans="1:4" x14ac:dyDescent="0.25">
      <c r="A714" s="1">
        <v>41987</v>
      </c>
      <c r="B714">
        <v>1</v>
      </c>
      <c r="C714">
        <v>1</v>
      </c>
      <c r="D714">
        <v>13</v>
      </c>
    </row>
    <row r="715" spans="1:4" x14ac:dyDescent="0.25">
      <c r="A715" s="1">
        <v>41988</v>
      </c>
      <c r="B715">
        <v>1</v>
      </c>
      <c r="C715">
        <v>1</v>
      </c>
      <c r="D715">
        <v>14</v>
      </c>
    </row>
    <row r="716" spans="1:4" x14ac:dyDescent="0.25">
      <c r="A716" s="1">
        <v>41989</v>
      </c>
      <c r="B716">
        <v>1</v>
      </c>
      <c r="C716">
        <v>1</v>
      </c>
      <c r="D716">
        <v>11</v>
      </c>
    </row>
    <row r="717" spans="1:4" x14ac:dyDescent="0.25">
      <c r="A717" s="1">
        <v>41990</v>
      </c>
      <c r="B717">
        <v>1</v>
      </c>
      <c r="C717">
        <v>1</v>
      </c>
      <c r="D717">
        <v>15</v>
      </c>
    </row>
    <row r="718" spans="1:4" x14ac:dyDescent="0.25">
      <c r="A718" s="1">
        <v>41991</v>
      </c>
      <c r="B718">
        <v>1</v>
      </c>
      <c r="C718">
        <v>1</v>
      </c>
      <c r="D718">
        <v>10</v>
      </c>
    </row>
    <row r="719" spans="1:4" x14ac:dyDescent="0.25">
      <c r="A719" s="1">
        <v>41992</v>
      </c>
      <c r="B719">
        <v>1</v>
      </c>
      <c r="C719">
        <v>1</v>
      </c>
      <c r="D719">
        <v>11</v>
      </c>
    </row>
    <row r="720" spans="1:4" x14ac:dyDescent="0.25">
      <c r="A720" s="1">
        <v>41993</v>
      </c>
      <c r="B720">
        <v>1</v>
      </c>
      <c r="C720">
        <v>1</v>
      </c>
      <c r="D720">
        <v>19</v>
      </c>
    </row>
    <row r="721" spans="1:4" x14ac:dyDescent="0.25">
      <c r="A721" s="1">
        <v>41994</v>
      </c>
      <c r="B721">
        <v>1</v>
      </c>
      <c r="C721">
        <v>1</v>
      </c>
      <c r="D721">
        <v>18</v>
      </c>
    </row>
    <row r="722" spans="1:4" x14ac:dyDescent="0.25">
      <c r="A722" s="1">
        <v>41995</v>
      </c>
      <c r="B722">
        <v>1</v>
      </c>
      <c r="C722">
        <v>1</v>
      </c>
      <c r="D722">
        <v>8</v>
      </c>
    </row>
    <row r="723" spans="1:4" x14ac:dyDescent="0.25">
      <c r="A723" s="1">
        <v>41996</v>
      </c>
      <c r="B723">
        <v>1</v>
      </c>
      <c r="C723">
        <v>1</v>
      </c>
      <c r="D723">
        <v>13</v>
      </c>
    </row>
    <row r="724" spans="1:4" x14ac:dyDescent="0.25">
      <c r="A724" s="1">
        <v>41997</v>
      </c>
      <c r="B724">
        <v>1</v>
      </c>
      <c r="C724">
        <v>1</v>
      </c>
      <c r="D724">
        <v>16</v>
      </c>
    </row>
    <row r="725" spans="1:4" x14ac:dyDescent="0.25">
      <c r="A725" s="1">
        <v>41998</v>
      </c>
      <c r="B725">
        <v>1</v>
      </c>
      <c r="C725">
        <v>1</v>
      </c>
      <c r="D725">
        <v>20</v>
      </c>
    </row>
    <row r="726" spans="1:4" x14ac:dyDescent="0.25">
      <c r="A726" s="1">
        <v>41999</v>
      </c>
      <c r="B726">
        <v>1</v>
      </c>
      <c r="C726">
        <v>1</v>
      </c>
      <c r="D726">
        <v>12</v>
      </c>
    </row>
    <row r="727" spans="1:4" x14ac:dyDescent="0.25">
      <c r="A727" s="1">
        <v>42000</v>
      </c>
      <c r="B727">
        <v>1</v>
      </c>
      <c r="C727">
        <v>1</v>
      </c>
      <c r="D727">
        <v>15</v>
      </c>
    </row>
    <row r="728" spans="1:4" x14ac:dyDescent="0.25">
      <c r="A728" s="1">
        <v>42001</v>
      </c>
      <c r="B728">
        <v>1</v>
      </c>
      <c r="C728">
        <v>1</v>
      </c>
      <c r="D728">
        <v>17</v>
      </c>
    </row>
    <row r="729" spans="1:4" x14ac:dyDescent="0.25">
      <c r="A729" s="1">
        <v>42002</v>
      </c>
      <c r="B729">
        <v>1</v>
      </c>
      <c r="C729">
        <v>1</v>
      </c>
      <c r="D729">
        <v>9</v>
      </c>
    </row>
    <row r="730" spans="1:4" x14ac:dyDescent="0.25">
      <c r="A730" s="1">
        <v>42003</v>
      </c>
      <c r="B730">
        <v>1</v>
      </c>
      <c r="C730">
        <v>1</v>
      </c>
      <c r="D730">
        <v>11</v>
      </c>
    </row>
    <row r="731" spans="1:4" x14ac:dyDescent="0.25">
      <c r="A731" s="1">
        <v>42004</v>
      </c>
      <c r="B731">
        <v>1</v>
      </c>
      <c r="C731">
        <v>1</v>
      </c>
      <c r="D731">
        <v>12</v>
      </c>
    </row>
    <row r="732" spans="1:4" x14ac:dyDescent="0.25">
      <c r="A732" s="1">
        <v>42005</v>
      </c>
      <c r="B732">
        <v>1</v>
      </c>
      <c r="C732">
        <v>1</v>
      </c>
      <c r="D732">
        <v>11</v>
      </c>
    </row>
    <row r="733" spans="1:4" x14ac:dyDescent="0.25">
      <c r="A733" s="1">
        <v>42006</v>
      </c>
      <c r="B733">
        <v>1</v>
      </c>
      <c r="C733">
        <v>1</v>
      </c>
      <c r="D733">
        <v>19</v>
      </c>
    </row>
    <row r="734" spans="1:4" x14ac:dyDescent="0.25">
      <c r="A734" s="1">
        <v>42007</v>
      </c>
      <c r="B734">
        <v>1</v>
      </c>
      <c r="C734">
        <v>1</v>
      </c>
      <c r="D734">
        <v>16</v>
      </c>
    </row>
    <row r="735" spans="1:4" x14ac:dyDescent="0.25">
      <c r="A735" s="1">
        <v>42008</v>
      </c>
      <c r="B735">
        <v>1</v>
      </c>
      <c r="C735">
        <v>1</v>
      </c>
      <c r="D735">
        <v>14</v>
      </c>
    </row>
    <row r="736" spans="1:4" x14ac:dyDescent="0.25">
      <c r="A736" s="1">
        <v>42009</v>
      </c>
      <c r="B736">
        <v>1</v>
      </c>
      <c r="C736">
        <v>1</v>
      </c>
      <c r="D736">
        <v>14</v>
      </c>
    </row>
    <row r="737" spans="1:4" x14ac:dyDescent="0.25">
      <c r="A737" s="1">
        <v>42010</v>
      </c>
      <c r="B737">
        <v>1</v>
      </c>
      <c r="C737">
        <v>1</v>
      </c>
      <c r="D737">
        <v>9</v>
      </c>
    </row>
    <row r="738" spans="1:4" x14ac:dyDescent="0.25">
      <c r="A738" s="1">
        <v>42011</v>
      </c>
      <c r="B738">
        <v>1</v>
      </c>
      <c r="C738">
        <v>1</v>
      </c>
      <c r="D738">
        <v>13</v>
      </c>
    </row>
    <row r="739" spans="1:4" x14ac:dyDescent="0.25">
      <c r="A739" s="1">
        <v>42012</v>
      </c>
      <c r="B739">
        <v>1</v>
      </c>
      <c r="C739">
        <v>1</v>
      </c>
      <c r="D739">
        <v>18</v>
      </c>
    </row>
    <row r="740" spans="1:4" x14ac:dyDescent="0.25">
      <c r="A740" s="1">
        <v>42013</v>
      </c>
      <c r="B740">
        <v>1</v>
      </c>
      <c r="C740">
        <v>1</v>
      </c>
      <c r="D740">
        <v>18</v>
      </c>
    </row>
    <row r="741" spans="1:4" x14ac:dyDescent="0.25">
      <c r="A741" s="1">
        <v>42014</v>
      </c>
      <c r="B741">
        <v>1</v>
      </c>
      <c r="C741">
        <v>1</v>
      </c>
      <c r="D741">
        <v>17</v>
      </c>
    </row>
    <row r="742" spans="1:4" x14ac:dyDescent="0.25">
      <c r="A742" s="1">
        <v>42015</v>
      </c>
      <c r="B742">
        <v>1</v>
      </c>
      <c r="C742">
        <v>1</v>
      </c>
      <c r="D742">
        <v>19</v>
      </c>
    </row>
    <row r="743" spans="1:4" x14ac:dyDescent="0.25">
      <c r="A743" s="1">
        <v>42016</v>
      </c>
      <c r="B743">
        <v>1</v>
      </c>
      <c r="C743">
        <v>1</v>
      </c>
      <c r="D743">
        <v>9</v>
      </c>
    </row>
    <row r="744" spans="1:4" x14ac:dyDescent="0.25">
      <c r="A744" s="1">
        <v>42017</v>
      </c>
      <c r="B744">
        <v>1</v>
      </c>
      <c r="C744">
        <v>1</v>
      </c>
      <c r="D744">
        <v>9</v>
      </c>
    </row>
    <row r="745" spans="1:4" x14ac:dyDescent="0.25">
      <c r="A745" s="1">
        <v>42018</v>
      </c>
      <c r="B745">
        <v>1</v>
      </c>
      <c r="C745">
        <v>1</v>
      </c>
      <c r="D745">
        <v>15</v>
      </c>
    </row>
    <row r="746" spans="1:4" x14ac:dyDescent="0.25">
      <c r="A746" s="1">
        <v>42019</v>
      </c>
      <c r="B746">
        <v>1</v>
      </c>
      <c r="C746">
        <v>1</v>
      </c>
      <c r="D746">
        <v>10</v>
      </c>
    </row>
    <row r="747" spans="1:4" x14ac:dyDescent="0.25">
      <c r="A747" s="1">
        <v>42020</v>
      </c>
      <c r="B747">
        <v>1</v>
      </c>
      <c r="C747">
        <v>1</v>
      </c>
      <c r="D747">
        <v>15</v>
      </c>
    </row>
    <row r="748" spans="1:4" x14ac:dyDescent="0.25">
      <c r="A748" s="1">
        <v>42021</v>
      </c>
      <c r="B748">
        <v>1</v>
      </c>
      <c r="C748">
        <v>1</v>
      </c>
      <c r="D748">
        <v>16</v>
      </c>
    </row>
    <row r="749" spans="1:4" x14ac:dyDescent="0.25">
      <c r="A749" s="1">
        <v>42022</v>
      </c>
      <c r="B749">
        <v>1</v>
      </c>
      <c r="C749">
        <v>1</v>
      </c>
      <c r="D749">
        <v>15</v>
      </c>
    </row>
    <row r="750" spans="1:4" x14ac:dyDescent="0.25">
      <c r="A750" s="1">
        <v>42023</v>
      </c>
      <c r="B750">
        <v>1</v>
      </c>
      <c r="C750">
        <v>1</v>
      </c>
      <c r="D750">
        <v>12</v>
      </c>
    </row>
    <row r="751" spans="1:4" x14ac:dyDescent="0.25">
      <c r="A751" s="1">
        <v>42024</v>
      </c>
      <c r="B751">
        <v>1</v>
      </c>
      <c r="C751">
        <v>1</v>
      </c>
      <c r="D751">
        <v>12</v>
      </c>
    </row>
    <row r="752" spans="1:4" x14ac:dyDescent="0.25">
      <c r="A752" s="1">
        <v>42025</v>
      </c>
      <c r="B752">
        <v>1</v>
      </c>
      <c r="C752">
        <v>1</v>
      </c>
      <c r="D752">
        <v>10</v>
      </c>
    </row>
    <row r="753" spans="1:4" x14ac:dyDescent="0.25">
      <c r="A753" s="1">
        <v>42026</v>
      </c>
      <c r="B753">
        <v>1</v>
      </c>
      <c r="C753">
        <v>1</v>
      </c>
      <c r="D753">
        <v>8</v>
      </c>
    </row>
    <row r="754" spans="1:4" x14ac:dyDescent="0.25">
      <c r="A754" s="1">
        <v>42027</v>
      </c>
      <c r="B754">
        <v>1</v>
      </c>
      <c r="C754">
        <v>1</v>
      </c>
      <c r="D754">
        <v>14</v>
      </c>
    </row>
    <row r="755" spans="1:4" x14ac:dyDescent="0.25">
      <c r="A755" s="1">
        <v>42028</v>
      </c>
      <c r="B755">
        <v>1</v>
      </c>
      <c r="C755">
        <v>1</v>
      </c>
      <c r="D755">
        <v>20</v>
      </c>
    </row>
    <row r="756" spans="1:4" x14ac:dyDescent="0.25">
      <c r="A756" s="1">
        <v>42029</v>
      </c>
      <c r="B756">
        <v>1</v>
      </c>
      <c r="C756">
        <v>1</v>
      </c>
      <c r="D756">
        <v>19</v>
      </c>
    </row>
    <row r="757" spans="1:4" x14ac:dyDescent="0.25">
      <c r="A757" s="1">
        <v>42030</v>
      </c>
      <c r="B757">
        <v>1</v>
      </c>
      <c r="C757">
        <v>1</v>
      </c>
      <c r="D757">
        <v>12</v>
      </c>
    </row>
    <row r="758" spans="1:4" x14ac:dyDescent="0.25">
      <c r="A758" s="1">
        <v>42031</v>
      </c>
      <c r="B758">
        <v>1</v>
      </c>
      <c r="C758">
        <v>1</v>
      </c>
      <c r="D758">
        <v>13</v>
      </c>
    </row>
    <row r="759" spans="1:4" x14ac:dyDescent="0.25">
      <c r="A759" s="1">
        <v>42032</v>
      </c>
      <c r="B759">
        <v>1</v>
      </c>
      <c r="C759">
        <v>1</v>
      </c>
      <c r="D759">
        <v>13</v>
      </c>
    </row>
    <row r="760" spans="1:4" x14ac:dyDescent="0.25">
      <c r="A760" s="1">
        <v>42033</v>
      </c>
      <c r="B760">
        <v>1</v>
      </c>
      <c r="C760">
        <v>1</v>
      </c>
      <c r="D760">
        <v>7</v>
      </c>
    </row>
    <row r="761" spans="1:4" x14ac:dyDescent="0.25">
      <c r="A761" s="1">
        <v>42034</v>
      </c>
      <c r="B761">
        <v>1</v>
      </c>
      <c r="C761">
        <v>1</v>
      </c>
      <c r="D761">
        <v>12</v>
      </c>
    </row>
    <row r="762" spans="1:4" x14ac:dyDescent="0.25">
      <c r="A762" s="1">
        <v>42035</v>
      </c>
      <c r="B762">
        <v>1</v>
      </c>
      <c r="C762">
        <v>1</v>
      </c>
      <c r="D762">
        <v>19</v>
      </c>
    </row>
    <row r="763" spans="1:4" x14ac:dyDescent="0.25">
      <c r="A763" s="1">
        <v>42036</v>
      </c>
      <c r="B763">
        <v>1</v>
      </c>
      <c r="C763">
        <v>1</v>
      </c>
      <c r="D763">
        <v>17</v>
      </c>
    </row>
    <row r="764" spans="1:4" x14ac:dyDescent="0.25">
      <c r="A764" s="1">
        <v>42037</v>
      </c>
      <c r="B764">
        <v>1</v>
      </c>
      <c r="C764">
        <v>1</v>
      </c>
      <c r="D764">
        <v>6</v>
      </c>
    </row>
    <row r="765" spans="1:4" x14ac:dyDescent="0.25">
      <c r="A765" s="1">
        <v>42038</v>
      </c>
      <c r="B765">
        <v>1</v>
      </c>
      <c r="C765">
        <v>1</v>
      </c>
      <c r="D765">
        <v>10</v>
      </c>
    </row>
    <row r="766" spans="1:4" x14ac:dyDescent="0.25">
      <c r="A766" s="1">
        <v>42039</v>
      </c>
      <c r="B766">
        <v>1</v>
      </c>
      <c r="C766">
        <v>1</v>
      </c>
      <c r="D766">
        <v>8</v>
      </c>
    </row>
    <row r="767" spans="1:4" x14ac:dyDescent="0.25">
      <c r="A767" s="1">
        <v>42040</v>
      </c>
      <c r="B767">
        <v>1</v>
      </c>
      <c r="C767">
        <v>1</v>
      </c>
      <c r="D767">
        <v>18</v>
      </c>
    </row>
    <row r="768" spans="1:4" x14ac:dyDescent="0.25">
      <c r="A768" s="1">
        <v>42041</v>
      </c>
      <c r="B768">
        <v>1</v>
      </c>
      <c r="C768">
        <v>1</v>
      </c>
      <c r="D768">
        <v>13</v>
      </c>
    </row>
    <row r="769" spans="1:4" x14ac:dyDescent="0.25">
      <c r="A769" s="1">
        <v>42042</v>
      </c>
      <c r="B769">
        <v>1</v>
      </c>
      <c r="C769">
        <v>1</v>
      </c>
      <c r="D769">
        <v>13</v>
      </c>
    </row>
    <row r="770" spans="1:4" x14ac:dyDescent="0.25">
      <c r="A770" s="1">
        <v>42043</v>
      </c>
      <c r="B770">
        <v>1</v>
      </c>
      <c r="C770">
        <v>1</v>
      </c>
      <c r="D770">
        <v>18</v>
      </c>
    </row>
    <row r="771" spans="1:4" x14ac:dyDescent="0.25">
      <c r="A771" s="1">
        <v>42044</v>
      </c>
      <c r="B771">
        <v>1</v>
      </c>
      <c r="C771">
        <v>1</v>
      </c>
      <c r="D771">
        <v>12</v>
      </c>
    </row>
    <row r="772" spans="1:4" x14ac:dyDescent="0.25">
      <c r="A772" s="1">
        <v>42045</v>
      </c>
      <c r="B772">
        <v>1</v>
      </c>
      <c r="C772">
        <v>1</v>
      </c>
      <c r="D772">
        <v>15</v>
      </c>
    </row>
    <row r="773" spans="1:4" x14ac:dyDescent="0.25">
      <c r="A773" s="1">
        <v>42046</v>
      </c>
      <c r="B773">
        <v>1</v>
      </c>
      <c r="C773">
        <v>1</v>
      </c>
      <c r="D773">
        <v>19</v>
      </c>
    </row>
    <row r="774" spans="1:4" x14ac:dyDescent="0.25">
      <c r="A774" s="1">
        <v>42047</v>
      </c>
      <c r="B774">
        <v>1</v>
      </c>
      <c r="C774">
        <v>1</v>
      </c>
      <c r="D774">
        <v>15</v>
      </c>
    </row>
    <row r="775" spans="1:4" x14ac:dyDescent="0.25">
      <c r="A775" s="1">
        <v>42048</v>
      </c>
      <c r="B775">
        <v>1</v>
      </c>
      <c r="C775">
        <v>1</v>
      </c>
      <c r="D775">
        <v>13</v>
      </c>
    </row>
    <row r="776" spans="1:4" x14ac:dyDescent="0.25">
      <c r="A776" s="1">
        <v>42049</v>
      </c>
      <c r="B776">
        <v>1</v>
      </c>
      <c r="C776">
        <v>1</v>
      </c>
      <c r="D776">
        <v>11</v>
      </c>
    </row>
    <row r="777" spans="1:4" x14ac:dyDescent="0.25">
      <c r="A777" s="1">
        <v>42050</v>
      </c>
      <c r="B777">
        <v>1</v>
      </c>
      <c r="C777">
        <v>1</v>
      </c>
      <c r="D777">
        <v>18</v>
      </c>
    </row>
    <row r="778" spans="1:4" x14ac:dyDescent="0.25">
      <c r="A778" s="1">
        <v>42051</v>
      </c>
      <c r="B778">
        <v>1</v>
      </c>
      <c r="C778">
        <v>1</v>
      </c>
      <c r="D778">
        <v>14</v>
      </c>
    </row>
    <row r="779" spans="1:4" x14ac:dyDescent="0.25">
      <c r="A779" s="1">
        <v>42052</v>
      </c>
      <c r="B779">
        <v>1</v>
      </c>
      <c r="C779">
        <v>1</v>
      </c>
      <c r="D779">
        <v>16</v>
      </c>
    </row>
    <row r="780" spans="1:4" x14ac:dyDescent="0.25">
      <c r="A780" s="1">
        <v>42053</v>
      </c>
      <c r="B780">
        <v>1</v>
      </c>
      <c r="C780">
        <v>1</v>
      </c>
      <c r="D780">
        <v>16</v>
      </c>
    </row>
    <row r="781" spans="1:4" x14ac:dyDescent="0.25">
      <c r="A781" s="1">
        <v>42054</v>
      </c>
      <c r="B781">
        <v>1</v>
      </c>
      <c r="C781">
        <v>1</v>
      </c>
      <c r="D781">
        <v>11</v>
      </c>
    </row>
    <row r="782" spans="1:4" x14ac:dyDescent="0.25">
      <c r="A782" s="1">
        <v>42055</v>
      </c>
      <c r="B782">
        <v>1</v>
      </c>
      <c r="C782">
        <v>1</v>
      </c>
      <c r="D782">
        <v>10</v>
      </c>
    </row>
    <row r="783" spans="1:4" x14ac:dyDescent="0.25">
      <c r="A783" s="1">
        <v>42056</v>
      </c>
      <c r="B783">
        <v>1</v>
      </c>
      <c r="C783">
        <v>1</v>
      </c>
      <c r="D783">
        <v>19</v>
      </c>
    </row>
    <row r="784" spans="1:4" x14ac:dyDescent="0.25">
      <c r="A784" s="1">
        <v>42057</v>
      </c>
      <c r="B784">
        <v>1</v>
      </c>
      <c r="C784">
        <v>1</v>
      </c>
      <c r="D784">
        <v>24</v>
      </c>
    </row>
    <row r="785" spans="1:4" x14ac:dyDescent="0.25">
      <c r="A785" s="1">
        <v>42058</v>
      </c>
      <c r="B785">
        <v>1</v>
      </c>
      <c r="C785">
        <v>1</v>
      </c>
      <c r="D785">
        <v>9</v>
      </c>
    </row>
    <row r="786" spans="1:4" x14ac:dyDescent="0.25">
      <c r="A786" s="1">
        <v>42059</v>
      </c>
      <c r="B786">
        <v>1</v>
      </c>
      <c r="C786">
        <v>1</v>
      </c>
      <c r="D786">
        <v>8</v>
      </c>
    </row>
    <row r="787" spans="1:4" x14ac:dyDescent="0.25">
      <c r="A787" s="1">
        <v>42060</v>
      </c>
      <c r="B787">
        <v>1</v>
      </c>
      <c r="C787">
        <v>1</v>
      </c>
      <c r="D787">
        <v>13</v>
      </c>
    </row>
    <row r="788" spans="1:4" x14ac:dyDescent="0.25">
      <c r="A788" s="1">
        <v>42061</v>
      </c>
      <c r="B788">
        <v>1</v>
      </c>
      <c r="C788">
        <v>1</v>
      </c>
      <c r="D788">
        <v>18</v>
      </c>
    </row>
    <row r="789" spans="1:4" x14ac:dyDescent="0.25">
      <c r="A789" s="1">
        <v>42062</v>
      </c>
      <c r="B789">
        <v>1</v>
      </c>
      <c r="C789">
        <v>1</v>
      </c>
      <c r="D789">
        <v>17</v>
      </c>
    </row>
    <row r="790" spans="1:4" x14ac:dyDescent="0.25">
      <c r="A790" s="1">
        <v>42063</v>
      </c>
      <c r="B790">
        <v>1</v>
      </c>
      <c r="C790">
        <v>1</v>
      </c>
      <c r="D790">
        <v>18</v>
      </c>
    </row>
    <row r="791" spans="1:4" x14ac:dyDescent="0.25">
      <c r="A791" s="1">
        <v>42064</v>
      </c>
      <c r="B791">
        <v>1</v>
      </c>
      <c r="C791">
        <v>1</v>
      </c>
      <c r="D791">
        <v>18</v>
      </c>
    </row>
    <row r="792" spans="1:4" x14ac:dyDescent="0.25">
      <c r="A792" s="1">
        <v>42065</v>
      </c>
      <c r="B792">
        <v>1</v>
      </c>
      <c r="C792">
        <v>1</v>
      </c>
      <c r="D792">
        <v>17</v>
      </c>
    </row>
    <row r="793" spans="1:4" x14ac:dyDescent="0.25">
      <c r="A793" s="1">
        <v>42066</v>
      </c>
      <c r="B793">
        <v>1</v>
      </c>
      <c r="C793">
        <v>1</v>
      </c>
      <c r="D793">
        <v>14</v>
      </c>
    </row>
    <row r="794" spans="1:4" x14ac:dyDescent="0.25">
      <c r="A794" s="1">
        <v>42067</v>
      </c>
      <c r="B794">
        <v>1</v>
      </c>
      <c r="C794">
        <v>1</v>
      </c>
      <c r="D794">
        <v>19</v>
      </c>
    </row>
    <row r="795" spans="1:4" x14ac:dyDescent="0.25">
      <c r="A795" s="1">
        <v>42068</v>
      </c>
      <c r="B795">
        <v>1</v>
      </c>
      <c r="C795">
        <v>1</v>
      </c>
      <c r="D795">
        <v>10</v>
      </c>
    </row>
    <row r="796" spans="1:4" x14ac:dyDescent="0.25">
      <c r="A796" s="1">
        <v>42069</v>
      </c>
      <c r="B796">
        <v>1</v>
      </c>
      <c r="C796">
        <v>1</v>
      </c>
      <c r="D796">
        <v>17</v>
      </c>
    </row>
    <row r="797" spans="1:4" x14ac:dyDescent="0.25">
      <c r="A797" s="1">
        <v>42070</v>
      </c>
      <c r="B797">
        <v>1</v>
      </c>
      <c r="C797">
        <v>1</v>
      </c>
      <c r="D797">
        <v>16</v>
      </c>
    </row>
    <row r="798" spans="1:4" x14ac:dyDescent="0.25">
      <c r="A798" s="1">
        <v>42071</v>
      </c>
      <c r="B798">
        <v>1</v>
      </c>
      <c r="C798">
        <v>1</v>
      </c>
      <c r="D798">
        <v>13</v>
      </c>
    </row>
    <row r="799" spans="1:4" x14ac:dyDescent="0.25">
      <c r="A799" s="1">
        <v>42072</v>
      </c>
      <c r="B799">
        <v>1</v>
      </c>
      <c r="C799">
        <v>1</v>
      </c>
      <c r="D799">
        <v>13</v>
      </c>
    </row>
    <row r="800" spans="1:4" x14ac:dyDescent="0.25">
      <c r="A800" s="1">
        <v>42073</v>
      </c>
      <c r="B800">
        <v>1</v>
      </c>
      <c r="C800">
        <v>1</v>
      </c>
      <c r="D800">
        <v>23</v>
      </c>
    </row>
    <row r="801" spans="1:4" x14ac:dyDescent="0.25">
      <c r="A801" s="1">
        <v>42074</v>
      </c>
      <c r="B801">
        <v>1</v>
      </c>
      <c r="C801">
        <v>1</v>
      </c>
      <c r="D801">
        <v>21</v>
      </c>
    </row>
    <row r="802" spans="1:4" x14ac:dyDescent="0.25">
      <c r="A802" s="1">
        <v>42075</v>
      </c>
      <c r="B802">
        <v>1</v>
      </c>
      <c r="C802">
        <v>1</v>
      </c>
      <c r="D802">
        <v>24</v>
      </c>
    </row>
    <row r="803" spans="1:4" x14ac:dyDescent="0.25">
      <c r="A803" s="1">
        <v>42076</v>
      </c>
      <c r="B803">
        <v>1</v>
      </c>
      <c r="C803">
        <v>1</v>
      </c>
      <c r="D803">
        <v>25</v>
      </c>
    </row>
    <row r="804" spans="1:4" x14ac:dyDescent="0.25">
      <c r="A804" s="1">
        <v>42077</v>
      </c>
      <c r="B804">
        <v>1</v>
      </c>
      <c r="C804">
        <v>1</v>
      </c>
      <c r="D804">
        <v>15</v>
      </c>
    </row>
    <row r="805" spans="1:4" x14ac:dyDescent="0.25">
      <c r="A805" s="1">
        <v>42078</v>
      </c>
      <c r="B805">
        <v>1</v>
      </c>
      <c r="C805">
        <v>1</v>
      </c>
      <c r="D805">
        <v>20</v>
      </c>
    </row>
    <row r="806" spans="1:4" x14ac:dyDescent="0.25">
      <c r="A806" s="1">
        <v>42079</v>
      </c>
      <c r="B806">
        <v>1</v>
      </c>
      <c r="C806">
        <v>1</v>
      </c>
      <c r="D806">
        <v>13</v>
      </c>
    </row>
    <row r="807" spans="1:4" x14ac:dyDescent="0.25">
      <c r="A807" s="1">
        <v>42080</v>
      </c>
      <c r="B807">
        <v>1</v>
      </c>
      <c r="C807">
        <v>1</v>
      </c>
      <c r="D807">
        <v>15</v>
      </c>
    </row>
    <row r="808" spans="1:4" x14ac:dyDescent="0.25">
      <c r="A808" s="1">
        <v>42081</v>
      </c>
      <c r="B808">
        <v>1</v>
      </c>
      <c r="C808">
        <v>1</v>
      </c>
      <c r="D808">
        <v>16</v>
      </c>
    </row>
    <row r="809" spans="1:4" x14ac:dyDescent="0.25">
      <c r="A809" s="1">
        <v>42082</v>
      </c>
      <c r="B809">
        <v>1</v>
      </c>
      <c r="C809">
        <v>1</v>
      </c>
      <c r="D809">
        <v>17</v>
      </c>
    </row>
    <row r="810" spans="1:4" x14ac:dyDescent="0.25">
      <c r="A810" s="1">
        <v>42083</v>
      </c>
      <c r="B810">
        <v>1</v>
      </c>
      <c r="C810">
        <v>1</v>
      </c>
      <c r="D810">
        <v>31</v>
      </c>
    </row>
    <row r="811" spans="1:4" x14ac:dyDescent="0.25">
      <c r="A811" s="1">
        <v>42084</v>
      </c>
      <c r="B811">
        <v>1</v>
      </c>
      <c r="C811">
        <v>1</v>
      </c>
      <c r="D811">
        <v>25</v>
      </c>
    </row>
    <row r="812" spans="1:4" x14ac:dyDescent="0.25">
      <c r="A812" s="1">
        <v>42085</v>
      </c>
      <c r="B812">
        <v>1</v>
      </c>
      <c r="C812">
        <v>1</v>
      </c>
      <c r="D812">
        <v>23</v>
      </c>
    </row>
    <row r="813" spans="1:4" x14ac:dyDescent="0.25">
      <c r="A813" s="1">
        <v>42086</v>
      </c>
      <c r="B813">
        <v>1</v>
      </c>
      <c r="C813">
        <v>1</v>
      </c>
      <c r="D813">
        <v>16</v>
      </c>
    </row>
    <row r="814" spans="1:4" x14ac:dyDescent="0.25">
      <c r="A814" s="1">
        <v>42087</v>
      </c>
      <c r="B814">
        <v>1</v>
      </c>
      <c r="C814">
        <v>1</v>
      </c>
      <c r="D814">
        <v>18</v>
      </c>
    </row>
    <row r="815" spans="1:4" x14ac:dyDescent="0.25">
      <c r="A815" s="1">
        <v>42088</v>
      </c>
      <c r="B815">
        <v>1</v>
      </c>
      <c r="C815">
        <v>1</v>
      </c>
      <c r="D815">
        <v>13</v>
      </c>
    </row>
    <row r="816" spans="1:4" x14ac:dyDescent="0.25">
      <c r="A816" s="1">
        <v>42089</v>
      </c>
      <c r="B816">
        <v>1</v>
      </c>
      <c r="C816">
        <v>1</v>
      </c>
      <c r="D816">
        <v>10</v>
      </c>
    </row>
    <row r="817" spans="1:4" x14ac:dyDescent="0.25">
      <c r="A817" s="1">
        <v>42090</v>
      </c>
      <c r="B817">
        <v>1</v>
      </c>
      <c r="C817">
        <v>1</v>
      </c>
      <c r="D817">
        <v>16</v>
      </c>
    </row>
    <row r="818" spans="1:4" x14ac:dyDescent="0.25">
      <c r="A818" s="1">
        <v>42091</v>
      </c>
      <c r="B818">
        <v>1</v>
      </c>
      <c r="C818">
        <v>1</v>
      </c>
      <c r="D818">
        <v>12</v>
      </c>
    </row>
    <row r="819" spans="1:4" x14ac:dyDescent="0.25">
      <c r="A819" s="1">
        <v>42092</v>
      </c>
      <c r="B819">
        <v>1</v>
      </c>
      <c r="C819">
        <v>1</v>
      </c>
      <c r="D819">
        <v>25</v>
      </c>
    </row>
    <row r="820" spans="1:4" x14ac:dyDescent="0.25">
      <c r="A820" s="1">
        <v>42093</v>
      </c>
      <c r="B820">
        <v>1</v>
      </c>
      <c r="C820">
        <v>1</v>
      </c>
      <c r="D820">
        <v>19</v>
      </c>
    </row>
    <row r="821" spans="1:4" x14ac:dyDescent="0.25">
      <c r="A821" s="1">
        <v>42094</v>
      </c>
      <c r="B821">
        <v>1</v>
      </c>
      <c r="C821">
        <v>1</v>
      </c>
      <c r="D821">
        <v>18</v>
      </c>
    </row>
    <row r="822" spans="1:4" x14ac:dyDescent="0.25">
      <c r="A822" s="1">
        <v>42095</v>
      </c>
      <c r="B822">
        <v>1</v>
      </c>
      <c r="C822">
        <v>1</v>
      </c>
      <c r="D822">
        <v>24</v>
      </c>
    </row>
    <row r="823" spans="1:4" x14ac:dyDescent="0.25">
      <c r="A823" s="1">
        <v>42096</v>
      </c>
      <c r="B823">
        <v>1</v>
      </c>
      <c r="C823">
        <v>1</v>
      </c>
      <c r="D823">
        <v>20</v>
      </c>
    </row>
    <row r="824" spans="1:4" x14ac:dyDescent="0.25">
      <c r="A824" s="1">
        <v>42097</v>
      </c>
      <c r="B824">
        <v>1</v>
      </c>
      <c r="C824">
        <v>1</v>
      </c>
      <c r="D824">
        <v>27</v>
      </c>
    </row>
    <row r="825" spans="1:4" x14ac:dyDescent="0.25">
      <c r="A825" s="1">
        <v>42098</v>
      </c>
      <c r="B825">
        <v>1</v>
      </c>
      <c r="C825">
        <v>1</v>
      </c>
      <c r="D825">
        <v>26</v>
      </c>
    </row>
    <row r="826" spans="1:4" x14ac:dyDescent="0.25">
      <c r="A826" s="1">
        <v>42099</v>
      </c>
      <c r="B826">
        <v>1</v>
      </c>
      <c r="C826">
        <v>1</v>
      </c>
      <c r="D826">
        <v>20</v>
      </c>
    </row>
    <row r="827" spans="1:4" x14ac:dyDescent="0.25">
      <c r="A827" s="1">
        <v>42100</v>
      </c>
      <c r="B827">
        <v>1</v>
      </c>
      <c r="C827">
        <v>1</v>
      </c>
      <c r="D827">
        <v>20</v>
      </c>
    </row>
    <row r="828" spans="1:4" x14ac:dyDescent="0.25">
      <c r="A828" s="1">
        <v>42101</v>
      </c>
      <c r="B828">
        <v>1</v>
      </c>
      <c r="C828">
        <v>1</v>
      </c>
      <c r="D828">
        <v>19</v>
      </c>
    </row>
    <row r="829" spans="1:4" x14ac:dyDescent="0.25">
      <c r="A829" s="1">
        <v>42102</v>
      </c>
      <c r="B829">
        <v>1</v>
      </c>
      <c r="C829">
        <v>1</v>
      </c>
      <c r="D829">
        <v>17</v>
      </c>
    </row>
    <row r="830" spans="1:4" x14ac:dyDescent="0.25">
      <c r="A830" s="1">
        <v>42103</v>
      </c>
      <c r="B830">
        <v>1</v>
      </c>
      <c r="C830">
        <v>1</v>
      </c>
      <c r="D830">
        <v>20</v>
      </c>
    </row>
    <row r="831" spans="1:4" x14ac:dyDescent="0.25">
      <c r="A831" s="1">
        <v>42104</v>
      </c>
      <c r="B831">
        <v>1</v>
      </c>
      <c r="C831">
        <v>1</v>
      </c>
      <c r="D831">
        <v>24</v>
      </c>
    </row>
    <row r="832" spans="1:4" x14ac:dyDescent="0.25">
      <c r="A832" s="1">
        <v>42105</v>
      </c>
      <c r="B832">
        <v>1</v>
      </c>
      <c r="C832">
        <v>1</v>
      </c>
      <c r="D832">
        <v>17</v>
      </c>
    </row>
    <row r="833" spans="1:4" x14ac:dyDescent="0.25">
      <c r="A833" s="1">
        <v>42106</v>
      </c>
      <c r="B833">
        <v>1</v>
      </c>
      <c r="C833">
        <v>1</v>
      </c>
      <c r="D833">
        <v>21</v>
      </c>
    </row>
    <row r="834" spans="1:4" x14ac:dyDescent="0.25">
      <c r="A834" s="1">
        <v>42107</v>
      </c>
      <c r="B834">
        <v>1</v>
      </c>
      <c r="C834">
        <v>1</v>
      </c>
      <c r="D834">
        <v>14</v>
      </c>
    </row>
    <row r="835" spans="1:4" x14ac:dyDescent="0.25">
      <c r="A835" s="1">
        <v>42108</v>
      </c>
      <c r="B835">
        <v>1</v>
      </c>
      <c r="C835">
        <v>1</v>
      </c>
      <c r="D835">
        <v>26</v>
      </c>
    </row>
    <row r="836" spans="1:4" x14ac:dyDescent="0.25">
      <c r="A836" s="1">
        <v>42109</v>
      </c>
      <c r="B836">
        <v>1</v>
      </c>
      <c r="C836">
        <v>1</v>
      </c>
      <c r="D836">
        <v>26</v>
      </c>
    </row>
    <row r="837" spans="1:4" x14ac:dyDescent="0.25">
      <c r="A837" s="1">
        <v>42110</v>
      </c>
      <c r="B837">
        <v>1</v>
      </c>
      <c r="C837">
        <v>1</v>
      </c>
      <c r="D837">
        <v>20</v>
      </c>
    </row>
    <row r="838" spans="1:4" x14ac:dyDescent="0.25">
      <c r="A838" s="1">
        <v>42111</v>
      </c>
      <c r="B838">
        <v>1</v>
      </c>
      <c r="C838">
        <v>1</v>
      </c>
      <c r="D838">
        <v>22</v>
      </c>
    </row>
    <row r="839" spans="1:4" x14ac:dyDescent="0.25">
      <c r="A839" s="1">
        <v>42112</v>
      </c>
      <c r="B839">
        <v>1</v>
      </c>
      <c r="C839">
        <v>1</v>
      </c>
      <c r="D839">
        <v>23</v>
      </c>
    </row>
    <row r="840" spans="1:4" x14ac:dyDescent="0.25">
      <c r="A840" s="1">
        <v>42113</v>
      </c>
      <c r="B840">
        <v>1</v>
      </c>
      <c r="C840">
        <v>1</v>
      </c>
      <c r="D840">
        <v>24</v>
      </c>
    </row>
    <row r="841" spans="1:4" x14ac:dyDescent="0.25">
      <c r="A841" s="1">
        <v>42114</v>
      </c>
      <c r="B841">
        <v>1</v>
      </c>
      <c r="C841">
        <v>1</v>
      </c>
      <c r="D841">
        <v>17</v>
      </c>
    </row>
    <row r="842" spans="1:4" x14ac:dyDescent="0.25">
      <c r="A842" s="1">
        <v>42115</v>
      </c>
      <c r="B842">
        <v>1</v>
      </c>
      <c r="C842">
        <v>1</v>
      </c>
      <c r="D842">
        <v>25</v>
      </c>
    </row>
    <row r="843" spans="1:4" x14ac:dyDescent="0.25">
      <c r="A843" s="1">
        <v>42116</v>
      </c>
      <c r="B843">
        <v>1</v>
      </c>
      <c r="C843">
        <v>1</v>
      </c>
      <c r="D843">
        <v>19</v>
      </c>
    </row>
    <row r="844" spans="1:4" x14ac:dyDescent="0.25">
      <c r="A844" s="1">
        <v>42117</v>
      </c>
      <c r="B844">
        <v>1</v>
      </c>
      <c r="C844">
        <v>1</v>
      </c>
      <c r="D844">
        <v>17</v>
      </c>
    </row>
    <row r="845" spans="1:4" x14ac:dyDescent="0.25">
      <c r="A845" s="1">
        <v>42118</v>
      </c>
      <c r="B845">
        <v>1</v>
      </c>
      <c r="C845">
        <v>1</v>
      </c>
      <c r="D845">
        <v>11</v>
      </c>
    </row>
    <row r="846" spans="1:4" x14ac:dyDescent="0.25">
      <c r="A846" s="1">
        <v>42119</v>
      </c>
      <c r="B846">
        <v>1</v>
      </c>
      <c r="C846">
        <v>1</v>
      </c>
      <c r="D846">
        <v>29</v>
      </c>
    </row>
    <row r="847" spans="1:4" x14ac:dyDescent="0.25">
      <c r="A847" s="1">
        <v>42120</v>
      </c>
      <c r="B847">
        <v>1</v>
      </c>
      <c r="C847">
        <v>1</v>
      </c>
      <c r="D847">
        <v>30</v>
      </c>
    </row>
    <row r="848" spans="1:4" x14ac:dyDescent="0.25">
      <c r="A848" s="1">
        <v>42121</v>
      </c>
      <c r="B848">
        <v>1</v>
      </c>
      <c r="C848">
        <v>1</v>
      </c>
      <c r="D848">
        <v>22</v>
      </c>
    </row>
    <row r="849" spans="1:4" x14ac:dyDescent="0.25">
      <c r="A849" s="1">
        <v>42122</v>
      </c>
      <c r="B849">
        <v>1</v>
      </c>
      <c r="C849">
        <v>1</v>
      </c>
      <c r="D849">
        <v>27</v>
      </c>
    </row>
    <row r="850" spans="1:4" x14ac:dyDescent="0.25">
      <c r="A850" s="1">
        <v>42123</v>
      </c>
      <c r="B850">
        <v>1</v>
      </c>
      <c r="C850">
        <v>1</v>
      </c>
      <c r="D850">
        <v>18</v>
      </c>
    </row>
    <row r="851" spans="1:4" x14ac:dyDescent="0.25">
      <c r="A851" s="1">
        <v>42124</v>
      </c>
      <c r="B851">
        <v>1</v>
      </c>
      <c r="C851">
        <v>1</v>
      </c>
      <c r="D851">
        <v>27</v>
      </c>
    </row>
    <row r="852" spans="1:4" x14ac:dyDescent="0.25">
      <c r="A852" s="1">
        <v>42125</v>
      </c>
      <c r="B852">
        <v>1</v>
      </c>
      <c r="C852">
        <v>1</v>
      </c>
      <c r="D852">
        <v>20</v>
      </c>
    </row>
    <row r="853" spans="1:4" x14ac:dyDescent="0.25">
      <c r="A853" s="1">
        <v>42126</v>
      </c>
      <c r="B853">
        <v>1</v>
      </c>
      <c r="C853">
        <v>1</v>
      </c>
      <c r="D853">
        <v>22</v>
      </c>
    </row>
    <row r="854" spans="1:4" x14ac:dyDescent="0.25">
      <c r="A854" s="1">
        <v>42127</v>
      </c>
      <c r="B854">
        <v>1</v>
      </c>
      <c r="C854">
        <v>1</v>
      </c>
      <c r="D854">
        <v>33</v>
      </c>
    </row>
    <row r="855" spans="1:4" x14ac:dyDescent="0.25">
      <c r="A855" s="1">
        <v>42128</v>
      </c>
      <c r="B855">
        <v>1</v>
      </c>
      <c r="C855">
        <v>1</v>
      </c>
      <c r="D855">
        <v>14</v>
      </c>
    </row>
    <row r="856" spans="1:4" x14ac:dyDescent="0.25">
      <c r="A856" s="1">
        <v>42129</v>
      </c>
      <c r="B856">
        <v>1</v>
      </c>
      <c r="C856">
        <v>1</v>
      </c>
      <c r="D856">
        <v>25</v>
      </c>
    </row>
    <row r="857" spans="1:4" x14ac:dyDescent="0.25">
      <c r="A857" s="1">
        <v>42130</v>
      </c>
      <c r="B857">
        <v>1</v>
      </c>
      <c r="C857">
        <v>1</v>
      </c>
      <c r="D857">
        <v>13</v>
      </c>
    </row>
    <row r="858" spans="1:4" x14ac:dyDescent="0.25">
      <c r="A858" s="1">
        <v>42131</v>
      </c>
      <c r="B858">
        <v>1</v>
      </c>
      <c r="C858">
        <v>1</v>
      </c>
      <c r="D858">
        <v>23</v>
      </c>
    </row>
    <row r="859" spans="1:4" x14ac:dyDescent="0.25">
      <c r="A859" s="1">
        <v>42132</v>
      </c>
      <c r="B859">
        <v>1</v>
      </c>
      <c r="C859">
        <v>1</v>
      </c>
      <c r="D859">
        <v>22</v>
      </c>
    </row>
    <row r="860" spans="1:4" x14ac:dyDescent="0.25">
      <c r="A860" s="1">
        <v>42133</v>
      </c>
      <c r="B860">
        <v>1</v>
      </c>
      <c r="C860">
        <v>1</v>
      </c>
      <c r="D860">
        <v>29</v>
      </c>
    </row>
    <row r="861" spans="1:4" x14ac:dyDescent="0.25">
      <c r="A861" s="1">
        <v>42134</v>
      </c>
      <c r="B861">
        <v>1</v>
      </c>
      <c r="C861">
        <v>1</v>
      </c>
      <c r="D861">
        <v>29</v>
      </c>
    </row>
    <row r="862" spans="1:4" x14ac:dyDescent="0.25">
      <c r="A862" s="1">
        <v>42135</v>
      </c>
      <c r="B862">
        <v>1</v>
      </c>
      <c r="C862">
        <v>1</v>
      </c>
      <c r="D862">
        <v>24</v>
      </c>
    </row>
    <row r="863" spans="1:4" x14ac:dyDescent="0.25">
      <c r="A863" s="1">
        <v>42136</v>
      </c>
      <c r="B863">
        <v>1</v>
      </c>
      <c r="C863">
        <v>1</v>
      </c>
      <c r="D863">
        <v>21</v>
      </c>
    </row>
    <row r="864" spans="1:4" x14ac:dyDescent="0.25">
      <c r="A864" s="1">
        <v>42137</v>
      </c>
      <c r="B864">
        <v>1</v>
      </c>
      <c r="C864">
        <v>1</v>
      </c>
      <c r="D864">
        <v>14</v>
      </c>
    </row>
    <row r="865" spans="1:4" x14ac:dyDescent="0.25">
      <c r="A865" s="1">
        <v>42138</v>
      </c>
      <c r="B865">
        <v>1</v>
      </c>
      <c r="C865">
        <v>1</v>
      </c>
      <c r="D865">
        <v>17</v>
      </c>
    </row>
    <row r="866" spans="1:4" x14ac:dyDescent="0.25">
      <c r="A866" s="1">
        <v>42139</v>
      </c>
      <c r="B866">
        <v>1</v>
      </c>
      <c r="C866">
        <v>1</v>
      </c>
      <c r="D866">
        <v>27</v>
      </c>
    </row>
    <row r="867" spans="1:4" x14ac:dyDescent="0.25">
      <c r="A867" s="1">
        <v>42140</v>
      </c>
      <c r="B867">
        <v>1</v>
      </c>
      <c r="C867">
        <v>1</v>
      </c>
      <c r="D867">
        <v>31</v>
      </c>
    </row>
    <row r="868" spans="1:4" x14ac:dyDescent="0.25">
      <c r="A868" s="1">
        <v>42141</v>
      </c>
      <c r="B868">
        <v>1</v>
      </c>
      <c r="C868">
        <v>1</v>
      </c>
      <c r="D868">
        <v>27</v>
      </c>
    </row>
    <row r="869" spans="1:4" x14ac:dyDescent="0.25">
      <c r="A869" s="1">
        <v>42142</v>
      </c>
      <c r="B869">
        <v>1</v>
      </c>
      <c r="C869">
        <v>1</v>
      </c>
      <c r="D869">
        <v>11</v>
      </c>
    </row>
    <row r="870" spans="1:4" x14ac:dyDescent="0.25">
      <c r="A870" s="1">
        <v>42143</v>
      </c>
      <c r="B870">
        <v>1</v>
      </c>
      <c r="C870">
        <v>1</v>
      </c>
      <c r="D870">
        <v>28</v>
      </c>
    </row>
    <row r="871" spans="1:4" x14ac:dyDescent="0.25">
      <c r="A871" s="1">
        <v>42144</v>
      </c>
      <c r="B871">
        <v>1</v>
      </c>
      <c r="C871">
        <v>1</v>
      </c>
      <c r="D871">
        <v>17</v>
      </c>
    </row>
    <row r="872" spans="1:4" x14ac:dyDescent="0.25">
      <c r="A872" s="1">
        <v>42145</v>
      </c>
      <c r="B872">
        <v>1</v>
      </c>
      <c r="C872">
        <v>1</v>
      </c>
      <c r="D872">
        <v>27</v>
      </c>
    </row>
    <row r="873" spans="1:4" x14ac:dyDescent="0.25">
      <c r="A873" s="1">
        <v>42146</v>
      </c>
      <c r="B873">
        <v>1</v>
      </c>
      <c r="C873">
        <v>1</v>
      </c>
      <c r="D873">
        <v>22</v>
      </c>
    </row>
    <row r="874" spans="1:4" x14ac:dyDescent="0.25">
      <c r="A874" s="1">
        <v>42147</v>
      </c>
      <c r="B874">
        <v>1</v>
      </c>
      <c r="C874">
        <v>1</v>
      </c>
      <c r="D874">
        <v>24</v>
      </c>
    </row>
    <row r="875" spans="1:4" x14ac:dyDescent="0.25">
      <c r="A875" s="1">
        <v>42148</v>
      </c>
      <c r="B875">
        <v>1</v>
      </c>
      <c r="C875">
        <v>1</v>
      </c>
      <c r="D875">
        <v>27</v>
      </c>
    </row>
    <row r="876" spans="1:4" x14ac:dyDescent="0.25">
      <c r="A876" s="1">
        <v>42149</v>
      </c>
      <c r="B876">
        <v>1</v>
      </c>
      <c r="C876">
        <v>1</v>
      </c>
      <c r="D876">
        <v>19</v>
      </c>
    </row>
    <row r="877" spans="1:4" x14ac:dyDescent="0.25">
      <c r="A877" s="1">
        <v>42150</v>
      </c>
      <c r="B877">
        <v>1</v>
      </c>
      <c r="C877">
        <v>1</v>
      </c>
      <c r="D877">
        <v>19</v>
      </c>
    </row>
    <row r="878" spans="1:4" x14ac:dyDescent="0.25">
      <c r="A878" s="1">
        <v>42151</v>
      </c>
      <c r="B878">
        <v>1</v>
      </c>
      <c r="C878">
        <v>1</v>
      </c>
      <c r="D878">
        <v>22</v>
      </c>
    </row>
    <row r="879" spans="1:4" x14ac:dyDescent="0.25">
      <c r="A879" s="1">
        <v>42152</v>
      </c>
      <c r="B879">
        <v>1</v>
      </c>
      <c r="C879">
        <v>1</v>
      </c>
      <c r="D879">
        <v>23</v>
      </c>
    </row>
    <row r="880" spans="1:4" x14ac:dyDescent="0.25">
      <c r="A880" s="1">
        <v>42153</v>
      </c>
      <c r="B880">
        <v>1</v>
      </c>
      <c r="C880">
        <v>1</v>
      </c>
      <c r="D880">
        <v>18</v>
      </c>
    </row>
    <row r="881" spans="1:4" x14ac:dyDescent="0.25">
      <c r="A881" s="1">
        <v>42154</v>
      </c>
      <c r="B881">
        <v>1</v>
      </c>
      <c r="C881">
        <v>1</v>
      </c>
      <c r="D881">
        <v>36</v>
      </c>
    </row>
    <row r="882" spans="1:4" x14ac:dyDescent="0.25">
      <c r="A882" s="1">
        <v>42155</v>
      </c>
      <c r="B882">
        <v>1</v>
      </c>
      <c r="C882">
        <v>1</v>
      </c>
      <c r="D882">
        <v>27</v>
      </c>
    </row>
    <row r="883" spans="1:4" x14ac:dyDescent="0.25">
      <c r="A883" s="1">
        <v>42156</v>
      </c>
      <c r="B883">
        <v>1</v>
      </c>
      <c r="C883">
        <v>1</v>
      </c>
      <c r="D883">
        <v>23</v>
      </c>
    </row>
    <row r="884" spans="1:4" x14ac:dyDescent="0.25">
      <c r="A884" s="1">
        <v>42157</v>
      </c>
      <c r="B884">
        <v>1</v>
      </c>
      <c r="C884">
        <v>1</v>
      </c>
      <c r="D884">
        <v>15</v>
      </c>
    </row>
    <row r="885" spans="1:4" x14ac:dyDescent="0.25">
      <c r="A885" s="1">
        <v>42158</v>
      </c>
      <c r="B885">
        <v>1</v>
      </c>
      <c r="C885">
        <v>1</v>
      </c>
      <c r="D885">
        <v>23</v>
      </c>
    </row>
    <row r="886" spans="1:4" x14ac:dyDescent="0.25">
      <c r="A886" s="1">
        <v>42159</v>
      </c>
      <c r="B886">
        <v>1</v>
      </c>
      <c r="C886">
        <v>1</v>
      </c>
      <c r="D886">
        <v>25</v>
      </c>
    </row>
    <row r="887" spans="1:4" x14ac:dyDescent="0.25">
      <c r="A887" s="1">
        <v>42160</v>
      </c>
      <c r="B887">
        <v>1</v>
      </c>
      <c r="C887">
        <v>1</v>
      </c>
      <c r="D887">
        <v>18</v>
      </c>
    </row>
    <row r="888" spans="1:4" x14ac:dyDescent="0.25">
      <c r="A888" s="1">
        <v>42161</v>
      </c>
      <c r="B888">
        <v>1</v>
      </c>
      <c r="C888">
        <v>1</v>
      </c>
      <c r="D888">
        <v>43</v>
      </c>
    </row>
    <row r="889" spans="1:4" x14ac:dyDescent="0.25">
      <c r="A889" s="1">
        <v>42162</v>
      </c>
      <c r="B889">
        <v>1</v>
      </c>
      <c r="C889">
        <v>1</v>
      </c>
      <c r="D889">
        <v>22</v>
      </c>
    </row>
    <row r="890" spans="1:4" x14ac:dyDescent="0.25">
      <c r="A890" s="1">
        <v>42163</v>
      </c>
      <c r="B890">
        <v>1</v>
      </c>
      <c r="C890">
        <v>1</v>
      </c>
      <c r="D890">
        <v>18</v>
      </c>
    </row>
    <row r="891" spans="1:4" x14ac:dyDescent="0.25">
      <c r="A891" s="1">
        <v>42164</v>
      </c>
      <c r="B891">
        <v>1</v>
      </c>
      <c r="C891">
        <v>1</v>
      </c>
      <c r="D891">
        <v>19</v>
      </c>
    </row>
    <row r="892" spans="1:4" x14ac:dyDescent="0.25">
      <c r="A892" s="1">
        <v>42165</v>
      </c>
      <c r="B892">
        <v>1</v>
      </c>
      <c r="C892">
        <v>1</v>
      </c>
      <c r="D892">
        <v>22</v>
      </c>
    </row>
    <row r="893" spans="1:4" x14ac:dyDescent="0.25">
      <c r="A893" s="1">
        <v>42166</v>
      </c>
      <c r="B893">
        <v>1</v>
      </c>
      <c r="C893">
        <v>1</v>
      </c>
      <c r="D893">
        <v>29</v>
      </c>
    </row>
    <row r="894" spans="1:4" x14ac:dyDescent="0.25">
      <c r="A894" s="1">
        <v>42167</v>
      </c>
      <c r="B894">
        <v>1</v>
      </c>
      <c r="C894">
        <v>1</v>
      </c>
      <c r="D894">
        <v>23</v>
      </c>
    </row>
    <row r="895" spans="1:4" x14ac:dyDescent="0.25">
      <c r="A895" s="1">
        <v>42168</v>
      </c>
      <c r="B895">
        <v>1</v>
      </c>
      <c r="C895">
        <v>1</v>
      </c>
      <c r="D895">
        <v>28</v>
      </c>
    </row>
    <row r="896" spans="1:4" x14ac:dyDescent="0.25">
      <c r="A896" s="1">
        <v>42169</v>
      </c>
      <c r="B896">
        <v>1</v>
      </c>
      <c r="C896">
        <v>1</v>
      </c>
      <c r="D896">
        <v>30</v>
      </c>
    </row>
    <row r="897" spans="1:4" x14ac:dyDescent="0.25">
      <c r="A897" s="1">
        <v>42170</v>
      </c>
      <c r="B897">
        <v>1</v>
      </c>
      <c r="C897">
        <v>1</v>
      </c>
      <c r="D897">
        <v>19</v>
      </c>
    </row>
    <row r="898" spans="1:4" x14ac:dyDescent="0.25">
      <c r="A898" s="1">
        <v>42171</v>
      </c>
      <c r="B898">
        <v>1</v>
      </c>
      <c r="C898">
        <v>1</v>
      </c>
      <c r="D898">
        <v>17</v>
      </c>
    </row>
    <row r="899" spans="1:4" x14ac:dyDescent="0.25">
      <c r="A899" s="1">
        <v>42172</v>
      </c>
      <c r="B899">
        <v>1</v>
      </c>
      <c r="C899">
        <v>1</v>
      </c>
      <c r="D899">
        <v>28</v>
      </c>
    </row>
    <row r="900" spans="1:4" x14ac:dyDescent="0.25">
      <c r="A900" s="1">
        <v>42173</v>
      </c>
      <c r="B900">
        <v>1</v>
      </c>
      <c r="C900">
        <v>1</v>
      </c>
      <c r="D900">
        <v>29</v>
      </c>
    </row>
    <row r="901" spans="1:4" x14ac:dyDescent="0.25">
      <c r="A901" s="1">
        <v>42174</v>
      </c>
      <c r="B901">
        <v>1</v>
      </c>
      <c r="C901">
        <v>1</v>
      </c>
      <c r="D901">
        <v>20</v>
      </c>
    </row>
    <row r="902" spans="1:4" x14ac:dyDescent="0.25">
      <c r="A902" s="1">
        <v>42175</v>
      </c>
      <c r="B902">
        <v>1</v>
      </c>
      <c r="C902">
        <v>1</v>
      </c>
      <c r="D902">
        <v>30</v>
      </c>
    </row>
    <row r="903" spans="1:4" x14ac:dyDescent="0.25">
      <c r="A903" s="1">
        <v>42176</v>
      </c>
      <c r="B903">
        <v>1</v>
      </c>
      <c r="C903">
        <v>1</v>
      </c>
      <c r="D903">
        <v>34</v>
      </c>
    </row>
    <row r="904" spans="1:4" x14ac:dyDescent="0.25">
      <c r="A904" s="1">
        <v>42177</v>
      </c>
      <c r="B904">
        <v>1</v>
      </c>
      <c r="C904">
        <v>1</v>
      </c>
      <c r="D904">
        <v>14</v>
      </c>
    </row>
    <row r="905" spans="1:4" x14ac:dyDescent="0.25">
      <c r="A905" s="1">
        <v>42178</v>
      </c>
      <c r="B905">
        <v>1</v>
      </c>
      <c r="C905">
        <v>1</v>
      </c>
      <c r="D905">
        <v>27</v>
      </c>
    </row>
    <row r="906" spans="1:4" x14ac:dyDescent="0.25">
      <c r="A906" s="1">
        <v>42179</v>
      </c>
      <c r="B906">
        <v>1</v>
      </c>
      <c r="C906">
        <v>1</v>
      </c>
      <c r="D906">
        <v>26</v>
      </c>
    </row>
    <row r="907" spans="1:4" x14ac:dyDescent="0.25">
      <c r="A907" s="1">
        <v>42180</v>
      </c>
      <c r="B907">
        <v>1</v>
      </c>
      <c r="C907">
        <v>1</v>
      </c>
      <c r="D907">
        <v>21</v>
      </c>
    </row>
    <row r="908" spans="1:4" x14ac:dyDescent="0.25">
      <c r="A908" s="1">
        <v>42181</v>
      </c>
      <c r="B908">
        <v>1</v>
      </c>
      <c r="C908">
        <v>1</v>
      </c>
      <c r="D908">
        <v>30</v>
      </c>
    </row>
    <row r="909" spans="1:4" x14ac:dyDescent="0.25">
      <c r="A909" s="1">
        <v>42182</v>
      </c>
      <c r="B909">
        <v>1</v>
      </c>
      <c r="C909">
        <v>1</v>
      </c>
      <c r="D909">
        <v>31</v>
      </c>
    </row>
    <row r="910" spans="1:4" x14ac:dyDescent="0.25">
      <c r="A910" s="1">
        <v>42183</v>
      </c>
      <c r="B910">
        <v>1</v>
      </c>
      <c r="C910">
        <v>1</v>
      </c>
      <c r="D910">
        <v>35</v>
      </c>
    </row>
    <row r="911" spans="1:4" x14ac:dyDescent="0.25">
      <c r="A911" s="1">
        <v>42184</v>
      </c>
      <c r="B911">
        <v>1</v>
      </c>
      <c r="C911">
        <v>1</v>
      </c>
      <c r="D911">
        <v>26</v>
      </c>
    </row>
    <row r="912" spans="1:4" x14ac:dyDescent="0.25">
      <c r="A912" s="1">
        <v>42185</v>
      </c>
      <c r="B912">
        <v>1</v>
      </c>
      <c r="C912">
        <v>1</v>
      </c>
      <c r="D912">
        <v>23</v>
      </c>
    </row>
    <row r="913" spans="1:4" x14ac:dyDescent="0.25">
      <c r="A913" s="1">
        <v>42186</v>
      </c>
      <c r="B913">
        <v>1</v>
      </c>
      <c r="C913">
        <v>1</v>
      </c>
      <c r="D913">
        <v>21</v>
      </c>
    </row>
    <row r="914" spans="1:4" x14ac:dyDescent="0.25">
      <c r="A914" s="1">
        <v>42187</v>
      </c>
      <c r="B914">
        <v>1</v>
      </c>
      <c r="C914">
        <v>1</v>
      </c>
      <c r="D914">
        <v>26</v>
      </c>
    </row>
    <row r="915" spans="1:4" x14ac:dyDescent="0.25">
      <c r="A915" s="1">
        <v>42188</v>
      </c>
      <c r="B915">
        <v>1</v>
      </c>
      <c r="C915">
        <v>1</v>
      </c>
      <c r="D915">
        <v>30</v>
      </c>
    </row>
    <row r="916" spans="1:4" x14ac:dyDescent="0.25">
      <c r="A916" s="1">
        <v>42189</v>
      </c>
      <c r="B916">
        <v>1</v>
      </c>
      <c r="C916">
        <v>1</v>
      </c>
      <c r="D916">
        <v>40</v>
      </c>
    </row>
    <row r="917" spans="1:4" x14ac:dyDescent="0.25">
      <c r="A917" s="1">
        <v>42190</v>
      </c>
      <c r="B917">
        <v>1</v>
      </c>
      <c r="C917">
        <v>1</v>
      </c>
      <c r="D917">
        <v>30</v>
      </c>
    </row>
    <row r="918" spans="1:4" x14ac:dyDescent="0.25">
      <c r="A918" s="1">
        <v>42191</v>
      </c>
      <c r="B918">
        <v>1</v>
      </c>
      <c r="C918">
        <v>1</v>
      </c>
      <c r="D918">
        <v>20</v>
      </c>
    </row>
    <row r="919" spans="1:4" x14ac:dyDescent="0.25">
      <c r="A919" s="1">
        <v>42192</v>
      </c>
      <c r="B919">
        <v>1</v>
      </c>
      <c r="C919">
        <v>1</v>
      </c>
      <c r="D919">
        <v>24</v>
      </c>
    </row>
    <row r="920" spans="1:4" x14ac:dyDescent="0.25">
      <c r="A920" s="1">
        <v>42193</v>
      </c>
      <c r="B920">
        <v>1</v>
      </c>
      <c r="C920">
        <v>1</v>
      </c>
      <c r="D920">
        <v>21</v>
      </c>
    </row>
    <row r="921" spans="1:4" x14ac:dyDescent="0.25">
      <c r="A921" s="1">
        <v>42194</v>
      </c>
      <c r="B921">
        <v>1</v>
      </c>
      <c r="C921">
        <v>1</v>
      </c>
      <c r="D921">
        <v>33</v>
      </c>
    </row>
    <row r="922" spans="1:4" x14ac:dyDescent="0.25">
      <c r="A922" s="1">
        <v>42195</v>
      </c>
      <c r="B922">
        <v>1</v>
      </c>
      <c r="C922">
        <v>1</v>
      </c>
      <c r="D922">
        <v>26</v>
      </c>
    </row>
    <row r="923" spans="1:4" x14ac:dyDescent="0.25">
      <c r="A923" s="1">
        <v>42196</v>
      </c>
      <c r="B923">
        <v>1</v>
      </c>
      <c r="C923">
        <v>1</v>
      </c>
      <c r="D923">
        <v>30</v>
      </c>
    </row>
    <row r="924" spans="1:4" x14ac:dyDescent="0.25">
      <c r="A924" s="1">
        <v>42197</v>
      </c>
      <c r="B924">
        <v>1</v>
      </c>
      <c r="C924">
        <v>1</v>
      </c>
      <c r="D924">
        <v>19</v>
      </c>
    </row>
    <row r="925" spans="1:4" x14ac:dyDescent="0.25">
      <c r="A925" s="1">
        <v>42198</v>
      </c>
      <c r="B925">
        <v>1</v>
      </c>
      <c r="C925">
        <v>1</v>
      </c>
      <c r="D925">
        <v>22</v>
      </c>
    </row>
    <row r="926" spans="1:4" x14ac:dyDescent="0.25">
      <c r="A926" s="1">
        <v>42199</v>
      </c>
      <c r="B926">
        <v>1</v>
      </c>
      <c r="C926">
        <v>1</v>
      </c>
      <c r="D926">
        <v>19</v>
      </c>
    </row>
    <row r="927" spans="1:4" x14ac:dyDescent="0.25">
      <c r="A927" s="1">
        <v>42200</v>
      </c>
      <c r="B927">
        <v>1</v>
      </c>
      <c r="C927">
        <v>1</v>
      </c>
      <c r="D927">
        <v>20</v>
      </c>
    </row>
    <row r="928" spans="1:4" x14ac:dyDescent="0.25">
      <c r="A928" s="1">
        <v>42201</v>
      </c>
      <c r="B928">
        <v>1</v>
      </c>
      <c r="C928">
        <v>1</v>
      </c>
      <c r="D928">
        <v>41</v>
      </c>
    </row>
    <row r="929" spans="1:4" x14ac:dyDescent="0.25">
      <c r="A929" s="1">
        <v>42202</v>
      </c>
      <c r="B929">
        <v>1</v>
      </c>
      <c r="C929">
        <v>1</v>
      </c>
      <c r="D929">
        <v>31</v>
      </c>
    </row>
    <row r="930" spans="1:4" x14ac:dyDescent="0.25">
      <c r="A930" s="1">
        <v>42203</v>
      </c>
      <c r="B930">
        <v>1</v>
      </c>
      <c r="C930">
        <v>1</v>
      </c>
      <c r="D930">
        <v>38</v>
      </c>
    </row>
    <row r="931" spans="1:4" x14ac:dyDescent="0.25">
      <c r="A931" s="1">
        <v>42204</v>
      </c>
      <c r="B931">
        <v>1</v>
      </c>
      <c r="C931">
        <v>1</v>
      </c>
      <c r="D931">
        <v>38</v>
      </c>
    </row>
    <row r="932" spans="1:4" x14ac:dyDescent="0.25">
      <c r="A932" s="1">
        <v>42205</v>
      </c>
      <c r="B932">
        <v>1</v>
      </c>
      <c r="C932">
        <v>1</v>
      </c>
      <c r="D932">
        <v>22</v>
      </c>
    </row>
    <row r="933" spans="1:4" x14ac:dyDescent="0.25">
      <c r="A933" s="1">
        <v>42206</v>
      </c>
      <c r="B933">
        <v>1</v>
      </c>
      <c r="C933">
        <v>1</v>
      </c>
      <c r="D933">
        <v>29</v>
      </c>
    </row>
    <row r="934" spans="1:4" x14ac:dyDescent="0.25">
      <c r="A934" s="1">
        <v>42207</v>
      </c>
      <c r="B934">
        <v>1</v>
      </c>
      <c r="C934">
        <v>1</v>
      </c>
      <c r="D934">
        <v>27</v>
      </c>
    </row>
    <row r="935" spans="1:4" x14ac:dyDescent="0.25">
      <c r="A935" s="1">
        <v>42208</v>
      </c>
      <c r="B935">
        <v>1</v>
      </c>
      <c r="C935">
        <v>1</v>
      </c>
      <c r="D935">
        <v>17</v>
      </c>
    </row>
    <row r="936" spans="1:4" x14ac:dyDescent="0.25">
      <c r="A936" s="1">
        <v>42209</v>
      </c>
      <c r="B936">
        <v>1</v>
      </c>
      <c r="C936">
        <v>1</v>
      </c>
      <c r="D936">
        <v>29</v>
      </c>
    </row>
    <row r="937" spans="1:4" x14ac:dyDescent="0.25">
      <c r="A937" s="1">
        <v>42210</v>
      </c>
      <c r="B937">
        <v>1</v>
      </c>
      <c r="C937">
        <v>1</v>
      </c>
      <c r="D937">
        <v>34</v>
      </c>
    </row>
    <row r="938" spans="1:4" x14ac:dyDescent="0.25">
      <c r="A938" s="1">
        <v>42211</v>
      </c>
      <c r="B938">
        <v>1</v>
      </c>
      <c r="C938">
        <v>1</v>
      </c>
      <c r="D938">
        <v>38</v>
      </c>
    </row>
    <row r="939" spans="1:4" x14ac:dyDescent="0.25">
      <c r="A939" s="1">
        <v>42212</v>
      </c>
      <c r="B939">
        <v>1</v>
      </c>
      <c r="C939">
        <v>1</v>
      </c>
      <c r="D939">
        <v>13</v>
      </c>
    </row>
    <row r="940" spans="1:4" x14ac:dyDescent="0.25">
      <c r="A940" s="1">
        <v>42213</v>
      </c>
      <c r="B940">
        <v>1</v>
      </c>
      <c r="C940">
        <v>1</v>
      </c>
      <c r="D940">
        <v>27</v>
      </c>
    </row>
    <row r="941" spans="1:4" x14ac:dyDescent="0.25">
      <c r="A941" s="1">
        <v>42214</v>
      </c>
      <c r="B941">
        <v>1</v>
      </c>
      <c r="C941">
        <v>1</v>
      </c>
      <c r="D941">
        <v>26</v>
      </c>
    </row>
    <row r="942" spans="1:4" x14ac:dyDescent="0.25">
      <c r="A942" s="1">
        <v>42215</v>
      </c>
      <c r="B942">
        <v>1</v>
      </c>
      <c r="C942">
        <v>1</v>
      </c>
      <c r="D942">
        <v>22</v>
      </c>
    </row>
    <row r="943" spans="1:4" x14ac:dyDescent="0.25">
      <c r="A943" s="1">
        <v>42216</v>
      </c>
      <c r="B943">
        <v>1</v>
      </c>
      <c r="C943">
        <v>1</v>
      </c>
      <c r="D943">
        <v>29</v>
      </c>
    </row>
    <row r="944" spans="1:4" x14ac:dyDescent="0.25">
      <c r="A944" s="1">
        <v>42217</v>
      </c>
      <c r="B944">
        <v>1</v>
      </c>
      <c r="C944">
        <v>1</v>
      </c>
      <c r="D944">
        <v>28</v>
      </c>
    </row>
    <row r="945" spans="1:4" x14ac:dyDescent="0.25">
      <c r="A945" s="1">
        <v>42218</v>
      </c>
      <c r="B945">
        <v>1</v>
      </c>
      <c r="C945">
        <v>1</v>
      </c>
      <c r="D945">
        <v>19</v>
      </c>
    </row>
    <row r="946" spans="1:4" x14ac:dyDescent="0.25">
      <c r="A946" s="1">
        <v>42219</v>
      </c>
      <c r="B946">
        <v>1</v>
      </c>
      <c r="C946">
        <v>1</v>
      </c>
      <c r="D946">
        <v>20</v>
      </c>
    </row>
    <row r="947" spans="1:4" x14ac:dyDescent="0.25">
      <c r="A947" s="1">
        <v>42220</v>
      </c>
      <c r="B947">
        <v>1</v>
      </c>
      <c r="C947">
        <v>1</v>
      </c>
      <c r="D947">
        <v>26</v>
      </c>
    </row>
    <row r="948" spans="1:4" x14ac:dyDescent="0.25">
      <c r="A948" s="1">
        <v>42221</v>
      </c>
      <c r="B948">
        <v>1</v>
      </c>
      <c r="C948">
        <v>1</v>
      </c>
      <c r="D948">
        <v>20</v>
      </c>
    </row>
    <row r="949" spans="1:4" x14ac:dyDescent="0.25">
      <c r="A949" s="1">
        <v>42222</v>
      </c>
      <c r="B949">
        <v>1</v>
      </c>
      <c r="C949">
        <v>1</v>
      </c>
      <c r="D949">
        <v>25</v>
      </c>
    </row>
    <row r="950" spans="1:4" x14ac:dyDescent="0.25">
      <c r="A950" s="1">
        <v>42223</v>
      </c>
      <c r="B950">
        <v>1</v>
      </c>
      <c r="C950">
        <v>1</v>
      </c>
      <c r="D950">
        <v>22</v>
      </c>
    </row>
    <row r="951" spans="1:4" x14ac:dyDescent="0.25">
      <c r="A951" s="1">
        <v>42224</v>
      </c>
      <c r="B951">
        <v>1</v>
      </c>
      <c r="C951">
        <v>1</v>
      </c>
      <c r="D951">
        <v>19</v>
      </c>
    </row>
    <row r="952" spans="1:4" x14ac:dyDescent="0.25">
      <c r="A952" s="1">
        <v>42225</v>
      </c>
      <c r="B952">
        <v>1</v>
      </c>
      <c r="C952">
        <v>1</v>
      </c>
      <c r="D952">
        <v>33</v>
      </c>
    </row>
    <row r="953" spans="1:4" x14ac:dyDescent="0.25">
      <c r="A953" s="1">
        <v>42226</v>
      </c>
      <c r="B953">
        <v>1</v>
      </c>
      <c r="C953">
        <v>1</v>
      </c>
      <c r="D953">
        <v>14</v>
      </c>
    </row>
    <row r="954" spans="1:4" x14ac:dyDescent="0.25">
      <c r="A954" s="1">
        <v>42227</v>
      </c>
      <c r="B954">
        <v>1</v>
      </c>
      <c r="C954">
        <v>1</v>
      </c>
      <c r="D954">
        <v>16</v>
      </c>
    </row>
    <row r="955" spans="1:4" x14ac:dyDescent="0.25">
      <c r="A955" s="1">
        <v>42228</v>
      </c>
      <c r="B955">
        <v>1</v>
      </c>
      <c r="C955">
        <v>1</v>
      </c>
      <c r="D955">
        <v>24</v>
      </c>
    </row>
    <row r="956" spans="1:4" x14ac:dyDescent="0.25">
      <c r="A956" s="1">
        <v>42229</v>
      </c>
      <c r="B956">
        <v>1</v>
      </c>
      <c r="C956">
        <v>1</v>
      </c>
      <c r="D956">
        <v>25</v>
      </c>
    </row>
    <row r="957" spans="1:4" x14ac:dyDescent="0.25">
      <c r="A957" s="1">
        <v>42230</v>
      </c>
      <c r="B957">
        <v>1</v>
      </c>
      <c r="C957">
        <v>1</v>
      </c>
      <c r="D957">
        <v>23</v>
      </c>
    </row>
    <row r="958" spans="1:4" x14ac:dyDescent="0.25">
      <c r="A958" s="1">
        <v>42231</v>
      </c>
      <c r="B958">
        <v>1</v>
      </c>
      <c r="C958">
        <v>1</v>
      </c>
      <c r="D958">
        <v>26</v>
      </c>
    </row>
    <row r="959" spans="1:4" x14ac:dyDescent="0.25">
      <c r="A959" s="1">
        <v>42232</v>
      </c>
      <c r="B959">
        <v>1</v>
      </c>
      <c r="C959">
        <v>1</v>
      </c>
      <c r="D959">
        <v>27</v>
      </c>
    </row>
    <row r="960" spans="1:4" x14ac:dyDescent="0.25">
      <c r="A960" s="1">
        <v>42233</v>
      </c>
      <c r="B960">
        <v>1</v>
      </c>
      <c r="C960">
        <v>1</v>
      </c>
      <c r="D960">
        <v>14</v>
      </c>
    </row>
    <row r="961" spans="1:4" x14ac:dyDescent="0.25">
      <c r="A961" s="1">
        <v>42234</v>
      </c>
      <c r="B961">
        <v>1</v>
      </c>
      <c r="C961">
        <v>1</v>
      </c>
      <c r="D961">
        <v>18</v>
      </c>
    </row>
    <row r="962" spans="1:4" x14ac:dyDescent="0.25">
      <c r="A962" s="1">
        <v>42235</v>
      </c>
      <c r="B962">
        <v>1</v>
      </c>
      <c r="C962">
        <v>1</v>
      </c>
      <c r="D962">
        <v>24</v>
      </c>
    </row>
    <row r="963" spans="1:4" x14ac:dyDescent="0.25">
      <c r="A963" s="1">
        <v>42236</v>
      </c>
      <c r="B963">
        <v>1</v>
      </c>
      <c r="C963">
        <v>1</v>
      </c>
      <c r="D963">
        <v>17</v>
      </c>
    </row>
    <row r="964" spans="1:4" x14ac:dyDescent="0.25">
      <c r="A964" s="1">
        <v>42237</v>
      </c>
      <c r="B964">
        <v>1</v>
      </c>
      <c r="C964">
        <v>1</v>
      </c>
      <c r="D964">
        <v>29</v>
      </c>
    </row>
    <row r="965" spans="1:4" x14ac:dyDescent="0.25">
      <c r="A965" s="1">
        <v>42238</v>
      </c>
      <c r="B965">
        <v>1</v>
      </c>
      <c r="C965">
        <v>1</v>
      </c>
      <c r="D965">
        <v>22</v>
      </c>
    </row>
    <row r="966" spans="1:4" x14ac:dyDescent="0.25">
      <c r="A966" s="1">
        <v>42239</v>
      </c>
      <c r="B966">
        <v>1</v>
      </c>
      <c r="C966">
        <v>1</v>
      </c>
      <c r="D966">
        <v>19</v>
      </c>
    </row>
    <row r="967" spans="1:4" x14ac:dyDescent="0.25">
      <c r="A967" s="1">
        <v>42240</v>
      </c>
      <c r="B967">
        <v>1</v>
      </c>
      <c r="C967">
        <v>1</v>
      </c>
      <c r="D967">
        <v>19</v>
      </c>
    </row>
    <row r="968" spans="1:4" x14ac:dyDescent="0.25">
      <c r="A968" s="1">
        <v>42241</v>
      </c>
      <c r="B968">
        <v>1</v>
      </c>
      <c r="C968">
        <v>1</v>
      </c>
      <c r="D968">
        <v>22</v>
      </c>
    </row>
    <row r="969" spans="1:4" x14ac:dyDescent="0.25">
      <c r="A969" s="1">
        <v>42242</v>
      </c>
      <c r="B969">
        <v>1</v>
      </c>
      <c r="C969">
        <v>1</v>
      </c>
      <c r="D969">
        <v>26</v>
      </c>
    </row>
    <row r="970" spans="1:4" x14ac:dyDescent="0.25">
      <c r="A970" s="1">
        <v>42243</v>
      </c>
      <c r="B970">
        <v>1</v>
      </c>
      <c r="C970">
        <v>1</v>
      </c>
      <c r="D970">
        <v>23</v>
      </c>
    </row>
    <row r="971" spans="1:4" x14ac:dyDescent="0.25">
      <c r="A971" s="1">
        <v>42244</v>
      </c>
      <c r="B971">
        <v>1</v>
      </c>
      <c r="C971">
        <v>1</v>
      </c>
      <c r="D971">
        <v>25</v>
      </c>
    </row>
    <row r="972" spans="1:4" x14ac:dyDescent="0.25">
      <c r="A972" s="1">
        <v>42245</v>
      </c>
      <c r="B972">
        <v>1</v>
      </c>
      <c r="C972">
        <v>1</v>
      </c>
      <c r="D972">
        <v>36</v>
      </c>
    </row>
    <row r="973" spans="1:4" x14ac:dyDescent="0.25">
      <c r="A973" s="1">
        <v>42246</v>
      </c>
      <c r="B973">
        <v>1</v>
      </c>
      <c r="C973">
        <v>1</v>
      </c>
      <c r="D973">
        <v>25</v>
      </c>
    </row>
    <row r="974" spans="1:4" x14ac:dyDescent="0.25">
      <c r="A974" s="1">
        <v>42247</v>
      </c>
      <c r="B974">
        <v>1</v>
      </c>
      <c r="C974">
        <v>1</v>
      </c>
      <c r="D974">
        <v>20</v>
      </c>
    </row>
    <row r="975" spans="1:4" x14ac:dyDescent="0.25">
      <c r="A975" s="1">
        <v>42248</v>
      </c>
      <c r="B975">
        <v>1</v>
      </c>
      <c r="C975">
        <v>1</v>
      </c>
      <c r="D975">
        <v>27</v>
      </c>
    </row>
    <row r="976" spans="1:4" x14ac:dyDescent="0.25">
      <c r="A976" s="1">
        <v>42249</v>
      </c>
      <c r="B976">
        <v>1</v>
      </c>
      <c r="C976">
        <v>1</v>
      </c>
      <c r="D976">
        <v>22</v>
      </c>
    </row>
    <row r="977" spans="1:4" x14ac:dyDescent="0.25">
      <c r="A977" s="1">
        <v>42250</v>
      </c>
      <c r="B977">
        <v>1</v>
      </c>
      <c r="C977">
        <v>1</v>
      </c>
      <c r="D977">
        <v>16</v>
      </c>
    </row>
    <row r="978" spans="1:4" x14ac:dyDescent="0.25">
      <c r="A978" s="1">
        <v>42251</v>
      </c>
      <c r="B978">
        <v>1</v>
      </c>
      <c r="C978">
        <v>1</v>
      </c>
      <c r="D978">
        <v>16</v>
      </c>
    </row>
    <row r="979" spans="1:4" x14ac:dyDescent="0.25">
      <c r="A979" s="1">
        <v>42252</v>
      </c>
      <c r="B979">
        <v>1</v>
      </c>
      <c r="C979">
        <v>1</v>
      </c>
      <c r="D979">
        <v>34</v>
      </c>
    </row>
    <row r="980" spans="1:4" x14ac:dyDescent="0.25">
      <c r="A980" s="1">
        <v>42253</v>
      </c>
      <c r="B980">
        <v>1</v>
      </c>
      <c r="C980">
        <v>1</v>
      </c>
      <c r="D980">
        <v>25</v>
      </c>
    </row>
    <row r="981" spans="1:4" x14ac:dyDescent="0.25">
      <c r="A981" s="1">
        <v>42254</v>
      </c>
      <c r="B981">
        <v>1</v>
      </c>
      <c r="C981">
        <v>1</v>
      </c>
      <c r="D981">
        <v>17</v>
      </c>
    </row>
    <row r="982" spans="1:4" x14ac:dyDescent="0.25">
      <c r="A982" s="1">
        <v>42255</v>
      </c>
      <c r="B982">
        <v>1</v>
      </c>
      <c r="C982">
        <v>1</v>
      </c>
      <c r="D982">
        <v>25</v>
      </c>
    </row>
    <row r="983" spans="1:4" x14ac:dyDescent="0.25">
      <c r="A983" s="1">
        <v>42256</v>
      </c>
      <c r="B983">
        <v>1</v>
      </c>
      <c r="C983">
        <v>1</v>
      </c>
      <c r="D983">
        <v>13</v>
      </c>
    </row>
    <row r="984" spans="1:4" x14ac:dyDescent="0.25">
      <c r="A984" s="1">
        <v>42257</v>
      </c>
      <c r="B984">
        <v>1</v>
      </c>
      <c r="C984">
        <v>1</v>
      </c>
      <c r="D984">
        <v>25</v>
      </c>
    </row>
    <row r="985" spans="1:4" x14ac:dyDescent="0.25">
      <c r="A985" s="1">
        <v>42258</v>
      </c>
      <c r="B985">
        <v>1</v>
      </c>
      <c r="C985">
        <v>1</v>
      </c>
      <c r="D985">
        <v>28</v>
      </c>
    </row>
    <row r="986" spans="1:4" x14ac:dyDescent="0.25">
      <c r="A986" s="1">
        <v>42259</v>
      </c>
      <c r="B986">
        <v>1</v>
      </c>
      <c r="C986">
        <v>1</v>
      </c>
      <c r="D986">
        <v>24</v>
      </c>
    </row>
    <row r="987" spans="1:4" x14ac:dyDescent="0.25">
      <c r="A987" s="1">
        <v>42260</v>
      </c>
      <c r="B987">
        <v>1</v>
      </c>
      <c r="C987">
        <v>1</v>
      </c>
      <c r="D987">
        <v>28</v>
      </c>
    </row>
    <row r="988" spans="1:4" x14ac:dyDescent="0.25">
      <c r="A988" s="1">
        <v>42261</v>
      </c>
      <c r="B988">
        <v>1</v>
      </c>
      <c r="C988">
        <v>1</v>
      </c>
      <c r="D988">
        <v>22</v>
      </c>
    </row>
    <row r="989" spans="1:4" x14ac:dyDescent="0.25">
      <c r="A989" s="1">
        <v>42262</v>
      </c>
      <c r="B989">
        <v>1</v>
      </c>
      <c r="C989">
        <v>1</v>
      </c>
      <c r="D989">
        <v>21</v>
      </c>
    </row>
    <row r="990" spans="1:4" x14ac:dyDescent="0.25">
      <c r="A990" s="1">
        <v>42263</v>
      </c>
      <c r="B990">
        <v>1</v>
      </c>
      <c r="C990">
        <v>1</v>
      </c>
      <c r="D990">
        <v>23</v>
      </c>
    </row>
    <row r="991" spans="1:4" x14ac:dyDescent="0.25">
      <c r="A991" s="1">
        <v>42264</v>
      </c>
      <c r="B991">
        <v>1</v>
      </c>
      <c r="C991">
        <v>1</v>
      </c>
      <c r="D991">
        <v>19</v>
      </c>
    </row>
    <row r="992" spans="1:4" x14ac:dyDescent="0.25">
      <c r="A992" s="1">
        <v>42265</v>
      </c>
      <c r="B992">
        <v>1</v>
      </c>
      <c r="C992">
        <v>1</v>
      </c>
      <c r="D992">
        <v>16</v>
      </c>
    </row>
    <row r="993" spans="1:4" x14ac:dyDescent="0.25">
      <c r="A993" s="1">
        <v>42266</v>
      </c>
      <c r="B993">
        <v>1</v>
      </c>
      <c r="C993">
        <v>1</v>
      </c>
      <c r="D993">
        <v>40</v>
      </c>
    </row>
    <row r="994" spans="1:4" x14ac:dyDescent="0.25">
      <c r="A994" s="1">
        <v>42267</v>
      </c>
      <c r="B994">
        <v>1</v>
      </c>
      <c r="C994">
        <v>1</v>
      </c>
      <c r="D994">
        <v>28</v>
      </c>
    </row>
    <row r="995" spans="1:4" x14ac:dyDescent="0.25">
      <c r="A995" s="1">
        <v>42268</v>
      </c>
      <c r="B995">
        <v>1</v>
      </c>
      <c r="C995">
        <v>1</v>
      </c>
      <c r="D995">
        <v>18</v>
      </c>
    </row>
    <row r="996" spans="1:4" x14ac:dyDescent="0.25">
      <c r="A996" s="1">
        <v>42269</v>
      </c>
      <c r="B996">
        <v>1</v>
      </c>
      <c r="C996">
        <v>1</v>
      </c>
      <c r="D996">
        <v>20</v>
      </c>
    </row>
    <row r="997" spans="1:4" x14ac:dyDescent="0.25">
      <c r="A997" s="1">
        <v>42270</v>
      </c>
      <c r="B997">
        <v>1</v>
      </c>
      <c r="C997">
        <v>1</v>
      </c>
      <c r="D997">
        <v>22</v>
      </c>
    </row>
    <row r="998" spans="1:4" x14ac:dyDescent="0.25">
      <c r="A998" s="1">
        <v>42271</v>
      </c>
      <c r="B998">
        <v>1</v>
      </c>
      <c r="C998">
        <v>1</v>
      </c>
      <c r="D998">
        <v>28</v>
      </c>
    </row>
    <row r="999" spans="1:4" x14ac:dyDescent="0.25">
      <c r="A999" s="1">
        <v>42272</v>
      </c>
      <c r="B999">
        <v>1</v>
      </c>
      <c r="C999">
        <v>1</v>
      </c>
      <c r="D999">
        <v>20</v>
      </c>
    </row>
    <row r="1000" spans="1:4" x14ac:dyDescent="0.25">
      <c r="A1000" s="1">
        <v>42273</v>
      </c>
      <c r="B1000">
        <v>1</v>
      </c>
      <c r="C1000">
        <v>1</v>
      </c>
      <c r="D1000">
        <v>20</v>
      </c>
    </row>
    <row r="1001" spans="1:4" x14ac:dyDescent="0.25">
      <c r="A1001" s="1">
        <v>42274</v>
      </c>
      <c r="B1001">
        <v>1</v>
      </c>
      <c r="C1001">
        <v>1</v>
      </c>
      <c r="D1001">
        <v>32</v>
      </c>
    </row>
    <row r="1002" spans="1:4" x14ac:dyDescent="0.25">
      <c r="A1002" s="1">
        <v>42275</v>
      </c>
      <c r="B1002">
        <v>1</v>
      </c>
      <c r="C1002">
        <v>1</v>
      </c>
      <c r="D1002">
        <v>15</v>
      </c>
    </row>
    <row r="1003" spans="1:4" x14ac:dyDescent="0.25">
      <c r="A1003" s="1">
        <v>42276</v>
      </c>
      <c r="B1003">
        <v>1</v>
      </c>
      <c r="C1003">
        <v>1</v>
      </c>
      <c r="D1003">
        <v>19</v>
      </c>
    </row>
    <row r="1004" spans="1:4" x14ac:dyDescent="0.25">
      <c r="A1004" s="1">
        <v>42277</v>
      </c>
      <c r="B1004">
        <v>1</v>
      </c>
      <c r="C1004">
        <v>1</v>
      </c>
      <c r="D1004">
        <v>15</v>
      </c>
    </row>
    <row r="1005" spans="1:4" x14ac:dyDescent="0.25">
      <c r="A1005" s="1">
        <v>42278</v>
      </c>
      <c r="B1005">
        <v>1</v>
      </c>
      <c r="C1005">
        <v>1</v>
      </c>
      <c r="D1005">
        <v>25</v>
      </c>
    </row>
    <row r="1006" spans="1:4" x14ac:dyDescent="0.25">
      <c r="A1006" s="1">
        <v>42279</v>
      </c>
      <c r="B1006">
        <v>1</v>
      </c>
      <c r="C1006">
        <v>1</v>
      </c>
      <c r="D1006">
        <v>12</v>
      </c>
    </row>
    <row r="1007" spans="1:4" x14ac:dyDescent="0.25">
      <c r="A1007" s="1">
        <v>42280</v>
      </c>
      <c r="B1007">
        <v>1</v>
      </c>
      <c r="C1007">
        <v>1</v>
      </c>
      <c r="D1007">
        <v>20</v>
      </c>
    </row>
    <row r="1008" spans="1:4" x14ac:dyDescent="0.25">
      <c r="A1008" s="1">
        <v>42281</v>
      </c>
      <c r="B1008">
        <v>1</v>
      </c>
      <c r="C1008">
        <v>1</v>
      </c>
      <c r="D1008">
        <v>22</v>
      </c>
    </row>
    <row r="1009" spans="1:4" x14ac:dyDescent="0.25">
      <c r="A1009" s="1">
        <v>42282</v>
      </c>
      <c r="B1009">
        <v>1</v>
      </c>
      <c r="C1009">
        <v>1</v>
      </c>
      <c r="D1009">
        <v>13</v>
      </c>
    </row>
    <row r="1010" spans="1:4" x14ac:dyDescent="0.25">
      <c r="A1010" s="1">
        <v>42283</v>
      </c>
      <c r="B1010">
        <v>1</v>
      </c>
      <c r="C1010">
        <v>1</v>
      </c>
      <c r="D1010">
        <v>14</v>
      </c>
    </row>
    <row r="1011" spans="1:4" x14ac:dyDescent="0.25">
      <c r="A1011" s="1">
        <v>42284</v>
      </c>
      <c r="B1011">
        <v>1</v>
      </c>
      <c r="C1011">
        <v>1</v>
      </c>
      <c r="D1011">
        <v>19</v>
      </c>
    </row>
    <row r="1012" spans="1:4" x14ac:dyDescent="0.25">
      <c r="A1012" s="1">
        <v>42285</v>
      </c>
      <c r="B1012">
        <v>1</v>
      </c>
      <c r="C1012">
        <v>1</v>
      </c>
      <c r="D1012">
        <v>21</v>
      </c>
    </row>
    <row r="1013" spans="1:4" x14ac:dyDescent="0.25">
      <c r="A1013" s="1">
        <v>42286</v>
      </c>
      <c r="B1013">
        <v>1</v>
      </c>
      <c r="C1013">
        <v>1</v>
      </c>
      <c r="D1013">
        <v>27</v>
      </c>
    </row>
    <row r="1014" spans="1:4" x14ac:dyDescent="0.25">
      <c r="A1014" s="1">
        <v>42287</v>
      </c>
      <c r="B1014">
        <v>1</v>
      </c>
      <c r="C1014">
        <v>1</v>
      </c>
      <c r="D1014">
        <v>22</v>
      </c>
    </row>
    <row r="1015" spans="1:4" x14ac:dyDescent="0.25">
      <c r="A1015" s="1">
        <v>42288</v>
      </c>
      <c r="B1015">
        <v>1</v>
      </c>
      <c r="C1015">
        <v>1</v>
      </c>
      <c r="D1015">
        <v>25</v>
      </c>
    </row>
    <row r="1016" spans="1:4" x14ac:dyDescent="0.25">
      <c r="A1016" s="1">
        <v>42289</v>
      </c>
      <c r="B1016">
        <v>1</v>
      </c>
      <c r="C1016">
        <v>1</v>
      </c>
      <c r="D1016">
        <v>12</v>
      </c>
    </row>
    <row r="1017" spans="1:4" x14ac:dyDescent="0.25">
      <c r="A1017" s="1">
        <v>42290</v>
      </c>
      <c r="B1017">
        <v>1</v>
      </c>
      <c r="C1017">
        <v>1</v>
      </c>
      <c r="D1017">
        <v>24</v>
      </c>
    </row>
    <row r="1018" spans="1:4" x14ac:dyDescent="0.25">
      <c r="A1018" s="1">
        <v>42291</v>
      </c>
      <c r="B1018">
        <v>1</v>
      </c>
      <c r="C1018">
        <v>1</v>
      </c>
      <c r="D1018">
        <v>26</v>
      </c>
    </row>
    <row r="1019" spans="1:4" x14ac:dyDescent="0.25">
      <c r="A1019" s="1">
        <v>42292</v>
      </c>
      <c r="B1019">
        <v>1</v>
      </c>
      <c r="C1019">
        <v>1</v>
      </c>
      <c r="D1019">
        <v>19</v>
      </c>
    </row>
    <row r="1020" spans="1:4" x14ac:dyDescent="0.25">
      <c r="A1020" s="1">
        <v>42293</v>
      </c>
      <c r="B1020">
        <v>1</v>
      </c>
      <c r="C1020">
        <v>1</v>
      </c>
      <c r="D1020">
        <v>23</v>
      </c>
    </row>
    <row r="1021" spans="1:4" x14ac:dyDescent="0.25">
      <c r="A1021" s="1">
        <v>42294</v>
      </c>
      <c r="B1021">
        <v>1</v>
      </c>
      <c r="C1021">
        <v>1</v>
      </c>
      <c r="D1021">
        <v>22</v>
      </c>
    </row>
    <row r="1022" spans="1:4" x14ac:dyDescent="0.25">
      <c r="A1022" s="1">
        <v>42295</v>
      </c>
      <c r="B1022">
        <v>1</v>
      </c>
      <c r="C1022">
        <v>1</v>
      </c>
      <c r="D1022">
        <v>25</v>
      </c>
    </row>
    <row r="1023" spans="1:4" x14ac:dyDescent="0.25">
      <c r="A1023" s="1">
        <v>42296</v>
      </c>
      <c r="B1023">
        <v>1</v>
      </c>
      <c r="C1023">
        <v>1</v>
      </c>
      <c r="D1023">
        <v>19</v>
      </c>
    </row>
    <row r="1024" spans="1:4" x14ac:dyDescent="0.25">
      <c r="A1024" s="1">
        <v>42297</v>
      </c>
      <c r="B1024">
        <v>1</v>
      </c>
      <c r="C1024">
        <v>1</v>
      </c>
      <c r="D1024">
        <v>21</v>
      </c>
    </row>
    <row r="1025" spans="1:4" x14ac:dyDescent="0.25">
      <c r="A1025" s="1">
        <v>42298</v>
      </c>
      <c r="B1025">
        <v>1</v>
      </c>
      <c r="C1025">
        <v>1</v>
      </c>
      <c r="D1025">
        <v>24</v>
      </c>
    </row>
    <row r="1026" spans="1:4" x14ac:dyDescent="0.25">
      <c r="A1026" s="1">
        <v>42299</v>
      </c>
      <c r="B1026">
        <v>1</v>
      </c>
      <c r="C1026">
        <v>1</v>
      </c>
      <c r="D1026">
        <v>17</v>
      </c>
    </row>
    <row r="1027" spans="1:4" x14ac:dyDescent="0.25">
      <c r="A1027" s="1">
        <v>42300</v>
      </c>
      <c r="B1027">
        <v>1</v>
      </c>
      <c r="C1027">
        <v>1</v>
      </c>
      <c r="D1027">
        <v>28</v>
      </c>
    </row>
    <row r="1028" spans="1:4" x14ac:dyDescent="0.25">
      <c r="A1028" s="1">
        <v>42301</v>
      </c>
      <c r="B1028">
        <v>1</v>
      </c>
      <c r="C1028">
        <v>1</v>
      </c>
      <c r="D1028">
        <v>24</v>
      </c>
    </row>
    <row r="1029" spans="1:4" x14ac:dyDescent="0.25">
      <c r="A1029" s="1">
        <v>42302</v>
      </c>
      <c r="B1029">
        <v>1</v>
      </c>
      <c r="C1029">
        <v>1</v>
      </c>
      <c r="D1029">
        <v>33</v>
      </c>
    </row>
    <row r="1030" spans="1:4" x14ac:dyDescent="0.25">
      <c r="A1030" s="1">
        <v>42303</v>
      </c>
      <c r="B1030">
        <v>1</v>
      </c>
      <c r="C1030">
        <v>1</v>
      </c>
      <c r="D1030">
        <v>18</v>
      </c>
    </row>
    <row r="1031" spans="1:4" x14ac:dyDescent="0.25">
      <c r="A1031" s="1">
        <v>42304</v>
      </c>
      <c r="B1031">
        <v>1</v>
      </c>
      <c r="C1031">
        <v>1</v>
      </c>
      <c r="D1031">
        <v>18</v>
      </c>
    </row>
    <row r="1032" spans="1:4" x14ac:dyDescent="0.25">
      <c r="A1032" s="1">
        <v>42305</v>
      </c>
      <c r="B1032">
        <v>1</v>
      </c>
      <c r="C1032">
        <v>1</v>
      </c>
      <c r="D1032">
        <v>8</v>
      </c>
    </row>
    <row r="1033" spans="1:4" x14ac:dyDescent="0.25">
      <c r="A1033" s="1">
        <v>42306</v>
      </c>
      <c r="B1033">
        <v>1</v>
      </c>
      <c r="C1033">
        <v>1</v>
      </c>
      <c r="D1033">
        <v>17</v>
      </c>
    </row>
    <row r="1034" spans="1:4" x14ac:dyDescent="0.25">
      <c r="A1034" s="1">
        <v>42307</v>
      </c>
      <c r="B1034">
        <v>1</v>
      </c>
      <c r="C1034">
        <v>1</v>
      </c>
      <c r="D1034">
        <v>19</v>
      </c>
    </row>
    <row r="1035" spans="1:4" x14ac:dyDescent="0.25">
      <c r="A1035" s="1">
        <v>42308</v>
      </c>
      <c r="B1035">
        <v>1</v>
      </c>
      <c r="C1035">
        <v>1</v>
      </c>
      <c r="D1035">
        <v>30</v>
      </c>
    </row>
    <row r="1036" spans="1:4" x14ac:dyDescent="0.25">
      <c r="A1036" s="1">
        <v>42309</v>
      </c>
      <c r="B1036">
        <v>1</v>
      </c>
      <c r="C1036">
        <v>1</v>
      </c>
      <c r="D1036">
        <v>26</v>
      </c>
    </row>
    <row r="1037" spans="1:4" x14ac:dyDescent="0.25">
      <c r="A1037" s="1">
        <v>42310</v>
      </c>
      <c r="B1037">
        <v>1</v>
      </c>
      <c r="C1037">
        <v>1</v>
      </c>
      <c r="D1037">
        <v>16</v>
      </c>
    </row>
    <row r="1038" spans="1:4" x14ac:dyDescent="0.25">
      <c r="A1038" s="1">
        <v>42311</v>
      </c>
      <c r="B1038">
        <v>1</v>
      </c>
      <c r="C1038">
        <v>1</v>
      </c>
      <c r="D1038">
        <v>25</v>
      </c>
    </row>
    <row r="1039" spans="1:4" x14ac:dyDescent="0.25">
      <c r="A1039" s="1">
        <v>42312</v>
      </c>
      <c r="B1039">
        <v>1</v>
      </c>
      <c r="C1039">
        <v>1</v>
      </c>
      <c r="D1039">
        <v>26</v>
      </c>
    </row>
    <row r="1040" spans="1:4" x14ac:dyDescent="0.25">
      <c r="A1040" s="1">
        <v>42313</v>
      </c>
      <c r="B1040">
        <v>1</v>
      </c>
      <c r="C1040">
        <v>1</v>
      </c>
      <c r="D1040">
        <v>21</v>
      </c>
    </row>
    <row r="1041" spans="1:4" x14ac:dyDescent="0.25">
      <c r="A1041" s="1">
        <v>42314</v>
      </c>
      <c r="B1041">
        <v>1</v>
      </c>
      <c r="C1041">
        <v>1</v>
      </c>
      <c r="D1041">
        <v>24</v>
      </c>
    </row>
    <row r="1042" spans="1:4" x14ac:dyDescent="0.25">
      <c r="A1042" s="1">
        <v>42315</v>
      </c>
      <c r="B1042">
        <v>1</v>
      </c>
      <c r="C1042">
        <v>1</v>
      </c>
      <c r="D1042">
        <v>25</v>
      </c>
    </row>
    <row r="1043" spans="1:4" x14ac:dyDescent="0.25">
      <c r="A1043" s="1">
        <v>42316</v>
      </c>
      <c r="B1043">
        <v>1</v>
      </c>
      <c r="C1043">
        <v>1</v>
      </c>
      <c r="D1043">
        <v>25</v>
      </c>
    </row>
    <row r="1044" spans="1:4" x14ac:dyDescent="0.25">
      <c r="A1044" s="1">
        <v>42317</v>
      </c>
      <c r="B1044">
        <v>1</v>
      </c>
      <c r="C1044">
        <v>1</v>
      </c>
      <c r="D1044">
        <v>16</v>
      </c>
    </row>
    <row r="1045" spans="1:4" x14ac:dyDescent="0.25">
      <c r="A1045" s="1">
        <v>42318</v>
      </c>
      <c r="B1045">
        <v>1</v>
      </c>
      <c r="C1045">
        <v>1</v>
      </c>
      <c r="D1045">
        <v>15</v>
      </c>
    </row>
    <row r="1046" spans="1:4" x14ac:dyDescent="0.25">
      <c r="A1046" s="1">
        <v>42319</v>
      </c>
      <c r="B1046">
        <v>1</v>
      </c>
      <c r="C1046">
        <v>1</v>
      </c>
      <c r="D1046">
        <v>24</v>
      </c>
    </row>
    <row r="1047" spans="1:4" x14ac:dyDescent="0.25">
      <c r="A1047" s="1">
        <v>42320</v>
      </c>
      <c r="B1047">
        <v>1</v>
      </c>
      <c r="C1047">
        <v>1</v>
      </c>
      <c r="D1047">
        <v>19</v>
      </c>
    </row>
    <row r="1048" spans="1:4" x14ac:dyDescent="0.25">
      <c r="A1048" s="1">
        <v>42321</v>
      </c>
      <c r="B1048">
        <v>1</v>
      </c>
      <c r="C1048">
        <v>1</v>
      </c>
      <c r="D1048">
        <v>21</v>
      </c>
    </row>
    <row r="1049" spans="1:4" x14ac:dyDescent="0.25">
      <c r="A1049" s="1">
        <v>42322</v>
      </c>
      <c r="B1049">
        <v>1</v>
      </c>
      <c r="C1049">
        <v>1</v>
      </c>
      <c r="D1049">
        <v>37</v>
      </c>
    </row>
    <row r="1050" spans="1:4" x14ac:dyDescent="0.25">
      <c r="A1050" s="1">
        <v>42323</v>
      </c>
      <c r="B1050">
        <v>1</v>
      </c>
      <c r="C1050">
        <v>1</v>
      </c>
      <c r="D1050">
        <v>31</v>
      </c>
    </row>
    <row r="1051" spans="1:4" x14ac:dyDescent="0.25">
      <c r="A1051" s="1">
        <v>42324</v>
      </c>
      <c r="B1051">
        <v>1</v>
      </c>
      <c r="C1051">
        <v>1</v>
      </c>
      <c r="D1051">
        <v>14</v>
      </c>
    </row>
    <row r="1052" spans="1:4" x14ac:dyDescent="0.25">
      <c r="A1052" s="1">
        <v>42325</v>
      </c>
      <c r="B1052">
        <v>1</v>
      </c>
      <c r="C1052">
        <v>1</v>
      </c>
      <c r="D1052">
        <v>19</v>
      </c>
    </row>
    <row r="1053" spans="1:4" x14ac:dyDescent="0.25">
      <c r="A1053" s="1">
        <v>42326</v>
      </c>
      <c r="B1053">
        <v>1</v>
      </c>
      <c r="C1053">
        <v>1</v>
      </c>
      <c r="D1053">
        <v>30</v>
      </c>
    </row>
    <row r="1054" spans="1:4" x14ac:dyDescent="0.25">
      <c r="A1054" s="1">
        <v>42327</v>
      </c>
      <c r="B1054">
        <v>1</v>
      </c>
      <c r="C1054">
        <v>1</v>
      </c>
      <c r="D1054">
        <v>26</v>
      </c>
    </row>
    <row r="1055" spans="1:4" x14ac:dyDescent="0.25">
      <c r="A1055" s="1">
        <v>42328</v>
      </c>
      <c r="B1055">
        <v>1</v>
      </c>
      <c r="C1055">
        <v>1</v>
      </c>
      <c r="D1055">
        <v>27</v>
      </c>
    </row>
    <row r="1056" spans="1:4" x14ac:dyDescent="0.25">
      <c r="A1056" s="1">
        <v>42329</v>
      </c>
      <c r="B1056">
        <v>1</v>
      </c>
      <c r="C1056">
        <v>1</v>
      </c>
      <c r="D1056">
        <v>22</v>
      </c>
    </row>
    <row r="1057" spans="1:4" x14ac:dyDescent="0.25">
      <c r="A1057" s="1">
        <v>42330</v>
      </c>
      <c r="B1057">
        <v>1</v>
      </c>
      <c r="C1057">
        <v>1</v>
      </c>
      <c r="D1057">
        <v>30</v>
      </c>
    </row>
    <row r="1058" spans="1:4" x14ac:dyDescent="0.25">
      <c r="A1058" s="1">
        <v>42331</v>
      </c>
      <c r="B1058">
        <v>1</v>
      </c>
      <c r="C1058">
        <v>1</v>
      </c>
      <c r="D1058">
        <v>21</v>
      </c>
    </row>
    <row r="1059" spans="1:4" x14ac:dyDescent="0.25">
      <c r="A1059" s="1">
        <v>42332</v>
      </c>
      <c r="B1059">
        <v>1</v>
      </c>
      <c r="C1059">
        <v>1</v>
      </c>
      <c r="D1059">
        <v>20</v>
      </c>
    </row>
    <row r="1060" spans="1:4" x14ac:dyDescent="0.25">
      <c r="A1060" s="1">
        <v>42333</v>
      </c>
      <c r="B1060">
        <v>1</v>
      </c>
      <c r="C1060">
        <v>1</v>
      </c>
      <c r="D1060">
        <v>16</v>
      </c>
    </row>
    <row r="1061" spans="1:4" x14ac:dyDescent="0.25">
      <c r="A1061" s="1">
        <v>42334</v>
      </c>
      <c r="B1061">
        <v>1</v>
      </c>
      <c r="C1061">
        <v>1</v>
      </c>
      <c r="D1061">
        <v>19</v>
      </c>
    </row>
    <row r="1062" spans="1:4" x14ac:dyDescent="0.25">
      <c r="A1062" s="1">
        <v>42335</v>
      </c>
      <c r="B1062">
        <v>1</v>
      </c>
      <c r="C1062">
        <v>1</v>
      </c>
      <c r="D1062">
        <v>33</v>
      </c>
    </row>
    <row r="1063" spans="1:4" x14ac:dyDescent="0.25">
      <c r="A1063" s="1">
        <v>42336</v>
      </c>
      <c r="B1063">
        <v>1</v>
      </c>
      <c r="C1063">
        <v>1</v>
      </c>
      <c r="D1063">
        <v>24</v>
      </c>
    </row>
    <row r="1064" spans="1:4" x14ac:dyDescent="0.25">
      <c r="A1064" s="1">
        <v>42337</v>
      </c>
      <c r="B1064">
        <v>1</v>
      </c>
      <c r="C1064">
        <v>1</v>
      </c>
      <c r="D1064">
        <v>27</v>
      </c>
    </row>
    <row r="1065" spans="1:4" x14ac:dyDescent="0.25">
      <c r="A1065" s="1">
        <v>42338</v>
      </c>
      <c r="B1065">
        <v>1</v>
      </c>
      <c r="C1065">
        <v>1</v>
      </c>
      <c r="D1065">
        <v>5</v>
      </c>
    </row>
    <row r="1066" spans="1:4" x14ac:dyDescent="0.25">
      <c r="A1066" s="1">
        <v>42339</v>
      </c>
      <c r="B1066">
        <v>1</v>
      </c>
      <c r="C1066">
        <v>1</v>
      </c>
      <c r="D1066">
        <v>13</v>
      </c>
    </row>
    <row r="1067" spans="1:4" x14ac:dyDescent="0.25">
      <c r="A1067" s="1">
        <v>42340</v>
      </c>
      <c r="B1067">
        <v>1</v>
      </c>
      <c r="C1067">
        <v>1</v>
      </c>
      <c r="D1067">
        <v>12</v>
      </c>
    </row>
    <row r="1068" spans="1:4" x14ac:dyDescent="0.25">
      <c r="A1068" s="1">
        <v>42341</v>
      </c>
      <c r="B1068">
        <v>1</v>
      </c>
      <c r="C1068">
        <v>1</v>
      </c>
      <c r="D1068">
        <v>14</v>
      </c>
    </row>
    <row r="1069" spans="1:4" x14ac:dyDescent="0.25">
      <c r="A1069" s="1">
        <v>42342</v>
      </c>
      <c r="B1069">
        <v>1</v>
      </c>
      <c r="C1069">
        <v>1</v>
      </c>
      <c r="D1069">
        <v>29</v>
      </c>
    </row>
    <row r="1070" spans="1:4" x14ac:dyDescent="0.25">
      <c r="A1070" s="1">
        <v>42343</v>
      </c>
      <c r="B1070">
        <v>1</v>
      </c>
      <c r="C1070">
        <v>1</v>
      </c>
      <c r="D1070">
        <v>12</v>
      </c>
    </row>
    <row r="1071" spans="1:4" x14ac:dyDescent="0.25">
      <c r="A1071" s="1">
        <v>42344</v>
      </c>
      <c r="B1071">
        <v>1</v>
      </c>
      <c r="C1071">
        <v>1</v>
      </c>
      <c r="D1071">
        <v>14</v>
      </c>
    </row>
    <row r="1072" spans="1:4" x14ac:dyDescent="0.25">
      <c r="A1072" s="1">
        <v>42345</v>
      </c>
      <c r="B1072">
        <v>1</v>
      </c>
      <c r="C1072">
        <v>1</v>
      </c>
      <c r="D1072">
        <v>14</v>
      </c>
    </row>
    <row r="1073" spans="1:4" x14ac:dyDescent="0.25">
      <c r="A1073" s="1">
        <v>42346</v>
      </c>
      <c r="B1073">
        <v>1</v>
      </c>
      <c r="C1073">
        <v>1</v>
      </c>
      <c r="D1073">
        <v>13</v>
      </c>
    </row>
    <row r="1074" spans="1:4" x14ac:dyDescent="0.25">
      <c r="A1074" s="1">
        <v>42347</v>
      </c>
      <c r="B1074">
        <v>1</v>
      </c>
      <c r="C1074">
        <v>1</v>
      </c>
      <c r="D1074">
        <v>18</v>
      </c>
    </row>
    <row r="1075" spans="1:4" x14ac:dyDescent="0.25">
      <c r="A1075" s="1">
        <v>42348</v>
      </c>
      <c r="B1075">
        <v>1</v>
      </c>
      <c r="C1075">
        <v>1</v>
      </c>
      <c r="D1075">
        <v>14</v>
      </c>
    </row>
    <row r="1076" spans="1:4" x14ac:dyDescent="0.25">
      <c r="A1076" s="1">
        <v>42349</v>
      </c>
      <c r="B1076">
        <v>1</v>
      </c>
      <c r="C1076">
        <v>1</v>
      </c>
      <c r="D1076">
        <v>21</v>
      </c>
    </row>
    <row r="1077" spans="1:4" x14ac:dyDescent="0.25">
      <c r="A1077" s="1">
        <v>42350</v>
      </c>
      <c r="B1077">
        <v>1</v>
      </c>
      <c r="C1077">
        <v>1</v>
      </c>
      <c r="D1077">
        <v>23</v>
      </c>
    </row>
    <row r="1078" spans="1:4" x14ac:dyDescent="0.25">
      <c r="A1078" s="1">
        <v>42351</v>
      </c>
      <c r="B1078">
        <v>1</v>
      </c>
      <c r="C1078">
        <v>1</v>
      </c>
      <c r="D1078">
        <v>14</v>
      </c>
    </row>
    <row r="1079" spans="1:4" x14ac:dyDescent="0.25">
      <c r="A1079" s="1">
        <v>42352</v>
      </c>
      <c r="B1079">
        <v>1</v>
      </c>
      <c r="C1079">
        <v>1</v>
      </c>
      <c r="D1079">
        <v>10</v>
      </c>
    </row>
    <row r="1080" spans="1:4" x14ac:dyDescent="0.25">
      <c r="A1080" s="1">
        <v>42353</v>
      </c>
      <c r="B1080">
        <v>1</v>
      </c>
      <c r="C1080">
        <v>1</v>
      </c>
      <c r="D1080">
        <v>12</v>
      </c>
    </row>
    <row r="1081" spans="1:4" x14ac:dyDescent="0.25">
      <c r="A1081" s="1">
        <v>42354</v>
      </c>
      <c r="B1081">
        <v>1</v>
      </c>
      <c r="C1081">
        <v>1</v>
      </c>
      <c r="D1081">
        <v>19</v>
      </c>
    </row>
    <row r="1082" spans="1:4" x14ac:dyDescent="0.25">
      <c r="A1082" s="1">
        <v>42355</v>
      </c>
      <c r="B1082">
        <v>1</v>
      </c>
      <c r="C1082">
        <v>1</v>
      </c>
      <c r="D1082">
        <v>9</v>
      </c>
    </row>
    <row r="1083" spans="1:4" x14ac:dyDescent="0.25">
      <c r="A1083" s="1">
        <v>42356</v>
      </c>
      <c r="B1083">
        <v>1</v>
      </c>
      <c r="C1083">
        <v>1</v>
      </c>
      <c r="D1083">
        <v>19</v>
      </c>
    </row>
    <row r="1084" spans="1:4" x14ac:dyDescent="0.25">
      <c r="A1084" s="1">
        <v>42357</v>
      </c>
      <c r="B1084">
        <v>1</v>
      </c>
      <c r="C1084">
        <v>1</v>
      </c>
      <c r="D1084">
        <v>21</v>
      </c>
    </row>
    <row r="1085" spans="1:4" x14ac:dyDescent="0.25">
      <c r="A1085" s="1">
        <v>42358</v>
      </c>
      <c r="B1085">
        <v>1</v>
      </c>
      <c r="C1085">
        <v>1</v>
      </c>
      <c r="D1085">
        <v>17</v>
      </c>
    </row>
    <row r="1086" spans="1:4" x14ac:dyDescent="0.25">
      <c r="A1086" s="1">
        <v>42359</v>
      </c>
      <c r="B1086">
        <v>1</v>
      </c>
      <c r="C1086">
        <v>1</v>
      </c>
      <c r="D1086">
        <v>10</v>
      </c>
    </row>
    <row r="1087" spans="1:4" x14ac:dyDescent="0.25">
      <c r="A1087" s="1">
        <v>42360</v>
      </c>
      <c r="B1087">
        <v>1</v>
      </c>
      <c r="C1087">
        <v>1</v>
      </c>
      <c r="D1087">
        <v>13</v>
      </c>
    </row>
    <row r="1088" spans="1:4" x14ac:dyDescent="0.25">
      <c r="A1088" s="1">
        <v>42361</v>
      </c>
      <c r="B1088">
        <v>1</v>
      </c>
      <c r="C1088">
        <v>1</v>
      </c>
      <c r="D1088">
        <v>14</v>
      </c>
    </row>
    <row r="1089" spans="1:4" x14ac:dyDescent="0.25">
      <c r="A1089" s="1">
        <v>42362</v>
      </c>
      <c r="B1089">
        <v>1</v>
      </c>
      <c r="C1089">
        <v>1</v>
      </c>
      <c r="D1089">
        <v>7</v>
      </c>
    </row>
    <row r="1090" spans="1:4" x14ac:dyDescent="0.25">
      <c r="A1090" s="1">
        <v>42363</v>
      </c>
      <c r="B1090">
        <v>1</v>
      </c>
      <c r="C1090">
        <v>1</v>
      </c>
      <c r="D1090">
        <v>19</v>
      </c>
    </row>
    <row r="1091" spans="1:4" x14ac:dyDescent="0.25">
      <c r="A1091" s="1">
        <v>42364</v>
      </c>
      <c r="B1091">
        <v>1</v>
      </c>
      <c r="C1091">
        <v>1</v>
      </c>
      <c r="D1091">
        <v>13</v>
      </c>
    </row>
    <row r="1092" spans="1:4" x14ac:dyDescent="0.25">
      <c r="A1092" s="1">
        <v>42365</v>
      </c>
      <c r="B1092">
        <v>1</v>
      </c>
      <c r="C1092">
        <v>1</v>
      </c>
      <c r="D1092">
        <v>17</v>
      </c>
    </row>
    <row r="1093" spans="1:4" x14ac:dyDescent="0.25">
      <c r="A1093" s="1">
        <v>42366</v>
      </c>
      <c r="B1093">
        <v>1</v>
      </c>
      <c r="C1093">
        <v>1</v>
      </c>
      <c r="D1093">
        <v>4</v>
      </c>
    </row>
    <row r="1094" spans="1:4" x14ac:dyDescent="0.25">
      <c r="A1094" s="1">
        <v>42367</v>
      </c>
      <c r="B1094">
        <v>1</v>
      </c>
      <c r="C1094">
        <v>1</v>
      </c>
      <c r="D1094">
        <v>12</v>
      </c>
    </row>
    <row r="1095" spans="1:4" x14ac:dyDescent="0.25">
      <c r="A1095" s="1">
        <v>42368</v>
      </c>
      <c r="B1095">
        <v>1</v>
      </c>
      <c r="C1095">
        <v>1</v>
      </c>
      <c r="D1095">
        <v>15</v>
      </c>
    </row>
    <row r="1096" spans="1:4" x14ac:dyDescent="0.25">
      <c r="A1096" s="1">
        <v>42369</v>
      </c>
      <c r="B1096">
        <v>1</v>
      </c>
      <c r="C1096">
        <v>1</v>
      </c>
      <c r="D1096">
        <v>18</v>
      </c>
    </row>
    <row r="1097" spans="1:4" x14ac:dyDescent="0.25">
      <c r="A1097" s="1">
        <v>42370</v>
      </c>
      <c r="B1097">
        <v>1</v>
      </c>
      <c r="C1097">
        <v>1</v>
      </c>
      <c r="D1097">
        <v>21</v>
      </c>
    </row>
    <row r="1098" spans="1:4" x14ac:dyDescent="0.25">
      <c r="A1098" s="1">
        <v>42371</v>
      </c>
      <c r="B1098">
        <v>1</v>
      </c>
      <c r="C1098">
        <v>1</v>
      </c>
      <c r="D1098">
        <v>13</v>
      </c>
    </row>
    <row r="1099" spans="1:4" x14ac:dyDescent="0.25">
      <c r="A1099" s="1">
        <v>42372</v>
      </c>
      <c r="B1099">
        <v>1</v>
      </c>
      <c r="C1099">
        <v>1</v>
      </c>
      <c r="D1099">
        <v>12</v>
      </c>
    </row>
    <row r="1100" spans="1:4" x14ac:dyDescent="0.25">
      <c r="A1100" s="1">
        <v>42373</v>
      </c>
      <c r="B1100">
        <v>1</v>
      </c>
      <c r="C1100">
        <v>1</v>
      </c>
      <c r="D1100">
        <v>12</v>
      </c>
    </row>
    <row r="1101" spans="1:4" x14ac:dyDescent="0.25">
      <c r="A1101" s="1">
        <v>42374</v>
      </c>
      <c r="B1101">
        <v>1</v>
      </c>
      <c r="C1101">
        <v>1</v>
      </c>
      <c r="D1101">
        <v>12</v>
      </c>
    </row>
    <row r="1102" spans="1:4" x14ac:dyDescent="0.25">
      <c r="A1102" s="1">
        <v>42375</v>
      </c>
      <c r="B1102">
        <v>1</v>
      </c>
      <c r="C1102">
        <v>1</v>
      </c>
      <c r="D1102">
        <v>16</v>
      </c>
    </row>
    <row r="1103" spans="1:4" x14ac:dyDescent="0.25">
      <c r="A1103" s="1">
        <v>42376</v>
      </c>
      <c r="B1103">
        <v>1</v>
      </c>
      <c r="C1103">
        <v>1</v>
      </c>
      <c r="D1103">
        <v>12</v>
      </c>
    </row>
    <row r="1104" spans="1:4" x14ac:dyDescent="0.25">
      <c r="A1104" s="1">
        <v>42377</v>
      </c>
      <c r="B1104">
        <v>1</v>
      </c>
      <c r="C1104">
        <v>1</v>
      </c>
      <c r="D1104">
        <v>12</v>
      </c>
    </row>
    <row r="1105" spans="1:4" x14ac:dyDescent="0.25">
      <c r="A1105" s="1">
        <v>42378</v>
      </c>
      <c r="B1105">
        <v>1</v>
      </c>
      <c r="C1105">
        <v>1</v>
      </c>
      <c r="D1105">
        <v>16</v>
      </c>
    </row>
    <row r="1106" spans="1:4" x14ac:dyDescent="0.25">
      <c r="A1106" s="1">
        <v>42379</v>
      </c>
      <c r="B1106">
        <v>1</v>
      </c>
      <c r="C1106">
        <v>1</v>
      </c>
      <c r="D1106">
        <v>26</v>
      </c>
    </row>
    <row r="1107" spans="1:4" x14ac:dyDescent="0.25">
      <c r="A1107" s="1">
        <v>42380</v>
      </c>
      <c r="B1107">
        <v>1</v>
      </c>
      <c r="C1107">
        <v>1</v>
      </c>
      <c r="D1107">
        <v>7</v>
      </c>
    </row>
    <row r="1108" spans="1:4" x14ac:dyDescent="0.25">
      <c r="A1108" s="1">
        <v>42381</v>
      </c>
      <c r="B1108">
        <v>1</v>
      </c>
      <c r="C1108">
        <v>1</v>
      </c>
      <c r="D1108">
        <v>13</v>
      </c>
    </row>
    <row r="1109" spans="1:4" x14ac:dyDescent="0.25">
      <c r="A1109" s="1">
        <v>42382</v>
      </c>
      <c r="B1109">
        <v>1</v>
      </c>
      <c r="C1109">
        <v>1</v>
      </c>
      <c r="D1109">
        <v>9</v>
      </c>
    </row>
    <row r="1110" spans="1:4" x14ac:dyDescent="0.25">
      <c r="A1110" s="1">
        <v>42383</v>
      </c>
      <c r="B1110">
        <v>1</v>
      </c>
      <c r="C1110">
        <v>1</v>
      </c>
      <c r="D1110">
        <v>18</v>
      </c>
    </row>
    <row r="1111" spans="1:4" x14ac:dyDescent="0.25">
      <c r="A1111" s="1">
        <v>42384</v>
      </c>
      <c r="B1111">
        <v>1</v>
      </c>
      <c r="C1111">
        <v>1</v>
      </c>
      <c r="D1111">
        <v>13</v>
      </c>
    </row>
    <row r="1112" spans="1:4" x14ac:dyDescent="0.25">
      <c r="A1112" s="1">
        <v>42385</v>
      </c>
      <c r="B1112">
        <v>1</v>
      </c>
      <c r="C1112">
        <v>1</v>
      </c>
      <c r="D1112">
        <v>8</v>
      </c>
    </row>
    <row r="1113" spans="1:4" x14ac:dyDescent="0.25">
      <c r="A1113" s="1">
        <v>42386</v>
      </c>
      <c r="B1113">
        <v>1</v>
      </c>
      <c r="C1113">
        <v>1</v>
      </c>
      <c r="D1113">
        <v>13</v>
      </c>
    </row>
    <row r="1114" spans="1:4" x14ac:dyDescent="0.25">
      <c r="A1114" s="1">
        <v>42387</v>
      </c>
      <c r="B1114">
        <v>1</v>
      </c>
      <c r="C1114">
        <v>1</v>
      </c>
      <c r="D1114">
        <v>7</v>
      </c>
    </row>
    <row r="1115" spans="1:4" x14ac:dyDescent="0.25">
      <c r="A1115" s="1">
        <v>42388</v>
      </c>
      <c r="B1115">
        <v>1</v>
      </c>
      <c r="C1115">
        <v>1</v>
      </c>
      <c r="D1115">
        <v>17</v>
      </c>
    </row>
    <row r="1116" spans="1:4" x14ac:dyDescent="0.25">
      <c r="A1116" s="1">
        <v>42389</v>
      </c>
      <c r="B1116">
        <v>1</v>
      </c>
      <c r="C1116">
        <v>1</v>
      </c>
      <c r="D1116">
        <v>13</v>
      </c>
    </row>
    <row r="1117" spans="1:4" x14ac:dyDescent="0.25">
      <c r="A1117" s="1">
        <v>42390</v>
      </c>
      <c r="B1117">
        <v>1</v>
      </c>
      <c r="C1117">
        <v>1</v>
      </c>
      <c r="D1117">
        <v>12</v>
      </c>
    </row>
    <row r="1118" spans="1:4" x14ac:dyDescent="0.25">
      <c r="A1118" s="1">
        <v>42391</v>
      </c>
      <c r="B1118">
        <v>1</v>
      </c>
      <c r="C1118">
        <v>1</v>
      </c>
      <c r="D1118">
        <v>15</v>
      </c>
    </row>
    <row r="1119" spans="1:4" x14ac:dyDescent="0.25">
      <c r="A1119" s="1">
        <v>42392</v>
      </c>
      <c r="B1119">
        <v>1</v>
      </c>
      <c r="C1119">
        <v>1</v>
      </c>
      <c r="D1119">
        <v>23</v>
      </c>
    </row>
    <row r="1120" spans="1:4" x14ac:dyDescent="0.25">
      <c r="A1120" s="1">
        <v>42393</v>
      </c>
      <c r="B1120">
        <v>1</v>
      </c>
      <c r="C1120">
        <v>1</v>
      </c>
      <c r="D1120">
        <v>21</v>
      </c>
    </row>
    <row r="1121" spans="1:4" x14ac:dyDescent="0.25">
      <c r="A1121" s="1">
        <v>42394</v>
      </c>
      <c r="B1121">
        <v>1</v>
      </c>
      <c r="C1121">
        <v>1</v>
      </c>
      <c r="D1121">
        <v>15</v>
      </c>
    </row>
    <row r="1122" spans="1:4" x14ac:dyDescent="0.25">
      <c r="A1122" s="1">
        <v>42395</v>
      </c>
      <c r="B1122">
        <v>1</v>
      </c>
      <c r="C1122">
        <v>1</v>
      </c>
      <c r="D1122">
        <v>18</v>
      </c>
    </row>
    <row r="1123" spans="1:4" x14ac:dyDescent="0.25">
      <c r="A1123" s="1">
        <v>42396</v>
      </c>
      <c r="B1123">
        <v>1</v>
      </c>
      <c r="C1123">
        <v>1</v>
      </c>
      <c r="D1123">
        <v>14</v>
      </c>
    </row>
    <row r="1124" spans="1:4" x14ac:dyDescent="0.25">
      <c r="A1124" s="1">
        <v>42397</v>
      </c>
      <c r="B1124">
        <v>1</v>
      </c>
      <c r="C1124">
        <v>1</v>
      </c>
      <c r="D1124">
        <v>17</v>
      </c>
    </row>
    <row r="1125" spans="1:4" x14ac:dyDescent="0.25">
      <c r="A1125" s="1">
        <v>42398</v>
      </c>
      <c r="B1125">
        <v>1</v>
      </c>
      <c r="C1125">
        <v>1</v>
      </c>
      <c r="D1125">
        <v>16</v>
      </c>
    </row>
    <row r="1126" spans="1:4" x14ac:dyDescent="0.25">
      <c r="A1126" s="1">
        <v>42399</v>
      </c>
      <c r="B1126">
        <v>1</v>
      </c>
      <c r="C1126">
        <v>1</v>
      </c>
      <c r="D1126">
        <v>14</v>
      </c>
    </row>
    <row r="1127" spans="1:4" x14ac:dyDescent="0.25">
      <c r="A1127" s="1">
        <v>42400</v>
      </c>
      <c r="B1127">
        <v>1</v>
      </c>
      <c r="C1127">
        <v>1</v>
      </c>
      <c r="D1127">
        <v>14</v>
      </c>
    </row>
    <row r="1128" spans="1:4" x14ac:dyDescent="0.25">
      <c r="A1128" s="1">
        <v>42401</v>
      </c>
      <c r="B1128">
        <v>1</v>
      </c>
      <c r="C1128">
        <v>1</v>
      </c>
      <c r="D1128">
        <v>16</v>
      </c>
    </row>
    <row r="1129" spans="1:4" x14ac:dyDescent="0.25">
      <c r="A1129" s="1">
        <v>42402</v>
      </c>
      <c r="B1129">
        <v>1</v>
      </c>
      <c r="C1129">
        <v>1</v>
      </c>
      <c r="D1129">
        <v>16</v>
      </c>
    </row>
    <row r="1130" spans="1:4" x14ac:dyDescent="0.25">
      <c r="A1130" s="1">
        <v>42403</v>
      </c>
      <c r="B1130">
        <v>1</v>
      </c>
      <c r="C1130">
        <v>1</v>
      </c>
      <c r="D1130">
        <v>19</v>
      </c>
    </row>
    <row r="1131" spans="1:4" x14ac:dyDescent="0.25">
      <c r="A1131" s="1">
        <v>42404</v>
      </c>
      <c r="B1131">
        <v>1</v>
      </c>
      <c r="C1131">
        <v>1</v>
      </c>
      <c r="D1131">
        <v>9</v>
      </c>
    </row>
    <row r="1132" spans="1:4" x14ac:dyDescent="0.25">
      <c r="A1132" s="1">
        <v>42405</v>
      </c>
      <c r="B1132">
        <v>1</v>
      </c>
      <c r="C1132">
        <v>1</v>
      </c>
      <c r="D1132">
        <v>14</v>
      </c>
    </row>
    <row r="1133" spans="1:4" x14ac:dyDescent="0.25">
      <c r="A1133" s="1">
        <v>42406</v>
      </c>
      <c r="B1133">
        <v>1</v>
      </c>
      <c r="C1133">
        <v>1</v>
      </c>
      <c r="D1133">
        <v>14</v>
      </c>
    </row>
    <row r="1134" spans="1:4" x14ac:dyDescent="0.25">
      <c r="A1134" s="1">
        <v>42407</v>
      </c>
      <c r="B1134">
        <v>1</v>
      </c>
      <c r="C1134">
        <v>1</v>
      </c>
      <c r="D1134">
        <v>18</v>
      </c>
    </row>
    <row r="1135" spans="1:4" x14ac:dyDescent="0.25">
      <c r="A1135" s="1">
        <v>42408</v>
      </c>
      <c r="B1135">
        <v>1</v>
      </c>
      <c r="C1135">
        <v>1</v>
      </c>
      <c r="D1135">
        <v>12</v>
      </c>
    </row>
    <row r="1136" spans="1:4" x14ac:dyDescent="0.25">
      <c r="A1136" s="1">
        <v>42409</v>
      </c>
      <c r="B1136">
        <v>1</v>
      </c>
      <c r="C1136">
        <v>1</v>
      </c>
      <c r="D1136">
        <v>14</v>
      </c>
    </row>
    <row r="1137" spans="1:4" x14ac:dyDescent="0.25">
      <c r="A1137" s="1">
        <v>42410</v>
      </c>
      <c r="B1137">
        <v>1</v>
      </c>
      <c r="C1137">
        <v>1</v>
      </c>
      <c r="D1137">
        <v>16</v>
      </c>
    </row>
    <row r="1138" spans="1:4" x14ac:dyDescent="0.25">
      <c r="A1138" s="1">
        <v>42411</v>
      </c>
      <c r="B1138">
        <v>1</v>
      </c>
      <c r="C1138">
        <v>1</v>
      </c>
      <c r="D1138">
        <v>14</v>
      </c>
    </row>
    <row r="1139" spans="1:4" x14ac:dyDescent="0.25">
      <c r="A1139" s="1">
        <v>42412</v>
      </c>
      <c r="B1139">
        <v>1</v>
      </c>
      <c r="C1139">
        <v>1</v>
      </c>
      <c r="D1139">
        <v>15</v>
      </c>
    </row>
    <row r="1140" spans="1:4" x14ac:dyDescent="0.25">
      <c r="A1140" s="1">
        <v>42413</v>
      </c>
      <c r="B1140">
        <v>1</v>
      </c>
      <c r="C1140">
        <v>1</v>
      </c>
      <c r="D1140">
        <v>10</v>
      </c>
    </row>
    <row r="1141" spans="1:4" x14ac:dyDescent="0.25">
      <c r="A1141" s="1">
        <v>42414</v>
      </c>
      <c r="B1141">
        <v>1</v>
      </c>
      <c r="C1141">
        <v>1</v>
      </c>
      <c r="D1141">
        <v>23</v>
      </c>
    </row>
    <row r="1142" spans="1:4" x14ac:dyDescent="0.25">
      <c r="A1142" s="1">
        <v>42415</v>
      </c>
      <c r="B1142">
        <v>1</v>
      </c>
      <c r="C1142">
        <v>1</v>
      </c>
      <c r="D1142">
        <v>8</v>
      </c>
    </row>
    <row r="1143" spans="1:4" x14ac:dyDescent="0.25">
      <c r="A1143" s="1">
        <v>42416</v>
      </c>
      <c r="B1143">
        <v>1</v>
      </c>
      <c r="C1143">
        <v>1</v>
      </c>
      <c r="D1143">
        <v>19</v>
      </c>
    </row>
    <row r="1144" spans="1:4" x14ac:dyDescent="0.25">
      <c r="A1144" s="1">
        <v>42417</v>
      </c>
      <c r="B1144">
        <v>1</v>
      </c>
      <c r="C1144">
        <v>1</v>
      </c>
      <c r="D1144">
        <v>29</v>
      </c>
    </row>
    <row r="1145" spans="1:4" x14ac:dyDescent="0.25">
      <c r="A1145" s="1">
        <v>42418</v>
      </c>
      <c r="B1145">
        <v>1</v>
      </c>
      <c r="C1145">
        <v>1</v>
      </c>
      <c r="D1145">
        <v>17</v>
      </c>
    </row>
    <row r="1146" spans="1:4" x14ac:dyDescent="0.25">
      <c r="A1146" s="1">
        <v>42419</v>
      </c>
      <c r="B1146">
        <v>1</v>
      </c>
      <c r="C1146">
        <v>1</v>
      </c>
      <c r="D1146">
        <v>18</v>
      </c>
    </row>
    <row r="1147" spans="1:4" x14ac:dyDescent="0.25">
      <c r="A1147" s="1">
        <v>42420</v>
      </c>
      <c r="B1147">
        <v>1</v>
      </c>
      <c r="C1147">
        <v>1</v>
      </c>
      <c r="D1147">
        <v>18</v>
      </c>
    </row>
    <row r="1148" spans="1:4" x14ac:dyDescent="0.25">
      <c r="A1148" s="1">
        <v>42421</v>
      </c>
      <c r="B1148">
        <v>1</v>
      </c>
      <c r="C1148">
        <v>1</v>
      </c>
      <c r="D1148">
        <v>21</v>
      </c>
    </row>
    <row r="1149" spans="1:4" x14ac:dyDescent="0.25">
      <c r="A1149" s="1">
        <v>42422</v>
      </c>
      <c r="B1149">
        <v>1</v>
      </c>
      <c r="C1149">
        <v>1</v>
      </c>
      <c r="D1149">
        <v>16</v>
      </c>
    </row>
    <row r="1150" spans="1:4" x14ac:dyDescent="0.25">
      <c r="A1150" s="1">
        <v>42423</v>
      </c>
      <c r="B1150">
        <v>1</v>
      </c>
      <c r="C1150">
        <v>1</v>
      </c>
      <c r="D1150">
        <v>16</v>
      </c>
    </row>
    <row r="1151" spans="1:4" x14ac:dyDescent="0.25">
      <c r="A1151" s="1">
        <v>42424</v>
      </c>
      <c r="B1151">
        <v>1</v>
      </c>
      <c r="C1151">
        <v>1</v>
      </c>
      <c r="D1151">
        <v>10</v>
      </c>
    </row>
    <row r="1152" spans="1:4" x14ac:dyDescent="0.25">
      <c r="A1152" s="1">
        <v>42425</v>
      </c>
      <c r="B1152">
        <v>1</v>
      </c>
      <c r="C1152">
        <v>1</v>
      </c>
      <c r="D1152">
        <v>12</v>
      </c>
    </row>
    <row r="1153" spans="1:4" x14ac:dyDescent="0.25">
      <c r="A1153" s="1">
        <v>42426</v>
      </c>
      <c r="B1153">
        <v>1</v>
      </c>
      <c r="C1153">
        <v>1</v>
      </c>
      <c r="D1153">
        <v>9</v>
      </c>
    </row>
    <row r="1154" spans="1:4" x14ac:dyDescent="0.25">
      <c r="A1154" s="1">
        <v>42427</v>
      </c>
      <c r="B1154">
        <v>1</v>
      </c>
      <c r="C1154">
        <v>1</v>
      </c>
      <c r="D1154">
        <v>21</v>
      </c>
    </row>
    <row r="1155" spans="1:4" x14ac:dyDescent="0.25">
      <c r="A1155" s="1">
        <v>42428</v>
      </c>
      <c r="B1155">
        <v>1</v>
      </c>
      <c r="C1155">
        <v>1</v>
      </c>
      <c r="D1155">
        <v>12</v>
      </c>
    </row>
    <row r="1156" spans="1:4" x14ac:dyDescent="0.25">
      <c r="A1156" s="1">
        <v>42429</v>
      </c>
      <c r="B1156">
        <v>1</v>
      </c>
      <c r="C1156">
        <v>1</v>
      </c>
      <c r="D1156">
        <v>14</v>
      </c>
    </row>
    <row r="1157" spans="1:4" x14ac:dyDescent="0.25">
      <c r="A1157" s="1">
        <v>42430</v>
      </c>
      <c r="B1157">
        <v>1</v>
      </c>
      <c r="C1157">
        <v>1</v>
      </c>
      <c r="D1157">
        <v>16</v>
      </c>
    </row>
    <row r="1158" spans="1:4" x14ac:dyDescent="0.25">
      <c r="A1158" s="1">
        <v>42431</v>
      </c>
      <c r="B1158">
        <v>1</v>
      </c>
      <c r="C1158">
        <v>1</v>
      </c>
      <c r="D1158">
        <v>17</v>
      </c>
    </row>
    <row r="1159" spans="1:4" x14ac:dyDescent="0.25">
      <c r="A1159" s="1">
        <v>42432</v>
      </c>
      <c r="B1159">
        <v>1</v>
      </c>
      <c r="C1159">
        <v>1</v>
      </c>
      <c r="D1159">
        <v>20</v>
      </c>
    </row>
    <row r="1160" spans="1:4" x14ac:dyDescent="0.25">
      <c r="A1160" s="1">
        <v>42433</v>
      </c>
      <c r="B1160">
        <v>1</v>
      </c>
      <c r="C1160">
        <v>1</v>
      </c>
      <c r="D1160">
        <v>17</v>
      </c>
    </row>
    <row r="1161" spans="1:4" x14ac:dyDescent="0.25">
      <c r="A1161" s="1">
        <v>42434</v>
      </c>
      <c r="B1161">
        <v>1</v>
      </c>
      <c r="C1161">
        <v>1</v>
      </c>
      <c r="D1161">
        <v>17</v>
      </c>
    </row>
    <row r="1162" spans="1:4" x14ac:dyDescent="0.25">
      <c r="A1162" s="1">
        <v>42435</v>
      </c>
      <c r="B1162">
        <v>1</v>
      </c>
      <c r="C1162">
        <v>1</v>
      </c>
      <c r="D1162">
        <v>22</v>
      </c>
    </row>
    <row r="1163" spans="1:4" x14ac:dyDescent="0.25">
      <c r="A1163" s="1">
        <v>42436</v>
      </c>
      <c r="B1163">
        <v>1</v>
      </c>
      <c r="C1163">
        <v>1</v>
      </c>
      <c r="D1163">
        <v>17</v>
      </c>
    </row>
    <row r="1164" spans="1:4" x14ac:dyDescent="0.25">
      <c r="A1164" s="1">
        <v>42437</v>
      </c>
      <c r="B1164">
        <v>1</v>
      </c>
      <c r="C1164">
        <v>1</v>
      </c>
      <c r="D1164">
        <v>9</v>
      </c>
    </row>
    <row r="1165" spans="1:4" x14ac:dyDescent="0.25">
      <c r="A1165" s="1">
        <v>42438</v>
      </c>
      <c r="B1165">
        <v>1</v>
      </c>
      <c r="C1165">
        <v>1</v>
      </c>
      <c r="D1165">
        <v>18</v>
      </c>
    </row>
    <row r="1166" spans="1:4" x14ac:dyDescent="0.25">
      <c r="A1166" s="1">
        <v>42439</v>
      </c>
      <c r="B1166">
        <v>1</v>
      </c>
      <c r="C1166">
        <v>1</v>
      </c>
      <c r="D1166">
        <v>15</v>
      </c>
    </row>
    <row r="1167" spans="1:4" x14ac:dyDescent="0.25">
      <c r="A1167" s="1">
        <v>42440</v>
      </c>
      <c r="B1167">
        <v>1</v>
      </c>
      <c r="C1167">
        <v>1</v>
      </c>
      <c r="D1167">
        <v>22</v>
      </c>
    </row>
    <row r="1168" spans="1:4" x14ac:dyDescent="0.25">
      <c r="A1168" s="1">
        <v>42441</v>
      </c>
      <c r="B1168">
        <v>1</v>
      </c>
      <c r="C1168">
        <v>1</v>
      </c>
      <c r="D1168">
        <v>17</v>
      </c>
    </row>
    <row r="1169" spans="1:4" x14ac:dyDescent="0.25">
      <c r="A1169" s="1">
        <v>42442</v>
      </c>
      <c r="B1169">
        <v>1</v>
      </c>
      <c r="C1169">
        <v>1</v>
      </c>
      <c r="D1169">
        <v>23</v>
      </c>
    </row>
    <row r="1170" spans="1:4" x14ac:dyDescent="0.25">
      <c r="A1170" s="1">
        <v>42443</v>
      </c>
      <c r="B1170">
        <v>1</v>
      </c>
      <c r="C1170">
        <v>1</v>
      </c>
      <c r="D1170">
        <v>13</v>
      </c>
    </row>
    <row r="1171" spans="1:4" x14ac:dyDescent="0.25">
      <c r="A1171" s="1">
        <v>42444</v>
      </c>
      <c r="B1171">
        <v>1</v>
      </c>
      <c r="C1171">
        <v>1</v>
      </c>
      <c r="D1171">
        <v>11</v>
      </c>
    </row>
    <row r="1172" spans="1:4" x14ac:dyDescent="0.25">
      <c r="A1172" s="1">
        <v>42445</v>
      </c>
      <c r="B1172">
        <v>1</v>
      </c>
      <c r="C1172">
        <v>1</v>
      </c>
      <c r="D1172">
        <v>23</v>
      </c>
    </row>
    <row r="1173" spans="1:4" x14ac:dyDescent="0.25">
      <c r="A1173" s="1">
        <v>42446</v>
      </c>
      <c r="B1173">
        <v>1</v>
      </c>
      <c r="C1173">
        <v>1</v>
      </c>
      <c r="D1173">
        <v>19</v>
      </c>
    </row>
    <row r="1174" spans="1:4" x14ac:dyDescent="0.25">
      <c r="A1174" s="1">
        <v>42447</v>
      </c>
      <c r="B1174">
        <v>1</v>
      </c>
      <c r="C1174">
        <v>1</v>
      </c>
      <c r="D1174">
        <v>21</v>
      </c>
    </row>
    <row r="1175" spans="1:4" x14ac:dyDescent="0.25">
      <c r="A1175" s="1">
        <v>42448</v>
      </c>
      <c r="B1175">
        <v>1</v>
      </c>
      <c r="C1175">
        <v>1</v>
      </c>
      <c r="D1175">
        <v>25</v>
      </c>
    </row>
    <row r="1176" spans="1:4" x14ac:dyDescent="0.25">
      <c r="A1176" s="1">
        <v>42449</v>
      </c>
      <c r="B1176">
        <v>1</v>
      </c>
      <c r="C1176">
        <v>1</v>
      </c>
      <c r="D1176">
        <v>25</v>
      </c>
    </row>
    <row r="1177" spans="1:4" x14ac:dyDescent="0.25">
      <c r="A1177" s="1">
        <v>42450</v>
      </c>
      <c r="B1177">
        <v>1</v>
      </c>
      <c r="C1177">
        <v>1</v>
      </c>
      <c r="D1177">
        <v>22</v>
      </c>
    </row>
    <row r="1178" spans="1:4" x14ac:dyDescent="0.25">
      <c r="A1178" s="1">
        <v>42451</v>
      </c>
      <c r="B1178">
        <v>1</v>
      </c>
      <c r="C1178">
        <v>1</v>
      </c>
      <c r="D1178">
        <v>17</v>
      </c>
    </row>
    <row r="1179" spans="1:4" x14ac:dyDescent="0.25">
      <c r="A1179" s="1">
        <v>42452</v>
      </c>
      <c r="B1179">
        <v>1</v>
      </c>
      <c r="C1179">
        <v>1</v>
      </c>
      <c r="D1179">
        <v>19</v>
      </c>
    </row>
    <row r="1180" spans="1:4" x14ac:dyDescent="0.25">
      <c r="A1180" s="1">
        <v>42453</v>
      </c>
      <c r="B1180">
        <v>1</v>
      </c>
      <c r="C1180">
        <v>1</v>
      </c>
      <c r="D1180">
        <v>18</v>
      </c>
    </row>
    <row r="1181" spans="1:4" x14ac:dyDescent="0.25">
      <c r="A1181" s="1">
        <v>42454</v>
      </c>
      <c r="B1181">
        <v>1</v>
      </c>
      <c r="C1181">
        <v>1</v>
      </c>
      <c r="D1181">
        <v>27</v>
      </c>
    </row>
    <row r="1182" spans="1:4" x14ac:dyDescent="0.25">
      <c r="A1182" s="1">
        <v>42455</v>
      </c>
      <c r="B1182">
        <v>1</v>
      </c>
      <c r="C1182">
        <v>1</v>
      </c>
      <c r="D1182">
        <v>22</v>
      </c>
    </row>
    <row r="1183" spans="1:4" x14ac:dyDescent="0.25">
      <c r="A1183" s="1">
        <v>42456</v>
      </c>
      <c r="B1183">
        <v>1</v>
      </c>
      <c r="C1183">
        <v>1</v>
      </c>
      <c r="D1183">
        <v>28</v>
      </c>
    </row>
    <row r="1184" spans="1:4" x14ac:dyDescent="0.25">
      <c r="A1184" s="1">
        <v>42457</v>
      </c>
      <c r="B1184">
        <v>1</v>
      </c>
      <c r="C1184">
        <v>1</v>
      </c>
      <c r="D1184">
        <v>16</v>
      </c>
    </row>
    <row r="1185" spans="1:4" x14ac:dyDescent="0.25">
      <c r="A1185" s="1">
        <v>42458</v>
      </c>
      <c r="B1185">
        <v>1</v>
      </c>
      <c r="C1185">
        <v>1</v>
      </c>
      <c r="D1185">
        <v>22</v>
      </c>
    </row>
    <row r="1186" spans="1:4" x14ac:dyDescent="0.25">
      <c r="A1186" s="1">
        <v>42459</v>
      </c>
      <c r="B1186">
        <v>1</v>
      </c>
      <c r="C1186">
        <v>1</v>
      </c>
      <c r="D1186">
        <v>14</v>
      </c>
    </row>
    <row r="1187" spans="1:4" x14ac:dyDescent="0.25">
      <c r="A1187" s="1">
        <v>42460</v>
      </c>
      <c r="B1187">
        <v>1</v>
      </c>
      <c r="C1187">
        <v>1</v>
      </c>
      <c r="D1187">
        <v>17</v>
      </c>
    </row>
    <row r="1188" spans="1:4" x14ac:dyDescent="0.25">
      <c r="A1188" s="1">
        <v>42461</v>
      </c>
      <c r="B1188">
        <v>1</v>
      </c>
      <c r="C1188">
        <v>1</v>
      </c>
      <c r="D1188">
        <v>32</v>
      </c>
    </row>
    <row r="1189" spans="1:4" x14ac:dyDescent="0.25">
      <c r="A1189" s="1">
        <v>42462</v>
      </c>
      <c r="B1189">
        <v>1</v>
      </c>
      <c r="C1189">
        <v>1</v>
      </c>
      <c r="D1189">
        <v>24</v>
      </c>
    </row>
    <row r="1190" spans="1:4" x14ac:dyDescent="0.25">
      <c r="A1190" s="1">
        <v>42463</v>
      </c>
      <c r="B1190">
        <v>1</v>
      </c>
      <c r="C1190">
        <v>1</v>
      </c>
      <c r="D1190">
        <v>29</v>
      </c>
    </row>
    <row r="1191" spans="1:4" x14ac:dyDescent="0.25">
      <c r="A1191" s="1">
        <v>42464</v>
      </c>
      <c r="B1191">
        <v>1</v>
      </c>
      <c r="C1191">
        <v>1</v>
      </c>
      <c r="D1191">
        <v>18</v>
      </c>
    </row>
    <row r="1192" spans="1:4" x14ac:dyDescent="0.25">
      <c r="A1192" s="1">
        <v>42465</v>
      </c>
      <c r="B1192">
        <v>1</v>
      </c>
      <c r="C1192">
        <v>1</v>
      </c>
      <c r="D1192">
        <v>20</v>
      </c>
    </row>
    <row r="1193" spans="1:4" x14ac:dyDescent="0.25">
      <c r="A1193" s="1">
        <v>42466</v>
      </c>
      <c r="B1193">
        <v>1</v>
      </c>
      <c r="C1193">
        <v>1</v>
      </c>
      <c r="D1193">
        <v>25</v>
      </c>
    </row>
    <row r="1194" spans="1:4" x14ac:dyDescent="0.25">
      <c r="A1194" s="1">
        <v>42467</v>
      </c>
      <c r="B1194">
        <v>1</v>
      </c>
      <c r="C1194">
        <v>1</v>
      </c>
      <c r="D1194">
        <v>18</v>
      </c>
    </row>
    <row r="1195" spans="1:4" x14ac:dyDescent="0.25">
      <c r="A1195" s="1">
        <v>42468</v>
      </c>
      <c r="B1195">
        <v>1</v>
      </c>
      <c r="C1195">
        <v>1</v>
      </c>
      <c r="D1195">
        <v>23</v>
      </c>
    </row>
    <row r="1196" spans="1:4" x14ac:dyDescent="0.25">
      <c r="A1196" s="1">
        <v>42469</v>
      </c>
      <c r="B1196">
        <v>1</v>
      </c>
      <c r="C1196">
        <v>1</v>
      </c>
      <c r="D1196">
        <v>22</v>
      </c>
    </row>
    <row r="1197" spans="1:4" x14ac:dyDescent="0.25">
      <c r="A1197" s="1">
        <v>42470</v>
      </c>
      <c r="B1197">
        <v>1</v>
      </c>
      <c r="C1197">
        <v>1</v>
      </c>
      <c r="D1197">
        <v>36</v>
      </c>
    </row>
    <row r="1198" spans="1:4" x14ac:dyDescent="0.25">
      <c r="A1198" s="1">
        <v>42471</v>
      </c>
      <c r="B1198">
        <v>1</v>
      </c>
      <c r="C1198">
        <v>1</v>
      </c>
      <c r="D1198">
        <v>18</v>
      </c>
    </row>
    <row r="1199" spans="1:4" x14ac:dyDescent="0.25">
      <c r="A1199" s="1">
        <v>42472</v>
      </c>
      <c r="B1199">
        <v>1</v>
      </c>
      <c r="C1199">
        <v>1</v>
      </c>
      <c r="D1199">
        <v>30</v>
      </c>
    </row>
    <row r="1200" spans="1:4" x14ac:dyDescent="0.25">
      <c r="A1200" s="1">
        <v>42473</v>
      </c>
      <c r="B1200">
        <v>1</v>
      </c>
      <c r="C1200">
        <v>1</v>
      </c>
      <c r="D1200">
        <v>24</v>
      </c>
    </row>
    <row r="1201" spans="1:4" x14ac:dyDescent="0.25">
      <c r="A1201" s="1">
        <v>42474</v>
      </c>
      <c r="B1201">
        <v>1</v>
      </c>
      <c r="C1201">
        <v>1</v>
      </c>
      <c r="D1201">
        <v>22</v>
      </c>
    </row>
    <row r="1202" spans="1:4" x14ac:dyDescent="0.25">
      <c r="A1202" s="1">
        <v>42475</v>
      </c>
      <c r="B1202">
        <v>1</v>
      </c>
      <c r="C1202">
        <v>1</v>
      </c>
      <c r="D1202">
        <v>23</v>
      </c>
    </row>
    <row r="1203" spans="1:4" x14ac:dyDescent="0.25">
      <c r="A1203" s="1">
        <v>42476</v>
      </c>
      <c r="B1203">
        <v>1</v>
      </c>
      <c r="C1203">
        <v>1</v>
      </c>
      <c r="D1203">
        <v>22</v>
      </c>
    </row>
    <row r="1204" spans="1:4" x14ac:dyDescent="0.25">
      <c r="A1204" s="1">
        <v>42477</v>
      </c>
      <c r="B1204">
        <v>1</v>
      </c>
      <c r="C1204">
        <v>1</v>
      </c>
      <c r="D1204">
        <v>18</v>
      </c>
    </row>
    <row r="1205" spans="1:4" x14ac:dyDescent="0.25">
      <c r="A1205" s="1">
        <v>42478</v>
      </c>
      <c r="B1205">
        <v>1</v>
      </c>
      <c r="C1205">
        <v>1</v>
      </c>
      <c r="D1205">
        <v>23</v>
      </c>
    </row>
    <row r="1206" spans="1:4" x14ac:dyDescent="0.25">
      <c r="A1206" s="1">
        <v>42479</v>
      </c>
      <c r="B1206">
        <v>1</v>
      </c>
      <c r="C1206">
        <v>1</v>
      </c>
      <c r="D1206">
        <v>23</v>
      </c>
    </row>
    <row r="1207" spans="1:4" x14ac:dyDescent="0.25">
      <c r="A1207" s="1">
        <v>42480</v>
      </c>
      <c r="B1207">
        <v>1</v>
      </c>
      <c r="C1207">
        <v>1</v>
      </c>
      <c r="D1207">
        <v>18</v>
      </c>
    </row>
    <row r="1208" spans="1:4" x14ac:dyDescent="0.25">
      <c r="A1208" s="1">
        <v>42481</v>
      </c>
      <c r="B1208">
        <v>1</v>
      </c>
      <c r="C1208">
        <v>1</v>
      </c>
      <c r="D1208">
        <v>20</v>
      </c>
    </row>
    <row r="1209" spans="1:4" x14ac:dyDescent="0.25">
      <c r="A1209" s="1">
        <v>42482</v>
      </c>
      <c r="B1209">
        <v>1</v>
      </c>
      <c r="C1209">
        <v>1</v>
      </c>
      <c r="D1209">
        <v>22</v>
      </c>
    </row>
    <row r="1210" spans="1:4" x14ac:dyDescent="0.25">
      <c r="A1210" s="1">
        <v>42483</v>
      </c>
      <c r="B1210">
        <v>1</v>
      </c>
      <c r="C1210">
        <v>1</v>
      </c>
      <c r="D1210">
        <v>23</v>
      </c>
    </row>
    <row r="1211" spans="1:4" x14ac:dyDescent="0.25">
      <c r="A1211" s="1">
        <v>42484</v>
      </c>
      <c r="B1211">
        <v>1</v>
      </c>
      <c r="C1211">
        <v>1</v>
      </c>
      <c r="D1211">
        <v>26</v>
      </c>
    </row>
    <row r="1212" spans="1:4" x14ac:dyDescent="0.25">
      <c r="A1212" s="1">
        <v>42485</v>
      </c>
      <c r="B1212">
        <v>1</v>
      </c>
      <c r="C1212">
        <v>1</v>
      </c>
      <c r="D1212">
        <v>15</v>
      </c>
    </row>
    <row r="1213" spans="1:4" x14ac:dyDescent="0.25">
      <c r="A1213" s="1">
        <v>42486</v>
      </c>
      <c r="B1213">
        <v>1</v>
      </c>
      <c r="C1213">
        <v>1</v>
      </c>
      <c r="D1213">
        <v>20</v>
      </c>
    </row>
    <row r="1214" spans="1:4" x14ac:dyDescent="0.25">
      <c r="A1214" s="1">
        <v>42487</v>
      </c>
      <c r="B1214">
        <v>1</v>
      </c>
      <c r="C1214">
        <v>1</v>
      </c>
      <c r="D1214">
        <v>19</v>
      </c>
    </row>
    <row r="1215" spans="1:4" x14ac:dyDescent="0.25">
      <c r="A1215" s="1">
        <v>42488</v>
      </c>
      <c r="B1215">
        <v>1</v>
      </c>
      <c r="C1215">
        <v>1</v>
      </c>
      <c r="D1215">
        <v>21</v>
      </c>
    </row>
    <row r="1216" spans="1:4" x14ac:dyDescent="0.25">
      <c r="A1216" s="1">
        <v>42489</v>
      </c>
      <c r="B1216">
        <v>1</v>
      </c>
      <c r="C1216">
        <v>1</v>
      </c>
      <c r="D1216">
        <v>30</v>
      </c>
    </row>
    <row r="1217" spans="1:4" x14ac:dyDescent="0.25">
      <c r="A1217" s="1">
        <v>42490</v>
      </c>
      <c r="B1217">
        <v>1</v>
      </c>
      <c r="C1217">
        <v>1</v>
      </c>
      <c r="D1217">
        <v>30</v>
      </c>
    </row>
    <row r="1218" spans="1:4" x14ac:dyDescent="0.25">
      <c r="A1218" s="1">
        <v>42491</v>
      </c>
      <c r="B1218">
        <v>1</v>
      </c>
      <c r="C1218">
        <v>1</v>
      </c>
      <c r="D1218">
        <v>30</v>
      </c>
    </row>
    <row r="1219" spans="1:4" x14ac:dyDescent="0.25">
      <c r="A1219" s="1">
        <v>42492</v>
      </c>
      <c r="B1219">
        <v>1</v>
      </c>
      <c r="C1219">
        <v>1</v>
      </c>
      <c r="D1219">
        <v>18</v>
      </c>
    </row>
    <row r="1220" spans="1:4" x14ac:dyDescent="0.25">
      <c r="A1220" s="1">
        <v>42493</v>
      </c>
      <c r="B1220">
        <v>1</v>
      </c>
      <c r="C1220">
        <v>1</v>
      </c>
      <c r="D1220">
        <v>29</v>
      </c>
    </row>
    <row r="1221" spans="1:4" x14ac:dyDescent="0.25">
      <c r="A1221" s="1">
        <v>42494</v>
      </c>
      <c r="B1221">
        <v>1</v>
      </c>
      <c r="C1221">
        <v>1</v>
      </c>
      <c r="D1221">
        <v>24</v>
      </c>
    </row>
    <row r="1222" spans="1:4" x14ac:dyDescent="0.25">
      <c r="A1222" s="1">
        <v>42495</v>
      </c>
      <c r="B1222">
        <v>1</v>
      </c>
      <c r="C1222">
        <v>1</v>
      </c>
      <c r="D1222">
        <v>17</v>
      </c>
    </row>
    <row r="1223" spans="1:4" x14ac:dyDescent="0.25">
      <c r="A1223" s="1">
        <v>42496</v>
      </c>
      <c r="B1223">
        <v>1</v>
      </c>
      <c r="C1223">
        <v>1</v>
      </c>
      <c r="D1223">
        <v>23</v>
      </c>
    </row>
    <row r="1224" spans="1:4" x14ac:dyDescent="0.25">
      <c r="A1224" s="1">
        <v>42497</v>
      </c>
      <c r="B1224">
        <v>1</v>
      </c>
      <c r="C1224">
        <v>1</v>
      </c>
      <c r="D1224">
        <v>23</v>
      </c>
    </row>
    <row r="1225" spans="1:4" x14ac:dyDescent="0.25">
      <c r="A1225" s="1">
        <v>42498</v>
      </c>
      <c r="B1225">
        <v>1</v>
      </c>
      <c r="C1225">
        <v>1</v>
      </c>
      <c r="D1225">
        <v>26</v>
      </c>
    </row>
    <row r="1226" spans="1:4" x14ac:dyDescent="0.25">
      <c r="A1226" s="1">
        <v>42499</v>
      </c>
      <c r="B1226">
        <v>1</v>
      </c>
      <c r="C1226">
        <v>1</v>
      </c>
      <c r="D1226">
        <v>18</v>
      </c>
    </row>
    <row r="1227" spans="1:4" x14ac:dyDescent="0.25">
      <c r="A1227" s="1">
        <v>42500</v>
      </c>
      <c r="B1227">
        <v>1</v>
      </c>
      <c r="C1227">
        <v>1</v>
      </c>
      <c r="D1227">
        <v>29</v>
      </c>
    </row>
    <row r="1228" spans="1:4" x14ac:dyDescent="0.25">
      <c r="A1228" s="1">
        <v>42501</v>
      </c>
      <c r="B1228">
        <v>1</v>
      </c>
      <c r="C1228">
        <v>1</v>
      </c>
      <c r="D1228">
        <v>21</v>
      </c>
    </row>
    <row r="1229" spans="1:4" x14ac:dyDescent="0.25">
      <c r="A1229" s="1">
        <v>42502</v>
      </c>
      <c r="B1229">
        <v>1</v>
      </c>
      <c r="C1229">
        <v>1</v>
      </c>
      <c r="D1229">
        <v>19</v>
      </c>
    </row>
    <row r="1230" spans="1:4" x14ac:dyDescent="0.25">
      <c r="A1230" s="1">
        <v>42503</v>
      </c>
      <c r="B1230">
        <v>1</v>
      </c>
      <c r="C1230">
        <v>1</v>
      </c>
      <c r="D1230">
        <v>26</v>
      </c>
    </row>
    <row r="1231" spans="1:4" x14ac:dyDescent="0.25">
      <c r="A1231" s="1">
        <v>42504</v>
      </c>
      <c r="B1231">
        <v>1</v>
      </c>
      <c r="C1231">
        <v>1</v>
      </c>
      <c r="D1231">
        <v>30</v>
      </c>
    </row>
    <row r="1232" spans="1:4" x14ac:dyDescent="0.25">
      <c r="A1232" s="1">
        <v>42505</v>
      </c>
      <c r="B1232">
        <v>1</v>
      </c>
      <c r="C1232">
        <v>1</v>
      </c>
      <c r="D1232">
        <v>39</v>
      </c>
    </row>
    <row r="1233" spans="1:4" x14ac:dyDescent="0.25">
      <c r="A1233" s="1">
        <v>42506</v>
      </c>
      <c r="B1233">
        <v>1</v>
      </c>
      <c r="C1233">
        <v>1</v>
      </c>
      <c r="D1233">
        <v>13</v>
      </c>
    </row>
    <row r="1234" spans="1:4" x14ac:dyDescent="0.25">
      <c r="A1234" s="1">
        <v>42507</v>
      </c>
      <c r="B1234">
        <v>1</v>
      </c>
      <c r="C1234">
        <v>1</v>
      </c>
      <c r="D1234">
        <v>25</v>
      </c>
    </row>
    <row r="1235" spans="1:4" x14ac:dyDescent="0.25">
      <c r="A1235" s="1">
        <v>42508</v>
      </c>
      <c r="B1235">
        <v>1</v>
      </c>
      <c r="C1235">
        <v>1</v>
      </c>
      <c r="D1235">
        <v>33</v>
      </c>
    </row>
    <row r="1236" spans="1:4" x14ac:dyDescent="0.25">
      <c r="A1236" s="1">
        <v>42509</v>
      </c>
      <c r="B1236">
        <v>1</v>
      </c>
      <c r="C1236">
        <v>1</v>
      </c>
      <c r="D1236">
        <v>26</v>
      </c>
    </row>
    <row r="1237" spans="1:4" x14ac:dyDescent="0.25">
      <c r="A1237" s="1">
        <v>42510</v>
      </c>
      <c r="B1237">
        <v>1</v>
      </c>
      <c r="C1237">
        <v>1</v>
      </c>
      <c r="D1237">
        <v>28</v>
      </c>
    </row>
    <row r="1238" spans="1:4" x14ac:dyDescent="0.25">
      <c r="A1238" s="1">
        <v>42511</v>
      </c>
      <c r="B1238">
        <v>1</v>
      </c>
      <c r="C1238">
        <v>1</v>
      </c>
      <c r="D1238">
        <v>35</v>
      </c>
    </row>
    <row r="1239" spans="1:4" x14ac:dyDescent="0.25">
      <c r="A1239" s="1">
        <v>42512</v>
      </c>
      <c r="B1239">
        <v>1</v>
      </c>
      <c r="C1239">
        <v>1</v>
      </c>
      <c r="D1239">
        <v>32</v>
      </c>
    </row>
    <row r="1240" spans="1:4" x14ac:dyDescent="0.25">
      <c r="A1240" s="1">
        <v>42513</v>
      </c>
      <c r="B1240">
        <v>1</v>
      </c>
      <c r="C1240">
        <v>1</v>
      </c>
      <c r="D1240">
        <v>22</v>
      </c>
    </row>
    <row r="1241" spans="1:4" x14ac:dyDescent="0.25">
      <c r="A1241" s="1">
        <v>42514</v>
      </c>
      <c r="B1241">
        <v>1</v>
      </c>
      <c r="C1241">
        <v>1</v>
      </c>
      <c r="D1241">
        <v>26</v>
      </c>
    </row>
    <row r="1242" spans="1:4" x14ac:dyDescent="0.25">
      <c r="A1242" s="1">
        <v>42515</v>
      </c>
      <c r="B1242">
        <v>1</v>
      </c>
      <c r="C1242">
        <v>1</v>
      </c>
      <c r="D1242">
        <v>29</v>
      </c>
    </row>
    <row r="1243" spans="1:4" x14ac:dyDescent="0.25">
      <c r="A1243" s="1">
        <v>42516</v>
      </c>
      <c r="B1243">
        <v>1</v>
      </c>
      <c r="C1243">
        <v>1</v>
      </c>
      <c r="D1243">
        <v>17</v>
      </c>
    </row>
    <row r="1244" spans="1:4" x14ac:dyDescent="0.25">
      <c r="A1244" s="1">
        <v>42517</v>
      </c>
      <c r="B1244">
        <v>1</v>
      </c>
      <c r="C1244">
        <v>1</v>
      </c>
      <c r="D1244">
        <v>26</v>
      </c>
    </row>
    <row r="1245" spans="1:4" x14ac:dyDescent="0.25">
      <c r="A1245" s="1">
        <v>42518</v>
      </c>
      <c r="B1245">
        <v>1</v>
      </c>
      <c r="C1245">
        <v>1</v>
      </c>
      <c r="D1245">
        <v>33</v>
      </c>
    </row>
    <row r="1246" spans="1:4" x14ac:dyDescent="0.25">
      <c r="A1246" s="1">
        <v>42519</v>
      </c>
      <c r="B1246">
        <v>1</v>
      </c>
      <c r="C1246">
        <v>1</v>
      </c>
      <c r="D1246">
        <v>29</v>
      </c>
    </row>
    <row r="1247" spans="1:4" x14ac:dyDescent="0.25">
      <c r="A1247" s="1">
        <v>42520</v>
      </c>
      <c r="B1247">
        <v>1</v>
      </c>
      <c r="C1247">
        <v>1</v>
      </c>
      <c r="D1247">
        <v>18</v>
      </c>
    </row>
    <row r="1248" spans="1:4" x14ac:dyDescent="0.25">
      <c r="A1248" s="1">
        <v>42521</v>
      </c>
      <c r="B1248">
        <v>1</v>
      </c>
      <c r="C1248">
        <v>1</v>
      </c>
      <c r="D1248">
        <v>18</v>
      </c>
    </row>
    <row r="1249" spans="1:4" x14ac:dyDescent="0.25">
      <c r="A1249" s="1">
        <v>42522</v>
      </c>
      <c r="B1249">
        <v>1</v>
      </c>
      <c r="C1249">
        <v>1</v>
      </c>
      <c r="D1249">
        <v>24</v>
      </c>
    </row>
    <row r="1250" spans="1:4" x14ac:dyDescent="0.25">
      <c r="A1250" s="1">
        <v>42523</v>
      </c>
      <c r="B1250">
        <v>1</v>
      </c>
      <c r="C1250">
        <v>1</v>
      </c>
      <c r="D1250">
        <v>25</v>
      </c>
    </row>
    <row r="1251" spans="1:4" x14ac:dyDescent="0.25">
      <c r="A1251" s="1">
        <v>42524</v>
      </c>
      <c r="B1251">
        <v>1</v>
      </c>
      <c r="C1251">
        <v>1</v>
      </c>
      <c r="D1251">
        <v>38</v>
      </c>
    </row>
    <row r="1252" spans="1:4" x14ac:dyDescent="0.25">
      <c r="A1252" s="1">
        <v>42525</v>
      </c>
      <c r="B1252">
        <v>1</v>
      </c>
      <c r="C1252">
        <v>1</v>
      </c>
      <c r="D1252">
        <v>28</v>
      </c>
    </row>
    <row r="1253" spans="1:4" x14ac:dyDescent="0.25">
      <c r="A1253" s="1">
        <v>42526</v>
      </c>
      <c r="B1253">
        <v>1</v>
      </c>
      <c r="C1253">
        <v>1</v>
      </c>
      <c r="D1253">
        <v>35</v>
      </c>
    </row>
    <row r="1254" spans="1:4" x14ac:dyDescent="0.25">
      <c r="A1254" s="1">
        <v>42527</v>
      </c>
      <c r="B1254">
        <v>1</v>
      </c>
      <c r="C1254">
        <v>1</v>
      </c>
      <c r="D1254">
        <v>23</v>
      </c>
    </row>
    <row r="1255" spans="1:4" x14ac:dyDescent="0.25">
      <c r="A1255" s="1">
        <v>42528</v>
      </c>
      <c r="B1255">
        <v>1</v>
      </c>
      <c r="C1255">
        <v>1</v>
      </c>
      <c r="D1255">
        <v>22</v>
      </c>
    </row>
    <row r="1256" spans="1:4" x14ac:dyDescent="0.25">
      <c r="A1256" s="1">
        <v>42529</v>
      </c>
      <c r="B1256">
        <v>1</v>
      </c>
      <c r="C1256">
        <v>1</v>
      </c>
      <c r="D1256">
        <v>22</v>
      </c>
    </row>
    <row r="1257" spans="1:4" x14ac:dyDescent="0.25">
      <c r="A1257" s="1">
        <v>42530</v>
      </c>
      <c r="B1257">
        <v>1</v>
      </c>
      <c r="C1257">
        <v>1</v>
      </c>
      <c r="D1257">
        <v>24</v>
      </c>
    </row>
    <row r="1258" spans="1:4" x14ac:dyDescent="0.25">
      <c r="A1258" s="1">
        <v>42531</v>
      </c>
      <c r="B1258">
        <v>1</v>
      </c>
      <c r="C1258">
        <v>1</v>
      </c>
      <c r="D1258">
        <v>34</v>
      </c>
    </row>
    <row r="1259" spans="1:4" x14ac:dyDescent="0.25">
      <c r="A1259" s="1">
        <v>42532</v>
      </c>
      <c r="B1259">
        <v>1</v>
      </c>
      <c r="C1259">
        <v>1</v>
      </c>
      <c r="D1259">
        <v>31</v>
      </c>
    </row>
    <row r="1260" spans="1:4" x14ac:dyDescent="0.25">
      <c r="A1260" s="1">
        <v>42533</v>
      </c>
      <c r="B1260">
        <v>1</v>
      </c>
      <c r="C1260">
        <v>1</v>
      </c>
      <c r="D1260">
        <v>22</v>
      </c>
    </row>
    <row r="1261" spans="1:4" x14ac:dyDescent="0.25">
      <c r="A1261" s="1">
        <v>42534</v>
      </c>
      <c r="B1261">
        <v>1</v>
      </c>
      <c r="C1261">
        <v>1</v>
      </c>
      <c r="D1261">
        <v>22</v>
      </c>
    </row>
    <row r="1262" spans="1:4" x14ac:dyDescent="0.25">
      <c r="A1262" s="1">
        <v>42535</v>
      </c>
      <c r="B1262">
        <v>1</v>
      </c>
      <c r="C1262">
        <v>1</v>
      </c>
      <c r="D1262">
        <v>25</v>
      </c>
    </row>
    <row r="1263" spans="1:4" x14ac:dyDescent="0.25">
      <c r="A1263" s="1">
        <v>42536</v>
      </c>
      <c r="B1263">
        <v>1</v>
      </c>
      <c r="C1263">
        <v>1</v>
      </c>
      <c r="D1263">
        <v>22</v>
      </c>
    </row>
    <row r="1264" spans="1:4" x14ac:dyDescent="0.25">
      <c r="A1264" s="1">
        <v>42537</v>
      </c>
      <c r="B1264">
        <v>1</v>
      </c>
      <c r="C1264">
        <v>1</v>
      </c>
      <c r="D1264">
        <v>30</v>
      </c>
    </row>
    <row r="1265" spans="1:4" x14ac:dyDescent="0.25">
      <c r="A1265" s="1">
        <v>42538</v>
      </c>
      <c r="B1265">
        <v>1</v>
      </c>
      <c r="C1265">
        <v>1</v>
      </c>
      <c r="D1265">
        <v>22</v>
      </c>
    </row>
    <row r="1266" spans="1:4" x14ac:dyDescent="0.25">
      <c r="A1266" s="1">
        <v>42539</v>
      </c>
      <c r="B1266">
        <v>1</v>
      </c>
      <c r="C1266">
        <v>1</v>
      </c>
      <c r="D1266">
        <v>27</v>
      </c>
    </row>
    <row r="1267" spans="1:4" x14ac:dyDescent="0.25">
      <c r="A1267" s="1">
        <v>42540</v>
      </c>
      <c r="B1267">
        <v>1</v>
      </c>
      <c r="C1267">
        <v>1</v>
      </c>
      <c r="D1267">
        <v>28</v>
      </c>
    </row>
    <row r="1268" spans="1:4" x14ac:dyDescent="0.25">
      <c r="A1268" s="1">
        <v>42541</v>
      </c>
      <c r="B1268">
        <v>1</v>
      </c>
      <c r="C1268">
        <v>1</v>
      </c>
      <c r="D1268">
        <v>15</v>
      </c>
    </row>
    <row r="1269" spans="1:4" x14ac:dyDescent="0.25">
      <c r="A1269" s="1">
        <v>42542</v>
      </c>
      <c r="B1269">
        <v>1</v>
      </c>
      <c r="C1269">
        <v>1</v>
      </c>
      <c r="D1269">
        <v>25</v>
      </c>
    </row>
    <row r="1270" spans="1:4" x14ac:dyDescent="0.25">
      <c r="A1270" s="1">
        <v>42543</v>
      </c>
      <c r="B1270">
        <v>1</v>
      </c>
      <c r="C1270">
        <v>1</v>
      </c>
      <c r="D1270">
        <v>25</v>
      </c>
    </row>
    <row r="1271" spans="1:4" x14ac:dyDescent="0.25">
      <c r="A1271" s="1">
        <v>42544</v>
      </c>
      <c r="B1271">
        <v>1</v>
      </c>
      <c r="C1271">
        <v>1</v>
      </c>
      <c r="D1271">
        <v>23</v>
      </c>
    </row>
    <row r="1272" spans="1:4" x14ac:dyDescent="0.25">
      <c r="A1272" s="1">
        <v>42545</v>
      </c>
      <c r="B1272">
        <v>1</v>
      </c>
      <c r="C1272">
        <v>1</v>
      </c>
      <c r="D1272">
        <v>31</v>
      </c>
    </row>
    <row r="1273" spans="1:4" x14ac:dyDescent="0.25">
      <c r="A1273" s="1">
        <v>42546</v>
      </c>
      <c r="B1273">
        <v>1</v>
      </c>
      <c r="C1273">
        <v>1</v>
      </c>
      <c r="D1273">
        <v>31</v>
      </c>
    </row>
    <row r="1274" spans="1:4" x14ac:dyDescent="0.25">
      <c r="A1274" s="1">
        <v>42547</v>
      </c>
      <c r="B1274">
        <v>1</v>
      </c>
      <c r="C1274">
        <v>1</v>
      </c>
      <c r="D1274">
        <v>32</v>
      </c>
    </row>
    <row r="1275" spans="1:4" x14ac:dyDescent="0.25">
      <c r="A1275" s="1">
        <v>42548</v>
      </c>
      <c r="B1275">
        <v>1</v>
      </c>
      <c r="C1275">
        <v>1</v>
      </c>
      <c r="D1275">
        <v>26</v>
      </c>
    </row>
    <row r="1276" spans="1:4" x14ac:dyDescent="0.25">
      <c r="A1276" s="1">
        <v>42549</v>
      </c>
      <c r="B1276">
        <v>1</v>
      </c>
      <c r="C1276">
        <v>1</v>
      </c>
      <c r="D1276">
        <v>28</v>
      </c>
    </row>
    <row r="1277" spans="1:4" x14ac:dyDescent="0.25">
      <c r="A1277" s="1">
        <v>42550</v>
      </c>
      <c r="B1277">
        <v>1</v>
      </c>
      <c r="C1277">
        <v>1</v>
      </c>
      <c r="D1277">
        <v>25</v>
      </c>
    </row>
    <row r="1278" spans="1:4" x14ac:dyDescent="0.25">
      <c r="A1278" s="1">
        <v>42551</v>
      </c>
      <c r="B1278">
        <v>1</v>
      </c>
      <c r="C1278">
        <v>1</v>
      </c>
      <c r="D1278">
        <v>25</v>
      </c>
    </row>
    <row r="1279" spans="1:4" x14ac:dyDescent="0.25">
      <c r="A1279" s="1">
        <v>42552</v>
      </c>
      <c r="B1279">
        <v>1</v>
      </c>
      <c r="C1279">
        <v>1</v>
      </c>
      <c r="D1279">
        <v>42</v>
      </c>
    </row>
    <row r="1280" spans="1:4" x14ac:dyDescent="0.25">
      <c r="A1280" s="1">
        <v>42553</v>
      </c>
      <c r="B1280">
        <v>1</v>
      </c>
      <c r="C1280">
        <v>1</v>
      </c>
      <c r="D1280">
        <v>32</v>
      </c>
    </row>
    <row r="1281" spans="1:4" x14ac:dyDescent="0.25">
      <c r="A1281" s="1">
        <v>42554</v>
      </c>
      <c r="B1281">
        <v>1</v>
      </c>
      <c r="C1281">
        <v>1</v>
      </c>
      <c r="D1281">
        <v>35</v>
      </c>
    </row>
    <row r="1282" spans="1:4" x14ac:dyDescent="0.25">
      <c r="A1282" s="1">
        <v>42555</v>
      </c>
      <c r="B1282">
        <v>1</v>
      </c>
      <c r="C1282">
        <v>1</v>
      </c>
      <c r="D1282">
        <v>18</v>
      </c>
    </row>
    <row r="1283" spans="1:4" x14ac:dyDescent="0.25">
      <c r="A1283" s="1">
        <v>42556</v>
      </c>
      <c r="B1283">
        <v>1</v>
      </c>
      <c r="C1283">
        <v>1</v>
      </c>
      <c r="D1283">
        <v>31</v>
      </c>
    </row>
    <row r="1284" spans="1:4" x14ac:dyDescent="0.25">
      <c r="A1284" s="1">
        <v>42557</v>
      </c>
      <c r="B1284">
        <v>1</v>
      </c>
      <c r="C1284">
        <v>1</v>
      </c>
      <c r="D1284">
        <v>22</v>
      </c>
    </row>
    <row r="1285" spans="1:4" x14ac:dyDescent="0.25">
      <c r="A1285" s="1">
        <v>42558</v>
      </c>
      <c r="B1285">
        <v>1</v>
      </c>
      <c r="C1285">
        <v>1</v>
      </c>
      <c r="D1285">
        <v>33</v>
      </c>
    </row>
    <row r="1286" spans="1:4" x14ac:dyDescent="0.25">
      <c r="A1286" s="1">
        <v>42559</v>
      </c>
      <c r="B1286">
        <v>1</v>
      </c>
      <c r="C1286">
        <v>1</v>
      </c>
      <c r="D1286">
        <v>34</v>
      </c>
    </row>
    <row r="1287" spans="1:4" x14ac:dyDescent="0.25">
      <c r="A1287" s="1">
        <v>42560</v>
      </c>
      <c r="B1287">
        <v>1</v>
      </c>
      <c r="C1287">
        <v>1</v>
      </c>
      <c r="D1287">
        <v>35</v>
      </c>
    </row>
    <row r="1288" spans="1:4" x14ac:dyDescent="0.25">
      <c r="A1288" s="1">
        <v>42561</v>
      </c>
      <c r="B1288">
        <v>1</v>
      </c>
      <c r="C1288">
        <v>1</v>
      </c>
      <c r="D1288">
        <v>28</v>
      </c>
    </row>
    <row r="1289" spans="1:4" x14ac:dyDescent="0.25">
      <c r="A1289" s="1">
        <v>42562</v>
      </c>
      <c r="B1289">
        <v>1</v>
      </c>
      <c r="C1289">
        <v>1</v>
      </c>
      <c r="D1289">
        <v>18</v>
      </c>
    </row>
    <row r="1290" spans="1:4" x14ac:dyDescent="0.25">
      <c r="A1290" s="1">
        <v>42563</v>
      </c>
      <c r="B1290">
        <v>1</v>
      </c>
      <c r="C1290">
        <v>1</v>
      </c>
      <c r="D1290">
        <v>27</v>
      </c>
    </row>
    <row r="1291" spans="1:4" x14ac:dyDescent="0.25">
      <c r="A1291" s="1">
        <v>42564</v>
      </c>
      <c r="B1291">
        <v>1</v>
      </c>
      <c r="C1291">
        <v>1</v>
      </c>
      <c r="D1291">
        <v>30</v>
      </c>
    </row>
    <row r="1292" spans="1:4" x14ac:dyDescent="0.25">
      <c r="A1292" s="1">
        <v>42565</v>
      </c>
      <c r="B1292">
        <v>1</v>
      </c>
      <c r="C1292">
        <v>1</v>
      </c>
      <c r="D1292">
        <v>22</v>
      </c>
    </row>
    <row r="1293" spans="1:4" x14ac:dyDescent="0.25">
      <c r="A1293" s="1">
        <v>42566</v>
      </c>
      <c r="B1293">
        <v>1</v>
      </c>
      <c r="C1293">
        <v>1</v>
      </c>
      <c r="D1293">
        <v>33</v>
      </c>
    </row>
    <row r="1294" spans="1:4" x14ac:dyDescent="0.25">
      <c r="A1294" s="1">
        <v>42567</v>
      </c>
      <c r="B1294">
        <v>1</v>
      </c>
      <c r="C1294">
        <v>1</v>
      </c>
      <c r="D1294">
        <v>34</v>
      </c>
    </row>
    <row r="1295" spans="1:4" x14ac:dyDescent="0.25">
      <c r="A1295" s="1">
        <v>42568</v>
      </c>
      <c r="B1295">
        <v>1</v>
      </c>
      <c r="C1295">
        <v>1</v>
      </c>
      <c r="D1295">
        <v>37</v>
      </c>
    </row>
    <row r="1296" spans="1:4" x14ac:dyDescent="0.25">
      <c r="A1296" s="1">
        <v>42569</v>
      </c>
      <c r="B1296">
        <v>1</v>
      </c>
      <c r="C1296">
        <v>1</v>
      </c>
      <c r="D1296">
        <v>24</v>
      </c>
    </row>
    <row r="1297" spans="1:4" x14ac:dyDescent="0.25">
      <c r="A1297" s="1">
        <v>42570</v>
      </c>
      <c r="B1297">
        <v>1</v>
      </c>
      <c r="C1297">
        <v>1</v>
      </c>
      <c r="D1297">
        <v>25</v>
      </c>
    </row>
    <row r="1298" spans="1:4" x14ac:dyDescent="0.25">
      <c r="A1298" s="1">
        <v>42571</v>
      </c>
      <c r="B1298">
        <v>1</v>
      </c>
      <c r="C1298">
        <v>1</v>
      </c>
      <c r="D1298">
        <v>22</v>
      </c>
    </row>
    <row r="1299" spans="1:4" x14ac:dyDescent="0.25">
      <c r="A1299" s="1">
        <v>42572</v>
      </c>
      <c r="B1299">
        <v>1</v>
      </c>
      <c r="C1299">
        <v>1</v>
      </c>
      <c r="D1299">
        <v>34</v>
      </c>
    </row>
    <row r="1300" spans="1:4" x14ac:dyDescent="0.25">
      <c r="A1300" s="1">
        <v>42573</v>
      </c>
      <c r="B1300">
        <v>1</v>
      </c>
      <c r="C1300">
        <v>1</v>
      </c>
      <c r="D1300">
        <v>26</v>
      </c>
    </row>
    <row r="1301" spans="1:4" x14ac:dyDescent="0.25">
      <c r="A1301" s="1">
        <v>42574</v>
      </c>
      <c r="B1301">
        <v>1</v>
      </c>
      <c r="C1301">
        <v>1</v>
      </c>
      <c r="D1301">
        <v>34</v>
      </c>
    </row>
    <row r="1302" spans="1:4" x14ac:dyDescent="0.25">
      <c r="A1302" s="1">
        <v>42575</v>
      </c>
      <c r="B1302">
        <v>1</v>
      </c>
      <c r="C1302">
        <v>1</v>
      </c>
      <c r="D1302">
        <v>25</v>
      </c>
    </row>
    <row r="1303" spans="1:4" x14ac:dyDescent="0.25">
      <c r="A1303" s="1">
        <v>42576</v>
      </c>
      <c r="B1303">
        <v>1</v>
      </c>
      <c r="C1303">
        <v>1</v>
      </c>
      <c r="D1303">
        <v>21</v>
      </c>
    </row>
    <row r="1304" spans="1:4" x14ac:dyDescent="0.25">
      <c r="A1304" s="1">
        <v>42577</v>
      </c>
      <c r="B1304">
        <v>1</v>
      </c>
      <c r="C1304">
        <v>1</v>
      </c>
      <c r="D1304">
        <v>24</v>
      </c>
    </row>
    <row r="1305" spans="1:4" x14ac:dyDescent="0.25">
      <c r="A1305" s="1">
        <v>42578</v>
      </c>
      <c r="B1305">
        <v>1</v>
      </c>
      <c r="C1305">
        <v>1</v>
      </c>
      <c r="D1305">
        <v>28</v>
      </c>
    </row>
    <row r="1306" spans="1:4" x14ac:dyDescent="0.25">
      <c r="A1306" s="1">
        <v>42579</v>
      </c>
      <c r="B1306">
        <v>1</v>
      </c>
      <c r="C1306">
        <v>1</v>
      </c>
      <c r="D1306">
        <v>30</v>
      </c>
    </row>
    <row r="1307" spans="1:4" x14ac:dyDescent="0.25">
      <c r="A1307" s="1">
        <v>42580</v>
      </c>
      <c r="B1307">
        <v>1</v>
      </c>
      <c r="C1307">
        <v>1</v>
      </c>
      <c r="D1307">
        <v>30</v>
      </c>
    </row>
    <row r="1308" spans="1:4" x14ac:dyDescent="0.25">
      <c r="A1308" s="1">
        <v>42581</v>
      </c>
      <c r="B1308">
        <v>1</v>
      </c>
      <c r="C1308">
        <v>1</v>
      </c>
      <c r="D1308">
        <v>38</v>
      </c>
    </row>
    <row r="1309" spans="1:4" x14ac:dyDescent="0.25">
      <c r="A1309" s="1">
        <v>42582</v>
      </c>
      <c r="B1309">
        <v>1</v>
      </c>
      <c r="C1309">
        <v>1</v>
      </c>
      <c r="D1309">
        <v>31</v>
      </c>
    </row>
    <row r="1310" spans="1:4" x14ac:dyDescent="0.25">
      <c r="A1310" s="1">
        <v>42583</v>
      </c>
      <c r="B1310">
        <v>1</v>
      </c>
      <c r="C1310">
        <v>1</v>
      </c>
      <c r="D1310">
        <v>21</v>
      </c>
    </row>
    <row r="1311" spans="1:4" x14ac:dyDescent="0.25">
      <c r="A1311" s="1">
        <v>42584</v>
      </c>
      <c r="B1311">
        <v>1</v>
      </c>
      <c r="C1311">
        <v>1</v>
      </c>
      <c r="D1311">
        <v>22</v>
      </c>
    </row>
    <row r="1312" spans="1:4" x14ac:dyDescent="0.25">
      <c r="A1312" s="1">
        <v>42585</v>
      </c>
      <c r="B1312">
        <v>1</v>
      </c>
      <c r="C1312">
        <v>1</v>
      </c>
      <c r="D1312">
        <v>28</v>
      </c>
    </row>
    <row r="1313" spans="1:4" x14ac:dyDescent="0.25">
      <c r="A1313" s="1">
        <v>42586</v>
      </c>
      <c r="B1313">
        <v>1</v>
      </c>
      <c r="C1313">
        <v>1</v>
      </c>
      <c r="D1313">
        <v>34</v>
      </c>
    </row>
    <row r="1314" spans="1:4" x14ac:dyDescent="0.25">
      <c r="A1314" s="1">
        <v>42587</v>
      </c>
      <c r="B1314">
        <v>1</v>
      </c>
      <c r="C1314">
        <v>1</v>
      </c>
      <c r="D1314">
        <v>24</v>
      </c>
    </row>
    <row r="1315" spans="1:4" x14ac:dyDescent="0.25">
      <c r="A1315" s="1">
        <v>42588</v>
      </c>
      <c r="B1315">
        <v>1</v>
      </c>
      <c r="C1315">
        <v>1</v>
      </c>
      <c r="D1315">
        <v>20</v>
      </c>
    </row>
    <row r="1316" spans="1:4" x14ac:dyDescent="0.25">
      <c r="A1316" s="1">
        <v>42589</v>
      </c>
      <c r="B1316">
        <v>1</v>
      </c>
      <c r="C1316">
        <v>1</v>
      </c>
      <c r="D1316">
        <v>31</v>
      </c>
    </row>
    <row r="1317" spans="1:4" x14ac:dyDescent="0.25">
      <c r="A1317" s="1">
        <v>42590</v>
      </c>
      <c r="B1317">
        <v>1</v>
      </c>
      <c r="C1317">
        <v>1</v>
      </c>
      <c r="D1317">
        <v>11</v>
      </c>
    </row>
    <row r="1318" spans="1:4" x14ac:dyDescent="0.25">
      <c r="A1318" s="1">
        <v>42591</v>
      </c>
      <c r="B1318">
        <v>1</v>
      </c>
      <c r="C1318">
        <v>1</v>
      </c>
      <c r="D1318">
        <v>26</v>
      </c>
    </row>
    <row r="1319" spans="1:4" x14ac:dyDescent="0.25">
      <c r="A1319" s="1">
        <v>42592</v>
      </c>
      <c r="B1319">
        <v>1</v>
      </c>
      <c r="C1319">
        <v>1</v>
      </c>
      <c r="D1319">
        <v>21</v>
      </c>
    </row>
    <row r="1320" spans="1:4" x14ac:dyDescent="0.25">
      <c r="A1320" s="1">
        <v>42593</v>
      </c>
      <c r="B1320">
        <v>1</v>
      </c>
      <c r="C1320">
        <v>1</v>
      </c>
      <c r="D1320">
        <v>23</v>
      </c>
    </row>
    <row r="1321" spans="1:4" x14ac:dyDescent="0.25">
      <c r="A1321" s="1">
        <v>42594</v>
      </c>
      <c r="B1321">
        <v>1</v>
      </c>
      <c r="C1321">
        <v>1</v>
      </c>
      <c r="D1321">
        <v>16</v>
      </c>
    </row>
    <row r="1322" spans="1:4" x14ac:dyDescent="0.25">
      <c r="A1322" s="1">
        <v>42595</v>
      </c>
      <c r="B1322">
        <v>1</v>
      </c>
      <c r="C1322">
        <v>1</v>
      </c>
      <c r="D1322">
        <v>27</v>
      </c>
    </row>
    <row r="1323" spans="1:4" x14ac:dyDescent="0.25">
      <c r="A1323" s="1">
        <v>42596</v>
      </c>
      <c r="B1323">
        <v>1</v>
      </c>
      <c r="C1323">
        <v>1</v>
      </c>
      <c r="D1323">
        <v>36</v>
      </c>
    </row>
    <row r="1324" spans="1:4" x14ac:dyDescent="0.25">
      <c r="A1324" s="1">
        <v>42597</v>
      </c>
      <c r="B1324">
        <v>1</v>
      </c>
      <c r="C1324">
        <v>1</v>
      </c>
      <c r="D1324">
        <v>24</v>
      </c>
    </row>
    <row r="1325" spans="1:4" x14ac:dyDescent="0.25">
      <c r="A1325" s="1">
        <v>42598</v>
      </c>
      <c r="B1325">
        <v>1</v>
      </c>
      <c r="C1325">
        <v>1</v>
      </c>
      <c r="D1325">
        <v>15</v>
      </c>
    </row>
    <row r="1326" spans="1:4" x14ac:dyDescent="0.25">
      <c r="A1326" s="1">
        <v>42599</v>
      </c>
      <c r="B1326">
        <v>1</v>
      </c>
      <c r="C1326">
        <v>1</v>
      </c>
      <c r="D1326">
        <v>25</v>
      </c>
    </row>
    <row r="1327" spans="1:4" x14ac:dyDescent="0.25">
      <c r="A1327" s="1">
        <v>42600</v>
      </c>
      <c r="B1327">
        <v>1</v>
      </c>
      <c r="C1327">
        <v>1</v>
      </c>
      <c r="D1327">
        <v>26</v>
      </c>
    </row>
    <row r="1328" spans="1:4" x14ac:dyDescent="0.25">
      <c r="A1328" s="1">
        <v>42601</v>
      </c>
      <c r="B1328">
        <v>1</v>
      </c>
      <c r="C1328">
        <v>1</v>
      </c>
      <c r="D1328">
        <v>29</v>
      </c>
    </row>
    <row r="1329" spans="1:4" x14ac:dyDescent="0.25">
      <c r="A1329" s="1">
        <v>42602</v>
      </c>
      <c r="B1329">
        <v>1</v>
      </c>
      <c r="C1329">
        <v>1</v>
      </c>
      <c r="D1329">
        <v>30</v>
      </c>
    </row>
    <row r="1330" spans="1:4" x14ac:dyDescent="0.25">
      <c r="A1330" s="1">
        <v>42603</v>
      </c>
      <c r="B1330">
        <v>1</v>
      </c>
      <c r="C1330">
        <v>1</v>
      </c>
      <c r="D1330">
        <v>22</v>
      </c>
    </row>
    <row r="1331" spans="1:4" x14ac:dyDescent="0.25">
      <c r="A1331" s="1">
        <v>42604</v>
      </c>
      <c r="B1331">
        <v>1</v>
      </c>
      <c r="C1331">
        <v>1</v>
      </c>
      <c r="D1331">
        <v>15</v>
      </c>
    </row>
    <row r="1332" spans="1:4" x14ac:dyDescent="0.25">
      <c r="A1332" s="1">
        <v>42605</v>
      </c>
      <c r="B1332">
        <v>1</v>
      </c>
      <c r="C1332">
        <v>1</v>
      </c>
      <c r="D1332">
        <v>24</v>
      </c>
    </row>
    <row r="1333" spans="1:4" x14ac:dyDescent="0.25">
      <c r="A1333" s="1">
        <v>42606</v>
      </c>
      <c r="B1333">
        <v>1</v>
      </c>
      <c r="C1333">
        <v>1</v>
      </c>
      <c r="D1333">
        <v>32</v>
      </c>
    </row>
    <row r="1334" spans="1:4" x14ac:dyDescent="0.25">
      <c r="A1334" s="1">
        <v>42607</v>
      </c>
      <c r="B1334">
        <v>1</v>
      </c>
      <c r="C1334">
        <v>1</v>
      </c>
      <c r="D1334">
        <v>17</v>
      </c>
    </row>
    <row r="1335" spans="1:4" x14ac:dyDescent="0.25">
      <c r="A1335" s="1">
        <v>42608</v>
      </c>
      <c r="B1335">
        <v>1</v>
      </c>
      <c r="C1335">
        <v>1</v>
      </c>
      <c r="D1335">
        <v>25</v>
      </c>
    </row>
    <row r="1336" spans="1:4" x14ac:dyDescent="0.25">
      <c r="A1336" s="1">
        <v>42609</v>
      </c>
      <c r="B1336">
        <v>1</v>
      </c>
      <c r="C1336">
        <v>1</v>
      </c>
      <c r="D1336">
        <v>24</v>
      </c>
    </row>
    <row r="1337" spans="1:4" x14ac:dyDescent="0.25">
      <c r="A1337" s="1">
        <v>42610</v>
      </c>
      <c r="B1337">
        <v>1</v>
      </c>
      <c r="C1337">
        <v>1</v>
      </c>
      <c r="D1337">
        <v>34</v>
      </c>
    </row>
    <row r="1338" spans="1:4" x14ac:dyDescent="0.25">
      <c r="A1338" s="1">
        <v>42611</v>
      </c>
      <c r="B1338">
        <v>1</v>
      </c>
      <c r="C1338">
        <v>1</v>
      </c>
      <c r="D1338">
        <v>14</v>
      </c>
    </row>
    <row r="1339" spans="1:4" x14ac:dyDescent="0.25">
      <c r="A1339" s="1">
        <v>42612</v>
      </c>
      <c r="B1339">
        <v>1</v>
      </c>
      <c r="C1339">
        <v>1</v>
      </c>
      <c r="D1339">
        <v>14</v>
      </c>
    </row>
    <row r="1340" spans="1:4" x14ac:dyDescent="0.25">
      <c r="A1340" s="1">
        <v>42613</v>
      </c>
      <c r="B1340">
        <v>1</v>
      </c>
      <c r="C1340">
        <v>1</v>
      </c>
      <c r="D1340">
        <v>17</v>
      </c>
    </row>
    <row r="1341" spans="1:4" x14ac:dyDescent="0.25">
      <c r="A1341" s="1">
        <v>42614</v>
      </c>
      <c r="B1341">
        <v>1</v>
      </c>
      <c r="C1341">
        <v>1</v>
      </c>
      <c r="D1341">
        <v>18</v>
      </c>
    </row>
    <row r="1342" spans="1:4" x14ac:dyDescent="0.25">
      <c r="A1342" s="1">
        <v>42615</v>
      </c>
      <c r="B1342">
        <v>1</v>
      </c>
      <c r="C1342">
        <v>1</v>
      </c>
      <c r="D1342">
        <v>20</v>
      </c>
    </row>
    <row r="1343" spans="1:4" x14ac:dyDescent="0.25">
      <c r="A1343" s="1">
        <v>42616</v>
      </c>
      <c r="B1343">
        <v>1</v>
      </c>
      <c r="C1343">
        <v>1</v>
      </c>
      <c r="D1343">
        <v>31</v>
      </c>
    </row>
    <row r="1344" spans="1:4" x14ac:dyDescent="0.25">
      <c r="A1344" s="1">
        <v>42617</v>
      </c>
      <c r="B1344">
        <v>1</v>
      </c>
      <c r="C1344">
        <v>1</v>
      </c>
      <c r="D1344">
        <v>25</v>
      </c>
    </row>
    <row r="1345" spans="1:4" x14ac:dyDescent="0.25">
      <c r="A1345" s="1">
        <v>42618</v>
      </c>
      <c r="B1345">
        <v>1</v>
      </c>
      <c r="C1345">
        <v>1</v>
      </c>
      <c r="D1345">
        <v>32</v>
      </c>
    </row>
    <row r="1346" spans="1:4" x14ac:dyDescent="0.25">
      <c r="A1346" s="1">
        <v>42619</v>
      </c>
      <c r="B1346">
        <v>1</v>
      </c>
      <c r="C1346">
        <v>1</v>
      </c>
      <c r="D1346">
        <v>28</v>
      </c>
    </row>
    <row r="1347" spans="1:4" x14ac:dyDescent="0.25">
      <c r="A1347" s="1">
        <v>42620</v>
      </c>
      <c r="B1347">
        <v>1</v>
      </c>
      <c r="C1347">
        <v>1</v>
      </c>
      <c r="D1347">
        <v>18</v>
      </c>
    </row>
    <row r="1348" spans="1:4" x14ac:dyDescent="0.25">
      <c r="A1348" s="1">
        <v>42621</v>
      </c>
      <c r="B1348">
        <v>1</v>
      </c>
      <c r="C1348">
        <v>1</v>
      </c>
      <c r="D1348">
        <v>28</v>
      </c>
    </row>
    <row r="1349" spans="1:4" x14ac:dyDescent="0.25">
      <c r="A1349" s="1">
        <v>42622</v>
      </c>
      <c r="B1349">
        <v>1</v>
      </c>
      <c r="C1349">
        <v>1</v>
      </c>
      <c r="D1349">
        <v>26</v>
      </c>
    </row>
    <row r="1350" spans="1:4" x14ac:dyDescent="0.25">
      <c r="A1350" s="1">
        <v>42623</v>
      </c>
      <c r="B1350">
        <v>1</v>
      </c>
      <c r="C1350">
        <v>1</v>
      </c>
      <c r="D1350">
        <v>25</v>
      </c>
    </row>
    <row r="1351" spans="1:4" x14ac:dyDescent="0.25">
      <c r="A1351" s="1">
        <v>42624</v>
      </c>
      <c r="B1351">
        <v>1</v>
      </c>
      <c r="C1351">
        <v>1</v>
      </c>
      <c r="D1351">
        <v>24</v>
      </c>
    </row>
    <row r="1352" spans="1:4" x14ac:dyDescent="0.25">
      <c r="A1352" s="1">
        <v>42625</v>
      </c>
      <c r="B1352">
        <v>1</v>
      </c>
      <c r="C1352">
        <v>1</v>
      </c>
      <c r="D1352">
        <v>24</v>
      </c>
    </row>
    <row r="1353" spans="1:4" x14ac:dyDescent="0.25">
      <c r="A1353" s="1">
        <v>42626</v>
      </c>
      <c r="B1353">
        <v>1</v>
      </c>
      <c r="C1353">
        <v>1</v>
      </c>
      <c r="D1353">
        <v>24</v>
      </c>
    </row>
    <row r="1354" spans="1:4" x14ac:dyDescent="0.25">
      <c r="A1354" s="1">
        <v>42627</v>
      </c>
      <c r="B1354">
        <v>1</v>
      </c>
      <c r="C1354">
        <v>1</v>
      </c>
      <c r="D1354">
        <v>19</v>
      </c>
    </row>
    <row r="1355" spans="1:4" x14ac:dyDescent="0.25">
      <c r="A1355" s="1">
        <v>42628</v>
      </c>
      <c r="B1355">
        <v>1</v>
      </c>
      <c r="C1355">
        <v>1</v>
      </c>
      <c r="D1355">
        <v>20</v>
      </c>
    </row>
    <row r="1356" spans="1:4" x14ac:dyDescent="0.25">
      <c r="A1356" s="1">
        <v>42629</v>
      </c>
      <c r="B1356">
        <v>1</v>
      </c>
      <c r="C1356">
        <v>1</v>
      </c>
      <c r="D1356">
        <v>19</v>
      </c>
    </row>
    <row r="1357" spans="1:4" x14ac:dyDescent="0.25">
      <c r="A1357" s="1">
        <v>42630</v>
      </c>
      <c r="B1357">
        <v>1</v>
      </c>
      <c r="C1357">
        <v>1</v>
      </c>
      <c r="D1357">
        <v>19</v>
      </c>
    </row>
    <row r="1358" spans="1:4" x14ac:dyDescent="0.25">
      <c r="A1358" s="1">
        <v>42631</v>
      </c>
      <c r="B1358">
        <v>1</v>
      </c>
      <c r="C1358">
        <v>1</v>
      </c>
      <c r="D1358">
        <v>27</v>
      </c>
    </row>
    <row r="1359" spans="1:4" x14ac:dyDescent="0.25">
      <c r="A1359" s="1">
        <v>42632</v>
      </c>
      <c r="B1359">
        <v>1</v>
      </c>
      <c r="C1359">
        <v>1</v>
      </c>
      <c r="D1359">
        <v>19</v>
      </c>
    </row>
    <row r="1360" spans="1:4" x14ac:dyDescent="0.25">
      <c r="A1360" s="1">
        <v>42633</v>
      </c>
      <c r="B1360">
        <v>1</v>
      </c>
      <c r="C1360">
        <v>1</v>
      </c>
      <c r="D1360">
        <v>23</v>
      </c>
    </row>
    <row r="1361" spans="1:4" x14ac:dyDescent="0.25">
      <c r="A1361" s="1">
        <v>42634</v>
      </c>
      <c r="B1361">
        <v>1</v>
      </c>
      <c r="C1361">
        <v>1</v>
      </c>
      <c r="D1361">
        <v>25</v>
      </c>
    </row>
    <row r="1362" spans="1:4" x14ac:dyDescent="0.25">
      <c r="A1362" s="1">
        <v>42635</v>
      </c>
      <c r="B1362">
        <v>1</v>
      </c>
      <c r="C1362">
        <v>1</v>
      </c>
      <c r="D1362">
        <v>25</v>
      </c>
    </row>
    <row r="1363" spans="1:4" x14ac:dyDescent="0.25">
      <c r="A1363" s="1">
        <v>42636</v>
      </c>
      <c r="B1363">
        <v>1</v>
      </c>
      <c r="C1363">
        <v>1</v>
      </c>
      <c r="D1363">
        <v>24</v>
      </c>
    </row>
    <row r="1364" spans="1:4" x14ac:dyDescent="0.25">
      <c r="A1364" s="1">
        <v>42637</v>
      </c>
      <c r="B1364">
        <v>1</v>
      </c>
      <c r="C1364">
        <v>1</v>
      </c>
      <c r="D1364">
        <v>26</v>
      </c>
    </row>
    <row r="1365" spans="1:4" x14ac:dyDescent="0.25">
      <c r="A1365" s="1">
        <v>42638</v>
      </c>
      <c r="B1365">
        <v>1</v>
      </c>
      <c r="C1365">
        <v>1</v>
      </c>
      <c r="D1365">
        <v>27</v>
      </c>
    </row>
    <row r="1366" spans="1:4" x14ac:dyDescent="0.25">
      <c r="A1366" s="1">
        <v>42639</v>
      </c>
      <c r="B1366">
        <v>1</v>
      </c>
      <c r="C1366">
        <v>1</v>
      </c>
      <c r="D1366">
        <v>17</v>
      </c>
    </row>
    <row r="1367" spans="1:4" x14ac:dyDescent="0.25">
      <c r="A1367" s="1">
        <v>42640</v>
      </c>
      <c r="B1367">
        <v>1</v>
      </c>
      <c r="C1367">
        <v>1</v>
      </c>
      <c r="D1367">
        <v>18</v>
      </c>
    </row>
    <row r="1368" spans="1:4" x14ac:dyDescent="0.25">
      <c r="A1368" s="1">
        <v>42641</v>
      </c>
      <c r="B1368">
        <v>1</v>
      </c>
      <c r="C1368">
        <v>1</v>
      </c>
      <c r="D1368">
        <v>27</v>
      </c>
    </row>
    <row r="1369" spans="1:4" x14ac:dyDescent="0.25">
      <c r="A1369" s="1">
        <v>42642</v>
      </c>
      <c r="B1369">
        <v>1</v>
      </c>
      <c r="C1369">
        <v>1</v>
      </c>
      <c r="D1369">
        <v>28</v>
      </c>
    </row>
    <row r="1370" spans="1:4" x14ac:dyDescent="0.25">
      <c r="A1370" s="1">
        <v>42643</v>
      </c>
      <c r="B1370">
        <v>1</v>
      </c>
      <c r="C1370">
        <v>1</v>
      </c>
      <c r="D1370">
        <v>23</v>
      </c>
    </row>
    <row r="1371" spans="1:4" x14ac:dyDescent="0.25">
      <c r="A1371" s="1">
        <v>42644</v>
      </c>
      <c r="B1371">
        <v>1</v>
      </c>
      <c r="C1371">
        <v>1</v>
      </c>
      <c r="D1371">
        <v>25</v>
      </c>
    </row>
    <row r="1372" spans="1:4" x14ac:dyDescent="0.25">
      <c r="A1372" s="1">
        <v>42645</v>
      </c>
      <c r="B1372">
        <v>1</v>
      </c>
      <c r="C1372">
        <v>1</v>
      </c>
      <c r="D1372">
        <v>26</v>
      </c>
    </row>
    <row r="1373" spans="1:4" x14ac:dyDescent="0.25">
      <c r="A1373" s="1">
        <v>42646</v>
      </c>
      <c r="B1373">
        <v>1</v>
      </c>
      <c r="C1373">
        <v>1</v>
      </c>
      <c r="D1373">
        <v>20</v>
      </c>
    </row>
    <row r="1374" spans="1:4" x14ac:dyDescent="0.25">
      <c r="A1374" s="1">
        <v>42647</v>
      </c>
      <c r="B1374">
        <v>1</v>
      </c>
      <c r="C1374">
        <v>1</v>
      </c>
      <c r="D1374">
        <v>28</v>
      </c>
    </row>
    <row r="1375" spans="1:4" x14ac:dyDescent="0.25">
      <c r="A1375" s="1">
        <v>42648</v>
      </c>
      <c r="B1375">
        <v>1</v>
      </c>
      <c r="C1375">
        <v>1</v>
      </c>
      <c r="D1375">
        <v>17</v>
      </c>
    </row>
    <row r="1376" spans="1:4" x14ac:dyDescent="0.25">
      <c r="A1376" s="1">
        <v>42649</v>
      </c>
      <c r="B1376">
        <v>1</v>
      </c>
      <c r="C1376">
        <v>1</v>
      </c>
      <c r="D1376">
        <v>22</v>
      </c>
    </row>
    <row r="1377" spans="1:4" x14ac:dyDescent="0.25">
      <c r="A1377" s="1">
        <v>42650</v>
      </c>
      <c r="B1377">
        <v>1</v>
      </c>
      <c r="C1377">
        <v>1</v>
      </c>
      <c r="D1377">
        <v>19</v>
      </c>
    </row>
    <row r="1378" spans="1:4" x14ac:dyDescent="0.25">
      <c r="A1378" s="1">
        <v>42651</v>
      </c>
      <c r="B1378">
        <v>1</v>
      </c>
      <c r="C1378">
        <v>1</v>
      </c>
      <c r="D1378">
        <v>24</v>
      </c>
    </row>
    <row r="1379" spans="1:4" x14ac:dyDescent="0.25">
      <c r="A1379" s="1">
        <v>42652</v>
      </c>
      <c r="B1379">
        <v>1</v>
      </c>
      <c r="C1379">
        <v>1</v>
      </c>
      <c r="D1379">
        <v>29</v>
      </c>
    </row>
    <row r="1380" spans="1:4" x14ac:dyDescent="0.25">
      <c r="A1380" s="1">
        <v>42653</v>
      </c>
      <c r="B1380">
        <v>1</v>
      </c>
      <c r="C1380">
        <v>1</v>
      </c>
      <c r="D1380">
        <v>18</v>
      </c>
    </row>
    <row r="1381" spans="1:4" x14ac:dyDescent="0.25">
      <c r="A1381" s="1">
        <v>42654</v>
      </c>
      <c r="B1381">
        <v>1</v>
      </c>
      <c r="C1381">
        <v>1</v>
      </c>
      <c r="D1381">
        <v>18</v>
      </c>
    </row>
    <row r="1382" spans="1:4" x14ac:dyDescent="0.25">
      <c r="A1382" s="1">
        <v>42655</v>
      </c>
      <c r="B1382">
        <v>1</v>
      </c>
      <c r="C1382">
        <v>1</v>
      </c>
      <c r="D1382">
        <v>16</v>
      </c>
    </row>
    <row r="1383" spans="1:4" x14ac:dyDescent="0.25">
      <c r="A1383" s="1">
        <v>42656</v>
      </c>
      <c r="B1383">
        <v>1</v>
      </c>
      <c r="C1383">
        <v>1</v>
      </c>
      <c r="D1383">
        <v>16</v>
      </c>
    </row>
    <row r="1384" spans="1:4" x14ac:dyDescent="0.25">
      <c r="A1384" s="1">
        <v>42657</v>
      </c>
      <c r="B1384">
        <v>1</v>
      </c>
      <c r="C1384">
        <v>1</v>
      </c>
      <c r="D1384">
        <v>32</v>
      </c>
    </row>
    <row r="1385" spans="1:4" x14ac:dyDescent="0.25">
      <c r="A1385" s="1">
        <v>42658</v>
      </c>
      <c r="B1385">
        <v>1</v>
      </c>
      <c r="C1385">
        <v>1</v>
      </c>
      <c r="D1385">
        <v>32</v>
      </c>
    </row>
    <row r="1386" spans="1:4" x14ac:dyDescent="0.25">
      <c r="A1386" s="1">
        <v>42659</v>
      </c>
      <c r="B1386">
        <v>1</v>
      </c>
      <c r="C1386">
        <v>1</v>
      </c>
      <c r="D1386">
        <v>26</v>
      </c>
    </row>
    <row r="1387" spans="1:4" x14ac:dyDescent="0.25">
      <c r="A1387" s="1">
        <v>42660</v>
      </c>
      <c r="B1387">
        <v>1</v>
      </c>
      <c r="C1387">
        <v>1</v>
      </c>
      <c r="D1387">
        <v>20</v>
      </c>
    </row>
    <row r="1388" spans="1:4" x14ac:dyDescent="0.25">
      <c r="A1388" s="1">
        <v>42661</v>
      </c>
      <c r="B1388">
        <v>1</v>
      </c>
      <c r="C1388">
        <v>1</v>
      </c>
      <c r="D1388">
        <v>21</v>
      </c>
    </row>
    <row r="1389" spans="1:4" x14ac:dyDescent="0.25">
      <c r="A1389" s="1">
        <v>42662</v>
      </c>
      <c r="B1389">
        <v>1</v>
      </c>
      <c r="C1389">
        <v>1</v>
      </c>
      <c r="D1389">
        <v>20</v>
      </c>
    </row>
    <row r="1390" spans="1:4" x14ac:dyDescent="0.25">
      <c r="A1390" s="1">
        <v>42663</v>
      </c>
      <c r="B1390">
        <v>1</v>
      </c>
      <c r="C1390">
        <v>1</v>
      </c>
      <c r="D1390">
        <v>30</v>
      </c>
    </row>
    <row r="1391" spans="1:4" x14ac:dyDescent="0.25">
      <c r="A1391" s="1">
        <v>42664</v>
      </c>
      <c r="B1391">
        <v>1</v>
      </c>
      <c r="C1391">
        <v>1</v>
      </c>
      <c r="D1391">
        <v>25</v>
      </c>
    </row>
    <row r="1392" spans="1:4" x14ac:dyDescent="0.25">
      <c r="A1392" s="1">
        <v>42665</v>
      </c>
      <c r="B1392">
        <v>1</v>
      </c>
      <c r="C1392">
        <v>1</v>
      </c>
      <c r="D1392">
        <v>26</v>
      </c>
    </row>
    <row r="1393" spans="1:4" x14ac:dyDescent="0.25">
      <c r="A1393" s="1">
        <v>42666</v>
      </c>
      <c r="B1393">
        <v>1</v>
      </c>
      <c r="C1393">
        <v>1</v>
      </c>
      <c r="D1393">
        <v>21</v>
      </c>
    </row>
    <row r="1394" spans="1:4" x14ac:dyDescent="0.25">
      <c r="A1394" s="1">
        <v>42667</v>
      </c>
      <c r="B1394">
        <v>1</v>
      </c>
      <c r="C1394">
        <v>1</v>
      </c>
      <c r="D1394">
        <v>16</v>
      </c>
    </row>
    <row r="1395" spans="1:4" x14ac:dyDescent="0.25">
      <c r="A1395" s="1">
        <v>42668</v>
      </c>
      <c r="B1395">
        <v>1</v>
      </c>
      <c r="C1395">
        <v>1</v>
      </c>
      <c r="D1395">
        <v>13</v>
      </c>
    </row>
    <row r="1396" spans="1:4" x14ac:dyDescent="0.25">
      <c r="A1396" s="1">
        <v>42669</v>
      </c>
      <c r="B1396">
        <v>1</v>
      </c>
      <c r="C1396">
        <v>1</v>
      </c>
      <c r="D1396">
        <v>16</v>
      </c>
    </row>
    <row r="1397" spans="1:4" x14ac:dyDescent="0.25">
      <c r="A1397" s="1">
        <v>42670</v>
      </c>
      <c r="B1397">
        <v>1</v>
      </c>
      <c r="C1397">
        <v>1</v>
      </c>
      <c r="D1397">
        <v>25</v>
      </c>
    </row>
    <row r="1398" spans="1:4" x14ac:dyDescent="0.25">
      <c r="A1398" s="1">
        <v>42671</v>
      </c>
      <c r="B1398">
        <v>1</v>
      </c>
      <c r="C1398">
        <v>1</v>
      </c>
      <c r="D1398">
        <v>18</v>
      </c>
    </row>
    <row r="1399" spans="1:4" x14ac:dyDescent="0.25">
      <c r="A1399" s="1">
        <v>42672</v>
      </c>
      <c r="B1399">
        <v>1</v>
      </c>
      <c r="C1399">
        <v>1</v>
      </c>
      <c r="D1399">
        <v>23</v>
      </c>
    </row>
    <row r="1400" spans="1:4" x14ac:dyDescent="0.25">
      <c r="A1400" s="1">
        <v>42673</v>
      </c>
      <c r="B1400">
        <v>1</v>
      </c>
      <c r="C1400">
        <v>1</v>
      </c>
      <c r="D1400">
        <v>33</v>
      </c>
    </row>
    <row r="1401" spans="1:4" x14ac:dyDescent="0.25">
      <c r="A1401" s="1">
        <v>42674</v>
      </c>
      <c r="B1401">
        <v>1</v>
      </c>
      <c r="C1401">
        <v>1</v>
      </c>
      <c r="D1401">
        <v>24</v>
      </c>
    </row>
    <row r="1402" spans="1:4" x14ac:dyDescent="0.25">
      <c r="A1402" s="1">
        <v>42675</v>
      </c>
      <c r="B1402">
        <v>1</v>
      </c>
      <c r="C1402">
        <v>1</v>
      </c>
      <c r="D1402">
        <v>22</v>
      </c>
    </row>
    <row r="1403" spans="1:4" x14ac:dyDescent="0.25">
      <c r="A1403" s="1">
        <v>42676</v>
      </c>
      <c r="B1403">
        <v>1</v>
      </c>
      <c r="C1403">
        <v>1</v>
      </c>
      <c r="D1403">
        <v>23</v>
      </c>
    </row>
    <row r="1404" spans="1:4" x14ac:dyDescent="0.25">
      <c r="A1404" s="1">
        <v>42677</v>
      </c>
      <c r="B1404">
        <v>1</v>
      </c>
      <c r="C1404">
        <v>1</v>
      </c>
      <c r="D1404">
        <v>23</v>
      </c>
    </row>
    <row r="1405" spans="1:4" x14ac:dyDescent="0.25">
      <c r="A1405" s="1">
        <v>42678</v>
      </c>
      <c r="B1405">
        <v>1</v>
      </c>
      <c r="C1405">
        <v>1</v>
      </c>
      <c r="D1405">
        <v>22</v>
      </c>
    </row>
    <row r="1406" spans="1:4" x14ac:dyDescent="0.25">
      <c r="A1406" s="1">
        <v>42679</v>
      </c>
      <c r="B1406">
        <v>1</v>
      </c>
      <c r="C1406">
        <v>1</v>
      </c>
      <c r="D1406">
        <v>29</v>
      </c>
    </row>
    <row r="1407" spans="1:4" x14ac:dyDescent="0.25">
      <c r="A1407" s="1">
        <v>42680</v>
      </c>
      <c r="B1407">
        <v>1</v>
      </c>
      <c r="C1407">
        <v>1</v>
      </c>
      <c r="D1407">
        <v>18</v>
      </c>
    </row>
    <row r="1408" spans="1:4" x14ac:dyDescent="0.25">
      <c r="A1408" s="1">
        <v>42681</v>
      </c>
      <c r="B1408">
        <v>1</v>
      </c>
      <c r="C1408">
        <v>1</v>
      </c>
      <c r="D1408">
        <v>17</v>
      </c>
    </row>
    <row r="1409" spans="1:4" x14ac:dyDescent="0.25">
      <c r="A1409" s="1">
        <v>42682</v>
      </c>
      <c r="B1409">
        <v>1</v>
      </c>
      <c r="C1409">
        <v>1</v>
      </c>
      <c r="D1409">
        <v>19</v>
      </c>
    </row>
    <row r="1410" spans="1:4" x14ac:dyDescent="0.25">
      <c r="A1410" s="1">
        <v>42683</v>
      </c>
      <c r="B1410">
        <v>1</v>
      </c>
      <c r="C1410">
        <v>1</v>
      </c>
      <c r="D1410">
        <v>22</v>
      </c>
    </row>
    <row r="1411" spans="1:4" x14ac:dyDescent="0.25">
      <c r="A1411" s="1">
        <v>42684</v>
      </c>
      <c r="B1411">
        <v>1</v>
      </c>
      <c r="C1411">
        <v>1</v>
      </c>
      <c r="D1411">
        <v>18</v>
      </c>
    </row>
    <row r="1412" spans="1:4" x14ac:dyDescent="0.25">
      <c r="A1412" s="1">
        <v>42685</v>
      </c>
      <c r="B1412">
        <v>1</v>
      </c>
      <c r="C1412">
        <v>1</v>
      </c>
      <c r="D1412">
        <v>26</v>
      </c>
    </row>
    <row r="1413" spans="1:4" x14ac:dyDescent="0.25">
      <c r="A1413" s="1">
        <v>42686</v>
      </c>
      <c r="B1413">
        <v>1</v>
      </c>
      <c r="C1413">
        <v>1</v>
      </c>
      <c r="D1413">
        <v>26</v>
      </c>
    </row>
    <row r="1414" spans="1:4" x14ac:dyDescent="0.25">
      <c r="A1414" s="1">
        <v>42687</v>
      </c>
      <c r="B1414">
        <v>1</v>
      </c>
      <c r="C1414">
        <v>1</v>
      </c>
      <c r="D1414">
        <v>36</v>
      </c>
    </row>
    <row r="1415" spans="1:4" x14ac:dyDescent="0.25">
      <c r="A1415" s="1">
        <v>42688</v>
      </c>
      <c r="B1415">
        <v>1</v>
      </c>
      <c r="C1415">
        <v>1</v>
      </c>
      <c r="D1415">
        <v>17</v>
      </c>
    </row>
    <row r="1416" spans="1:4" x14ac:dyDescent="0.25">
      <c r="A1416" s="1">
        <v>42689</v>
      </c>
      <c r="B1416">
        <v>1</v>
      </c>
      <c r="C1416">
        <v>1</v>
      </c>
      <c r="D1416">
        <v>22</v>
      </c>
    </row>
    <row r="1417" spans="1:4" x14ac:dyDescent="0.25">
      <c r="A1417" s="1">
        <v>42690</v>
      </c>
      <c r="B1417">
        <v>1</v>
      </c>
      <c r="C1417">
        <v>1</v>
      </c>
      <c r="D1417">
        <v>20</v>
      </c>
    </row>
    <row r="1418" spans="1:4" x14ac:dyDescent="0.25">
      <c r="A1418" s="1">
        <v>42691</v>
      </c>
      <c r="B1418">
        <v>1</v>
      </c>
      <c r="C1418">
        <v>1</v>
      </c>
      <c r="D1418">
        <v>19</v>
      </c>
    </row>
    <row r="1419" spans="1:4" x14ac:dyDescent="0.25">
      <c r="A1419" s="1">
        <v>42692</v>
      </c>
      <c r="B1419">
        <v>1</v>
      </c>
      <c r="C1419">
        <v>1</v>
      </c>
      <c r="D1419">
        <v>21</v>
      </c>
    </row>
    <row r="1420" spans="1:4" x14ac:dyDescent="0.25">
      <c r="A1420" s="1">
        <v>42693</v>
      </c>
      <c r="B1420">
        <v>1</v>
      </c>
      <c r="C1420">
        <v>1</v>
      </c>
      <c r="D1420">
        <v>36</v>
      </c>
    </row>
    <row r="1421" spans="1:4" x14ac:dyDescent="0.25">
      <c r="A1421" s="1">
        <v>42694</v>
      </c>
      <c r="B1421">
        <v>1</v>
      </c>
      <c r="C1421">
        <v>1</v>
      </c>
      <c r="D1421">
        <v>22</v>
      </c>
    </row>
    <row r="1422" spans="1:4" x14ac:dyDescent="0.25">
      <c r="A1422" s="1">
        <v>42695</v>
      </c>
      <c r="B1422">
        <v>1</v>
      </c>
      <c r="C1422">
        <v>1</v>
      </c>
      <c r="D1422">
        <v>14</v>
      </c>
    </row>
    <row r="1423" spans="1:4" x14ac:dyDescent="0.25">
      <c r="A1423" s="1">
        <v>42696</v>
      </c>
      <c r="B1423">
        <v>1</v>
      </c>
      <c r="C1423">
        <v>1</v>
      </c>
      <c r="D1423">
        <v>18</v>
      </c>
    </row>
    <row r="1424" spans="1:4" x14ac:dyDescent="0.25">
      <c r="A1424" s="1">
        <v>42697</v>
      </c>
      <c r="B1424">
        <v>1</v>
      </c>
      <c r="C1424">
        <v>1</v>
      </c>
      <c r="D1424">
        <v>20</v>
      </c>
    </row>
    <row r="1425" spans="1:4" x14ac:dyDescent="0.25">
      <c r="A1425" s="1">
        <v>42698</v>
      </c>
      <c r="B1425">
        <v>1</v>
      </c>
      <c r="C1425">
        <v>1</v>
      </c>
      <c r="D1425">
        <v>18</v>
      </c>
    </row>
    <row r="1426" spans="1:4" x14ac:dyDescent="0.25">
      <c r="A1426" s="1">
        <v>42699</v>
      </c>
      <c r="B1426">
        <v>1</v>
      </c>
      <c r="C1426">
        <v>1</v>
      </c>
      <c r="D1426">
        <v>26</v>
      </c>
    </row>
    <row r="1427" spans="1:4" x14ac:dyDescent="0.25">
      <c r="A1427" s="1">
        <v>42700</v>
      </c>
      <c r="B1427">
        <v>1</v>
      </c>
      <c r="C1427">
        <v>1</v>
      </c>
      <c r="D1427">
        <v>20</v>
      </c>
    </row>
    <row r="1428" spans="1:4" x14ac:dyDescent="0.25">
      <c r="A1428" s="1">
        <v>42701</v>
      </c>
      <c r="B1428">
        <v>1</v>
      </c>
      <c r="C1428">
        <v>1</v>
      </c>
      <c r="D1428">
        <v>20</v>
      </c>
    </row>
    <row r="1429" spans="1:4" x14ac:dyDescent="0.25">
      <c r="A1429" s="1">
        <v>42702</v>
      </c>
      <c r="B1429">
        <v>1</v>
      </c>
      <c r="C1429">
        <v>1</v>
      </c>
      <c r="D1429">
        <v>22</v>
      </c>
    </row>
    <row r="1430" spans="1:4" x14ac:dyDescent="0.25">
      <c r="A1430" s="1">
        <v>42703</v>
      </c>
      <c r="B1430">
        <v>1</v>
      </c>
      <c r="C1430">
        <v>1</v>
      </c>
      <c r="D1430">
        <v>27</v>
      </c>
    </row>
    <row r="1431" spans="1:4" x14ac:dyDescent="0.25">
      <c r="A1431" s="1">
        <v>42704</v>
      </c>
      <c r="B1431">
        <v>1</v>
      </c>
      <c r="C1431">
        <v>1</v>
      </c>
      <c r="D1431">
        <v>19</v>
      </c>
    </row>
    <row r="1432" spans="1:4" x14ac:dyDescent="0.25">
      <c r="A1432" s="1">
        <v>42705</v>
      </c>
      <c r="B1432">
        <v>1</v>
      </c>
      <c r="C1432">
        <v>1</v>
      </c>
      <c r="D1432">
        <v>13</v>
      </c>
    </row>
    <row r="1433" spans="1:4" x14ac:dyDescent="0.25">
      <c r="A1433" s="1">
        <v>42706</v>
      </c>
      <c r="B1433">
        <v>1</v>
      </c>
      <c r="C1433">
        <v>1</v>
      </c>
      <c r="D1433">
        <v>11</v>
      </c>
    </row>
    <row r="1434" spans="1:4" x14ac:dyDescent="0.25">
      <c r="A1434" s="1">
        <v>42707</v>
      </c>
      <c r="B1434">
        <v>1</v>
      </c>
      <c r="C1434">
        <v>1</v>
      </c>
      <c r="D1434">
        <v>19</v>
      </c>
    </row>
    <row r="1435" spans="1:4" x14ac:dyDescent="0.25">
      <c r="A1435" s="1">
        <v>42708</v>
      </c>
      <c r="B1435">
        <v>1</v>
      </c>
      <c r="C1435">
        <v>1</v>
      </c>
      <c r="D1435">
        <v>24</v>
      </c>
    </row>
    <row r="1436" spans="1:4" x14ac:dyDescent="0.25">
      <c r="A1436" s="1">
        <v>42709</v>
      </c>
      <c r="B1436">
        <v>1</v>
      </c>
      <c r="C1436">
        <v>1</v>
      </c>
      <c r="D1436">
        <v>13</v>
      </c>
    </row>
    <row r="1437" spans="1:4" x14ac:dyDescent="0.25">
      <c r="A1437" s="1">
        <v>42710</v>
      </c>
      <c r="B1437">
        <v>1</v>
      </c>
      <c r="C1437">
        <v>1</v>
      </c>
      <c r="D1437">
        <v>10</v>
      </c>
    </row>
    <row r="1438" spans="1:4" x14ac:dyDescent="0.25">
      <c r="A1438" s="1">
        <v>42711</v>
      </c>
      <c r="B1438">
        <v>1</v>
      </c>
      <c r="C1438">
        <v>1</v>
      </c>
      <c r="D1438">
        <v>17</v>
      </c>
    </row>
    <row r="1439" spans="1:4" x14ac:dyDescent="0.25">
      <c r="A1439" s="1">
        <v>42712</v>
      </c>
      <c r="B1439">
        <v>1</v>
      </c>
      <c r="C1439">
        <v>1</v>
      </c>
      <c r="D1439">
        <v>15</v>
      </c>
    </row>
    <row r="1440" spans="1:4" x14ac:dyDescent="0.25">
      <c r="A1440" s="1">
        <v>42713</v>
      </c>
      <c r="B1440">
        <v>1</v>
      </c>
      <c r="C1440">
        <v>1</v>
      </c>
      <c r="D1440">
        <v>7</v>
      </c>
    </row>
    <row r="1441" spans="1:4" x14ac:dyDescent="0.25">
      <c r="A1441" s="1">
        <v>42714</v>
      </c>
      <c r="B1441">
        <v>1</v>
      </c>
      <c r="C1441">
        <v>1</v>
      </c>
      <c r="D1441">
        <v>12</v>
      </c>
    </row>
    <row r="1442" spans="1:4" x14ac:dyDescent="0.25">
      <c r="A1442" s="1">
        <v>42715</v>
      </c>
      <c r="B1442">
        <v>1</v>
      </c>
      <c r="C1442">
        <v>1</v>
      </c>
      <c r="D1442">
        <v>20</v>
      </c>
    </row>
    <row r="1443" spans="1:4" x14ac:dyDescent="0.25">
      <c r="A1443" s="1">
        <v>42716</v>
      </c>
      <c r="B1443">
        <v>1</v>
      </c>
      <c r="C1443">
        <v>1</v>
      </c>
      <c r="D1443">
        <v>12</v>
      </c>
    </row>
    <row r="1444" spans="1:4" x14ac:dyDescent="0.25">
      <c r="A1444" s="1">
        <v>42717</v>
      </c>
      <c r="B1444">
        <v>1</v>
      </c>
      <c r="C1444">
        <v>1</v>
      </c>
      <c r="D1444">
        <v>23</v>
      </c>
    </row>
    <row r="1445" spans="1:4" x14ac:dyDescent="0.25">
      <c r="A1445" s="1">
        <v>42718</v>
      </c>
      <c r="B1445">
        <v>1</v>
      </c>
      <c r="C1445">
        <v>1</v>
      </c>
      <c r="D1445">
        <v>12</v>
      </c>
    </row>
    <row r="1446" spans="1:4" x14ac:dyDescent="0.25">
      <c r="A1446" s="1">
        <v>42719</v>
      </c>
      <c r="B1446">
        <v>1</v>
      </c>
      <c r="C1446">
        <v>1</v>
      </c>
      <c r="D1446">
        <v>10</v>
      </c>
    </row>
    <row r="1447" spans="1:4" x14ac:dyDescent="0.25">
      <c r="A1447" s="1">
        <v>42720</v>
      </c>
      <c r="B1447">
        <v>1</v>
      </c>
      <c r="C1447">
        <v>1</v>
      </c>
      <c r="D1447">
        <v>15</v>
      </c>
    </row>
    <row r="1448" spans="1:4" x14ac:dyDescent="0.25">
      <c r="A1448" s="1">
        <v>42721</v>
      </c>
      <c r="B1448">
        <v>1</v>
      </c>
      <c r="C1448">
        <v>1</v>
      </c>
      <c r="D1448">
        <v>19</v>
      </c>
    </row>
    <row r="1449" spans="1:4" x14ac:dyDescent="0.25">
      <c r="A1449" s="1">
        <v>42722</v>
      </c>
      <c r="B1449">
        <v>1</v>
      </c>
      <c r="C1449">
        <v>1</v>
      </c>
      <c r="D1449">
        <v>22</v>
      </c>
    </row>
    <row r="1450" spans="1:4" x14ac:dyDescent="0.25">
      <c r="A1450" s="1">
        <v>42723</v>
      </c>
      <c r="B1450">
        <v>1</v>
      </c>
      <c r="C1450">
        <v>1</v>
      </c>
      <c r="D1450">
        <v>17</v>
      </c>
    </row>
    <row r="1451" spans="1:4" x14ac:dyDescent="0.25">
      <c r="A1451" s="1">
        <v>42724</v>
      </c>
      <c r="B1451">
        <v>1</v>
      </c>
      <c r="C1451">
        <v>1</v>
      </c>
      <c r="D1451">
        <v>18</v>
      </c>
    </row>
    <row r="1452" spans="1:4" x14ac:dyDescent="0.25">
      <c r="A1452" s="1">
        <v>42725</v>
      </c>
      <c r="B1452">
        <v>1</v>
      </c>
      <c r="C1452">
        <v>1</v>
      </c>
      <c r="D1452">
        <v>12</v>
      </c>
    </row>
    <row r="1453" spans="1:4" x14ac:dyDescent="0.25">
      <c r="A1453" s="1">
        <v>42726</v>
      </c>
      <c r="B1453">
        <v>1</v>
      </c>
      <c r="C1453">
        <v>1</v>
      </c>
      <c r="D1453">
        <v>20</v>
      </c>
    </row>
    <row r="1454" spans="1:4" x14ac:dyDescent="0.25">
      <c r="A1454" s="1">
        <v>42727</v>
      </c>
      <c r="B1454">
        <v>1</v>
      </c>
      <c r="C1454">
        <v>1</v>
      </c>
      <c r="D1454">
        <v>21</v>
      </c>
    </row>
    <row r="1455" spans="1:4" x14ac:dyDescent="0.25">
      <c r="A1455" s="1">
        <v>42728</v>
      </c>
      <c r="B1455">
        <v>1</v>
      </c>
      <c r="C1455">
        <v>1</v>
      </c>
      <c r="D1455">
        <v>13</v>
      </c>
    </row>
    <row r="1456" spans="1:4" x14ac:dyDescent="0.25">
      <c r="A1456" s="1">
        <v>42729</v>
      </c>
      <c r="B1456">
        <v>1</v>
      </c>
      <c r="C1456">
        <v>1</v>
      </c>
      <c r="D1456">
        <v>20</v>
      </c>
    </row>
    <row r="1457" spans="1:4" x14ac:dyDescent="0.25">
      <c r="A1457" s="1">
        <v>42730</v>
      </c>
      <c r="B1457">
        <v>1</v>
      </c>
      <c r="C1457">
        <v>1</v>
      </c>
      <c r="D1457">
        <v>16</v>
      </c>
    </row>
    <row r="1458" spans="1:4" x14ac:dyDescent="0.25">
      <c r="A1458" s="1">
        <v>42731</v>
      </c>
      <c r="B1458">
        <v>1</v>
      </c>
      <c r="C1458">
        <v>1</v>
      </c>
      <c r="D1458">
        <v>10</v>
      </c>
    </row>
    <row r="1459" spans="1:4" x14ac:dyDescent="0.25">
      <c r="A1459" s="1">
        <v>42732</v>
      </c>
      <c r="B1459">
        <v>1</v>
      </c>
      <c r="C1459">
        <v>1</v>
      </c>
      <c r="D1459">
        <v>16</v>
      </c>
    </row>
    <row r="1460" spans="1:4" x14ac:dyDescent="0.25">
      <c r="A1460" s="1">
        <v>42733</v>
      </c>
      <c r="B1460">
        <v>1</v>
      </c>
      <c r="C1460">
        <v>1</v>
      </c>
      <c r="D1460">
        <v>21</v>
      </c>
    </row>
    <row r="1461" spans="1:4" x14ac:dyDescent="0.25">
      <c r="A1461" s="1">
        <v>42734</v>
      </c>
      <c r="B1461">
        <v>1</v>
      </c>
      <c r="C1461">
        <v>1</v>
      </c>
      <c r="D1461">
        <v>24</v>
      </c>
    </row>
    <row r="1462" spans="1:4" x14ac:dyDescent="0.25">
      <c r="A1462" s="1">
        <v>42735</v>
      </c>
      <c r="B1462">
        <v>1</v>
      </c>
      <c r="C1462">
        <v>1</v>
      </c>
      <c r="D1462">
        <v>14</v>
      </c>
    </row>
    <row r="1463" spans="1:4" x14ac:dyDescent="0.25">
      <c r="A1463" s="1">
        <v>42736</v>
      </c>
      <c r="B1463">
        <v>1</v>
      </c>
      <c r="C1463">
        <v>1</v>
      </c>
      <c r="D1463">
        <v>19</v>
      </c>
    </row>
    <row r="1464" spans="1:4" x14ac:dyDescent="0.25">
      <c r="A1464" s="1">
        <v>42737</v>
      </c>
      <c r="B1464">
        <v>1</v>
      </c>
      <c r="C1464">
        <v>1</v>
      </c>
      <c r="D1464">
        <v>15</v>
      </c>
    </row>
    <row r="1465" spans="1:4" x14ac:dyDescent="0.25">
      <c r="A1465" s="1">
        <v>42738</v>
      </c>
      <c r="B1465">
        <v>1</v>
      </c>
      <c r="C1465">
        <v>1</v>
      </c>
      <c r="D1465">
        <v>10</v>
      </c>
    </row>
    <row r="1466" spans="1:4" x14ac:dyDescent="0.25">
      <c r="A1466" s="1">
        <v>42739</v>
      </c>
      <c r="B1466">
        <v>1</v>
      </c>
      <c r="C1466">
        <v>1</v>
      </c>
      <c r="D1466">
        <v>16</v>
      </c>
    </row>
    <row r="1467" spans="1:4" x14ac:dyDescent="0.25">
      <c r="A1467" s="1">
        <v>42740</v>
      </c>
      <c r="B1467">
        <v>1</v>
      </c>
      <c r="C1467">
        <v>1</v>
      </c>
      <c r="D1467">
        <v>14</v>
      </c>
    </row>
    <row r="1468" spans="1:4" x14ac:dyDescent="0.25">
      <c r="A1468" s="1">
        <v>42741</v>
      </c>
      <c r="B1468">
        <v>1</v>
      </c>
      <c r="C1468">
        <v>1</v>
      </c>
      <c r="D1468">
        <v>24</v>
      </c>
    </row>
    <row r="1469" spans="1:4" x14ac:dyDescent="0.25">
      <c r="A1469" s="1">
        <v>42742</v>
      </c>
      <c r="B1469">
        <v>1</v>
      </c>
      <c r="C1469">
        <v>1</v>
      </c>
      <c r="D1469">
        <v>14</v>
      </c>
    </row>
    <row r="1470" spans="1:4" x14ac:dyDescent="0.25">
      <c r="A1470" s="1">
        <v>42743</v>
      </c>
      <c r="B1470">
        <v>1</v>
      </c>
      <c r="C1470">
        <v>1</v>
      </c>
      <c r="D1470">
        <v>20</v>
      </c>
    </row>
    <row r="1471" spans="1:4" x14ac:dyDescent="0.25">
      <c r="A1471" s="1">
        <v>42744</v>
      </c>
      <c r="B1471">
        <v>1</v>
      </c>
      <c r="C1471">
        <v>1</v>
      </c>
      <c r="D1471">
        <v>18</v>
      </c>
    </row>
    <row r="1472" spans="1:4" x14ac:dyDescent="0.25">
      <c r="A1472" s="1">
        <v>42745</v>
      </c>
      <c r="B1472">
        <v>1</v>
      </c>
      <c r="C1472">
        <v>1</v>
      </c>
      <c r="D1472">
        <v>11</v>
      </c>
    </row>
    <row r="1473" spans="1:4" x14ac:dyDescent="0.25">
      <c r="A1473" s="1">
        <v>42746</v>
      </c>
      <c r="B1473">
        <v>1</v>
      </c>
      <c r="C1473">
        <v>1</v>
      </c>
      <c r="D1473">
        <v>14</v>
      </c>
    </row>
    <row r="1474" spans="1:4" x14ac:dyDescent="0.25">
      <c r="A1474" s="1">
        <v>42747</v>
      </c>
      <c r="B1474">
        <v>1</v>
      </c>
      <c r="C1474">
        <v>1</v>
      </c>
      <c r="D1474">
        <v>17</v>
      </c>
    </row>
    <row r="1475" spans="1:4" x14ac:dyDescent="0.25">
      <c r="A1475" s="1">
        <v>42748</v>
      </c>
      <c r="B1475">
        <v>1</v>
      </c>
      <c r="C1475">
        <v>1</v>
      </c>
      <c r="D1475">
        <v>7</v>
      </c>
    </row>
    <row r="1476" spans="1:4" x14ac:dyDescent="0.25">
      <c r="A1476" s="1">
        <v>42749</v>
      </c>
      <c r="B1476">
        <v>1</v>
      </c>
      <c r="C1476">
        <v>1</v>
      </c>
      <c r="D1476">
        <v>16</v>
      </c>
    </row>
    <row r="1477" spans="1:4" x14ac:dyDescent="0.25">
      <c r="A1477" s="1">
        <v>42750</v>
      </c>
      <c r="B1477">
        <v>1</v>
      </c>
      <c r="C1477">
        <v>1</v>
      </c>
      <c r="D1477">
        <v>29</v>
      </c>
    </row>
    <row r="1478" spans="1:4" x14ac:dyDescent="0.25">
      <c r="A1478" s="1">
        <v>42751</v>
      </c>
      <c r="B1478">
        <v>1</v>
      </c>
      <c r="C1478">
        <v>1</v>
      </c>
      <c r="D1478">
        <v>15</v>
      </c>
    </row>
    <row r="1479" spans="1:4" x14ac:dyDescent="0.25">
      <c r="A1479" s="1">
        <v>42752</v>
      </c>
      <c r="B1479">
        <v>1</v>
      </c>
      <c r="C1479">
        <v>1</v>
      </c>
      <c r="D1479">
        <v>14</v>
      </c>
    </row>
    <row r="1480" spans="1:4" x14ac:dyDescent="0.25">
      <c r="A1480" s="1">
        <v>42753</v>
      </c>
      <c r="B1480">
        <v>1</v>
      </c>
      <c r="C1480">
        <v>1</v>
      </c>
      <c r="D1480">
        <v>10</v>
      </c>
    </row>
    <row r="1481" spans="1:4" x14ac:dyDescent="0.25">
      <c r="A1481" s="1">
        <v>42754</v>
      </c>
      <c r="B1481">
        <v>1</v>
      </c>
      <c r="C1481">
        <v>1</v>
      </c>
      <c r="D1481">
        <v>16</v>
      </c>
    </row>
    <row r="1482" spans="1:4" x14ac:dyDescent="0.25">
      <c r="A1482" s="1">
        <v>42755</v>
      </c>
      <c r="B1482">
        <v>1</v>
      </c>
      <c r="C1482">
        <v>1</v>
      </c>
      <c r="D1482">
        <v>22</v>
      </c>
    </row>
    <row r="1483" spans="1:4" x14ac:dyDescent="0.25">
      <c r="A1483" s="1">
        <v>42756</v>
      </c>
      <c r="B1483">
        <v>1</v>
      </c>
      <c r="C1483">
        <v>1</v>
      </c>
      <c r="D1483">
        <v>13</v>
      </c>
    </row>
    <row r="1484" spans="1:4" x14ac:dyDescent="0.25">
      <c r="A1484" s="1">
        <v>42757</v>
      </c>
      <c r="B1484">
        <v>1</v>
      </c>
      <c r="C1484">
        <v>1</v>
      </c>
      <c r="D1484">
        <v>21</v>
      </c>
    </row>
    <row r="1485" spans="1:4" x14ac:dyDescent="0.25">
      <c r="A1485" s="1">
        <v>42758</v>
      </c>
      <c r="B1485">
        <v>1</v>
      </c>
      <c r="C1485">
        <v>1</v>
      </c>
      <c r="D1485">
        <v>9</v>
      </c>
    </row>
    <row r="1486" spans="1:4" x14ac:dyDescent="0.25">
      <c r="A1486" s="1">
        <v>42759</v>
      </c>
      <c r="B1486">
        <v>1</v>
      </c>
      <c r="C1486">
        <v>1</v>
      </c>
      <c r="D1486">
        <v>18</v>
      </c>
    </row>
    <row r="1487" spans="1:4" x14ac:dyDescent="0.25">
      <c r="A1487" s="1">
        <v>42760</v>
      </c>
      <c r="B1487">
        <v>1</v>
      </c>
      <c r="C1487">
        <v>1</v>
      </c>
      <c r="D1487">
        <v>14</v>
      </c>
    </row>
    <row r="1488" spans="1:4" x14ac:dyDescent="0.25">
      <c r="A1488" s="1">
        <v>42761</v>
      </c>
      <c r="B1488">
        <v>1</v>
      </c>
      <c r="C1488">
        <v>1</v>
      </c>
      <c r="D1488">
        <v>13</v>
      </c>
    </row>
    <row r="1489" spans="1:4" x14ac:dyDescent="0.25">
      <c r="A1489" s="1">
        <v>42762</v>
      </c>
      <c r="B1489">
        <v>1</v>
      </c>
      <c r="C1489">
        <v>1</v>
      </c>
      <c r="D1489">
        <v>10</v>
      </c>
    </row>
    <row r="1490" spans="1:4" x14ac:dyDescent="0.25">
      <c r="A1490" s="1">
        <v>42763</v>
      </c>
      <c r="B1490">
        <v>1</v>
      </c>
      <c r="C1490">
        <v>1</v>
      </c>
      <c r="D1490">
        <v>16</v>
      </c>
    </row>
    <row r="1491" spans="1:4" x14ac:dyDescent="0.25">
      <c r="A1491" s="1">
        <v>42764</v>
      </c>
      <c r="B1491">
        <v>1</v>
      </c>
      <c r="C1491">
        <v>1</v>
      </c>
      <c r="D1491">
        <v>24</v>
      </c>
    </row>
    <row r="1492" spans="1:4" x14ac:dyDescent="0.25">
      <c r="A1492" s="1">
        <v>42765</v>
      </c>
      <c r="B1492">
        <v>1</v>
      </c>
      <c r="C1492">
        <v>1</v>
      </c>
      <c r="D1492">
        <v>9</v>
      </c>
    </row>
    <row r="1493" spans="1:4" x14ac:dyDescent="0.25">
      <c r="A1493" s="1">
        <v>42766</v>
      </c>
      <c r="B1493">
        <v>1</v>
      </c>
      <c r="C1493">
        <v>1</v>
      </c>
      <c r="D1493">
        <v>17</v>
      </c>
    </row>
    <row r="1494" spans="1:4" x14ac:dyDescent="0.25">
      <c r="A1494" s="1">
        <v>42767</v>
      </c>
      <c r="B1494">
        <v>1</v>
      </c>
      <c r="C1494">
        <v>1</v>
      </c>
      <c r="D1494">
        <v>15</v>
      </c>
    </row>
    <row r="1495" spans="1:4" x14ac:dyDescent="0.25">
      <c r="A1495" s="1">
        <v>42768</v>
      </c>
      <c r="B1495">
        <v>1</v>
      </c>
      <c r="C1495">
        <v>1</v>
      </c>
      <c r="D1495">
        <v>17</v>
      </c>
    </row>
    <row r="1496" spans="1:4" x14ac:dyDescent="0.25">
      <c r="A1496" s="1">
        <v>42769</v>
      </c>
      <c r="B1496">
        <v>1</v>
      </c>
      <c r="C1496">
        <v>1</v>
      </c>
      <c r="D1496">
        <v>24</v>
      </c>
    </row>
    <row r="1497" spans="1:4" x14ac:dyDescent="0.25">
      <c r="A1497" s="1">
        <v>42770</v>
      </c>
      <c r="B1497">
        <v>1</v>
      </c>
      <c r="C1497">
        <v>1</v>
      </c>
      <c r="D1497">
        <v>25</v>
      </c>
    </row>
    <row r="1498" spans="1:4" x14ac:dyDescent="0.25">
      <c r="A1498" s="1">
        <v>42771</v>
      </c>
      <c r="B1498">
        <v>1</v>
      </c>
      <c r="C1498">
        <v>1</v>
      </c>
      <c r="D1498">
        <v>25</v>
      </c>
    </row>
    <row r="1499" spans="1:4" x14ac:dyDescent="0.25">
      <c r="A1499" s="1">
        <v>42772</v>
      </c>
      <c r="B1499">
        <v>1</v>
      </c>
      <c r="C1499">
        <v>1</v>
      </c>
      <c r="D1499">
        <v>16</v>
      </c>
    </row>
    <row r="1500" spans="1:4" x14ac:dyDescent="0.25">
      <c r="A1500" s="1">
        <v>42773</v>
      </c>
      <c r="B1500">
        <v>1</v>
      </c>
      <c r="C1500">
        <v>1</v>
      </c>
      <c r="D1500">
        <v>12</v>
      </c>
    </row>
    <row r="1501" spans="1:4" x14ac:dyDescent="0.25">
      <c r="A1501" s="1">
        <v>42774</v>
      </c>
      <c r="B1501">
        <v>1</v>
      </c>
      <c r="C1501">
        <v>1</v>
      </c>
      <c r="D1501">
        <v>20</v>
      </c>
    </row>
    <row r="1502" spans="1:4" x14ac:dyDescent="0.25">
      <c r="A1502" s="1">
        <v>42775</v>
      </c>
      <c r="B1502">
        <v>1</v>
      </c>
      <c r="C1502">
        <v>1</v>
      </c>
      <c r="D1502">
        <v>16</v>
      </c>
    </row>
    <row r="1503" spans="1:4" x14ac:dyDescent="0.25">
      <c r="A1503" s="1">
        <v>42776</v>
      </c>
      <c r="B1503">
        <v>1</v>
      </c>
      <c r="C1503">
        <v>1</v>
      </c>
      <c r="D1503">
        <v>16</v>
      </c>
    </row>
    <row r="1504" spans="1:4" x14ac:dyDescent="0.25">
      <c r="A1504" s="1">
        <v>42777</v>
      </c>
      <c r="B1504">
        <v>1</v>
      </c>
      <c r="C1504">
        <v>1</v>
      </c>
      <c r="D1504">
        <v>18</v>
      </c>
    </row>
    <row r="1505" spans="1:4" x14ac:dyDescent="0.25">
      <c r="A1505" s="1">
        <v>42778</v>
      </c>
      <c r="B1505">
        <v>1</v>
      </c>
      <c r="C1505">
        <v>1</v>
      </c>
      <c r="D1505">
        <v>19</v>
      </c>
    </row>
    <row r="1506" spans="1:4" x14ac:dyDescent="0.25">
      <c r="A1506" s="1">
        <v>42779</v>
      </c>
      <c r="B1506">
        <v>1</v>
      </c>
      <c r="C1506">
        <v>1</v>
      </c>
      <c r="D1506">
        <v>11</v>
      </c>
    </row>
    <row r="1507" spans="1:4" x14ac:dyDescent="0.25">
      <c r="A1507" s="1">
        <v>42780</v>
      </c>
      <c r="B1507">
        <v>1</v>
      </c>
      <c r="C1507">
        <v>1</v>
      </c>
      <c r="D1507">
        <v>15</v>
      </c>
    </row>
    <row r="1508" spans="1:4" x14ac:dyDescent="0.25">
      <c r="A1508" s="1">
        <v>42781</v>
      </c>
      <c r="B1508">
        <v>1</v>
      </c>
      <c r="C1508">
        <v>1</v>
      </c>
      <c r="D1508">
        <v>22</v>
      </c>
    </row>
    <row r="1509" spans="1:4" x14ac:dyDescent="0.25">
      <c r="A1509" s="1">
        <v>42782</v>
      </c>
      <c r="B1509">
        <v>1</v>
      </c>
      <c r="C1509">
        <v>1</v>
      </c>
      <c r="D1509">
        <v>11</v>
      </c>
    </row>
    <row r="1510" spans="1:4" x14ac:dyDescent="0.25">
      <c r="A1510" s="1">
        <v>42783</v>
      </c>
      <c r="B1510">
        <v>1</v>
      </c>
      <c r="C1510">
        <v>1</v>
      </c>
      <c r="D1510">
        <v>17</v>
      </c>
    </row>
    <row r="1511" spans="1:4" x14ac:dyDescent="0.25">
      <c r="A1511" s="1">
        <v>42784</v>
      </c>
      <c r="B1511">
        <v>1</v>
      </c>
      <c r="C1511">
        <v>1</v>
      </c>
      <c r="D1511">
        <v>22</v>
      </c>
    </row>
    <row r="1512" spans="1:4" x14ac:dyDescent="0.25">
      <c r="A1512" s="1">
        <v>42785</v>
      </c>
      <c r="B1512">
        <v>1</v>
      </c>
      <c r="C1512">
        <v>1</v>
      </c>
      <c r="D1512">
        <v>18</v>
      </c>
    </row>
    <row r="1513" spans="1:4" x14ac:dyDescent="0.25">
      <c r="A1513" s="1">
        <v>42786</v>
      </c>
      <c r="B1513">
        <v>1</v>
      </c>
      <c r="C1513">
        <v>1</v>
      </c>
      <c r="D1513">
        <v>5</v>
      </c>
    </row>
    <row r="1514" spans="1:4" x14ac:dyDescent="0.25">
      <c r="A1514" s="1">
        <v>42787</v>
      </c>
      <c r="B1514">
        <v>1</v>
      </c>
      <c r="C1514">
        <v>1</v>
      </c>
      <c r="D1514">
        <v>14</v>
      </c>
    </row>
    <row r="1515" spans="1:4" x14ac:dyDescent="0.25">
      <c r="A1515" s="1">
        <v>42788</v>
      </c>
      <c r="B1515">
        <v>1</v>
      </c>
      <c r="C1515">
        <v>1</v>
      </c>
      <c r="D1515">
        <v>12</v>
      </c>
    </row>
    <row r="1516" spans="1:4" x14ac:dyDescent="0.25">
      <c r="A1516" s="1">
        <v>42789</v>
      </c>
      <c r="B1516">
        <v>1</v>
      </c>
      <c r="C1516">
        <v>1</v>
      </c>
      <c r="D1516">
        <v>26</v>
      </c>
    </row>
    <row r="1517" spans="1:4" x14ac:dyDescent="0.25">
      <c r="A1517" s="1">
        <v>42790</v>
      </c>
      <c r="B1517">
        <v>1</v>
      </c>
      <c r="C1517">
        <v>1</v>
      </c>
      <c r="D1517">
        <v>15</v>
      </c>
    </row>
    <row r="1518" spans="1:4" x14ac:dyDescent="0.25">
      <c r="A1518" s="1">
        <v>42791</v>
      </c>
      <c r="B1518">
        <v>1</v>
      </c>
      <c r="C1518">
        <v>1</v>
      </c>
      <c r="D1518">
        <v>16</v>
      </c>
    </row>
    <row r="1519" spans="1:4" x14ac:dyDescent="0.25">
      <c r="A1519" s="1">
        <v>42792</v>
      </c>
      <c r="B1519">
        <v>1</v>
      </c>
      <c r="C1519">
        <v>1</v>
      </c>
      <c r="D1519">
        <v>28</v>
      </c>
    </row>
    <row r="1520" spans="1:4" x14ac:dyDescent="0.25">
      <c r="A1520" s="1">
        <v>42793</v>
      </c>
      <c r="B1520">
        <v>1</v>
      </c>
      <c r="C1520">
        <v>1</v>
      </c>
      <c r="D1520">
        <v>12</v>
      </c>
    </row>
    <row r="1521" spans="1:4" x14ac:dyDescent="0.25">
      <c r="A1521" s="1">
        <v>42794</v>
      </c>
      <c r="B1521">
        <v>1</v>
      </c>
      <c r="C1521">
        <v>1</v>
      </c>
      <c r="D1521">
        <v>20</v>
      </c>
    </row>
    <row r="1522" spans="1:4" x14ac:dyDescent="0.25">
      <c r="A1522" s="1">
        <v>42795</v>
      </c>
      <c r="B1522">
        <v>1</v>
      </c>
      <c r="C1522">
        <v>1</v>
      </c>
      <c r="D1522">
        <v>16</v>
      </c>
    </row>
    <row r="1523" spans="1:4" x14ac:dyDescent="0.25">
      <c r="A1523" s="1">
        <v>42796</v>
      </c>
      <c r="B1523">
        <v>1</v>
      </c>
      <c r="C1523">
        <v>1</v>
      </c>
      <c r="D1523">
        <v>23</v>
      </c>
    </row>
    <row r="1524" spans="1:4" x14ac:dyDescent="0.25">
      <c r="A1524" s="1">
        <v>42797</v>
      </c>
      <c r="B1524">
        <v>1</v>
      </c>
      <c r="C1524">
        <v>1</v>
      </c>
      <c r="D1524">
        <v>22</v>
      </c>
    </row>
    <row r="1525" spans="1:4" x14ac:dyDescent="0.25">
      <c r="A1525" s="1">
        <v>42798</v>
      </c>
      <c r="B1525">
        <v>1</v>
      </c>
      <c r="C1525">
        <v>1</v>
      </c>
      <c r="D1525">
        <v>13</v>
      </c>
    </row>
    <row r="1526" spans="1:4" x14ac:dyDescent="0.25">
      <c r="A1526" s="1">
        <v>42799</v>
      </c>
      <c r="B1526">
        <v>1</v>
      </c>
      <c r="C1526">
        <v>1</v>
      </c>
      <c r="D1526">
        <v>25</v>
      </c>
    </row>
    <row r="1527" spans="1:4" x14ac:dyDescent="0.25">
      <c r="A1527" s="1">
        <v>42800</v>
      </c>
      <c r="B1527">
        <v>1</v>
      </c>
      <c r="C1527">
        <v>1</v>
      </c>
      <c r="D1527">
        <v>11</v>
      </c>
    </row>
    <row r="1528" spans="1:4" x14ac:dyDescent="0.25">
      <c r="A1528" s="1">
        <v>42801</v>
      </c>
      <c r="B1528">
        <v>1</v>
      </c>
      <c r="C1528">
        <v>1</v>
      </c>
      <c r="D1528">
        <v>14</v>
      </c>
    </row>
    <row r="1529" spans="1:4" x14ac:dyDescent="0.25">
      <c r="A1529" s="1">
        <v>42802</v>
      </c>
      <c r="B1529">
        <v>1</v>
      </c>
      <c r="C1529">
        <v>1</v>
      </c>
      <c r="D1529">
        <v>17</v>
      </c>
    </row>
    <row r="1530" spans="1:4" x14ac:dyDescent="0.25">
      <c r="A1530" s="1">
        <v>42803</v>
      </c>
      <c r="B1530">
        <v>1</v>
      </c>
      <c r="C1530">
        <v>1</v>
      </c>
      <c r="D1530">
        <v>16</v>
      </c>
    </row>
    <row r="1531" spans="1:4" x14ac:dyDescent="0.25">
      <c r="A1531" s="1">
        <v>42804</v>
      </c>
      <c r="B1531">
        <v>1</v>
      </c>
      <c r="C1531">
        <v>1</v>
      </c>
      <c r="D1531">
        <v>18</v>
      </c>
    </row>
    <row r="1532" spans="1:4" x14ac:dyDescent="0.25">
      <c r="A1532" s="1">
        <v>42805</v>
      </c>
      <c r="B1532">
        <v>1</v>
      </c>
      <c r="C1532">
        <v>1</v>
      </c>
      <c r="D1532">
        <v>15</v>
      </c>
    </row>
    <row r="1533" spans="1:4" x14ac:dyDescent="0.25">
      <c r="A1533" s="1">
        <v>42806</v>
      </c>
      <c r="B1533">
        <v>1</v>
      </c>
      <c r="C1533">
        <v>1</v>
      </c>
      <c r="D1533">
        <v>21</v>
      </c>
    </row>
    <row r="1534" spans="1:4" x14ac:dyDescent="0.25">
      <c r="A1534" s="1">
        <v>42807</v>
      </c>
      <c r="B1534">
        <v>1</v>
      </c>
      <c r="C1534">
        <v>1</v>
      </c>
      <c r="D1534">
        <v>14</v>
      </c>
    </row>
    <row r="1535" spans="1:4" x14ac:dyDescent="0.25">
      <c r="A1535" s="1">
        <v>42808</v>
      </c>
      <c r="B1535">
        <v>1</v>
      </c>
      <c r="C1535">
        <v>1</v>
      </c>
      <c r="D1535">
        <v>24</v>
      </c>
    </row>
    <row r="1536" spans="1:4" x14ac:dyDescent="0.25">
      <c r="A1536" s="1">
        <v>42809</v>
      </c>
      <c r="B1536">
        <v>1</v>
      </c>
      <c r="C1536">
        <v>1</v>
      </c>
      <c r="D1536">
        <v>22</v>
      </c>
    </row>
    <row r="1537" spans="1:4" x14ac:dyDescent="0.25">
      <c r="A1537" s="1">
        <v>42810</v>
      </c>
      <c r="B1537">
        <v>1</v>
      </c>
      <c r="C1537">
        <v>1</v>
      </c>
      <c r="D1537">
        <v>23</v>
      </c>
    </row>
    <row r="1538" spans="1:4" x14ac:dyDescent="0.25">
      <c r="A1538" s="1">
        <v>42811</v>
      </c>
      <c r="B1538">
        <v>1</v>
      </c>
      <c r="C1538">
        <v>1</v>
      </c>
      <c r="D1538">
        <v>17</v>
      </c>
    </row>
    <row r="1539" spans="1:4" x14ac:dyDescent="0.25">
      <c r="A1539" s="1">
        <v>42812</v>
      </c>
      <c r="B1539">
        <v>1</v>
      </c>
      <c r="C1539">
        <v>1</v>
      </c>
      <c r="D1539">
        <v>20</v>
      </c>
    </row>
    <row r="1540" spans="1:4" x14ac:dyDescent="0.25">
      <c r="A1540" s="1">
        <v>42813</v>
      </c>
      <c r="B1540">
        <v>1</v>
      </c>
      <c r="C1540">
        <v>1</v>
      </c>
      <c r="D1540">
        <v>25</v>
      </c>
    </row>
    <row r="1541" spans="1:4" x14ac:dyDescent="0.25">
      <c r="A1541" s="1">
        <v>42814</v>
      </c>
      <c r="B1541">
        <v>1</v>
      </c>
      <c r="C1541">
        <v>1</v>
      </c>
      <c r="D1541">
        <v>14</v>
      </c>
    </row>
    <row r="1542" spans="1:4" x14ac:dyDescent="0.25">
      <c r="A1542" s="1">
        <v>42815</v>
      </c>
      <c r="B1542">
        <v>1</v>
      </c>
      <c r="C1542">
        <v>1</v>
      </c>
      <c r="D1542">
        <v>13</v>
      </c>
    </row>
    <row r="1543" spans="1:4" x14ac:dyDescent="0.25">
      <c r="A1543" s="1">
        <v>42816</v>
      </c>
      <c r="B1543">
        <v>1</v>
      </c>
      <c r="C1543">
        <v>1</v>
      </c>
      <c r="D1543">
        <v>23</v>
      </c>
    </row>
    <row r="1544" spans="1:4" x14ac:dyDescent="0.25">
      <c r="A1544" s="1">
        <v>42817</v>
      </c>
      <c r="B1544">
        <v>1</v>
      </c>
      <c r="C1544">
        <v>1</v>
      </c>
      <c r="D1544">
        <v>18</v>
      </c>
    </row>
    <row r="1545" spans="1:4" x14ac:dyDescent="0.25">
      <c r="A1545" s="1">
        <v>42818</v>
      </c>
      <c r="B1545">
        <v>1</v>
      </c>
      <c r="C1545">
        <v>1</v>
      </c>
      <c r="D1545">
        <v>19</v>
      </c>
    </row>
    <row r="1546" spans="1:4" x14ac:dyDescent="0.25">
      <c r="A1546" s="1">
        <v>42819</v>
      </c>
      <c r="B1546">
        <v>1</v>
      </c>
      <c r="C1546">
        <v>1</v>
      </c>
      <c r="D1546">
        <v>20</v>
      </c>
    </row>
    <row r="1547" spans="1:4" x14ac:dyDescent="0.25">
      <c r="A1547" s="1">
        <v>42820</v>
      </c>
      <c r="B1547">
        <v>1</v>
      </c>
      <c r="C1547">
        <v>1</v>
      </c>
      <c r="D1547">
        <v>17</v>
      </c>
    </row>
    <row r="1548" spans="1:4" x14ac:dyDescent="0.25">
      <c r="A1548" s="1">
        <v>42821</v>
      </c>
      <c r="B1548">
        <v>1</v>
      </c>
      <c r="C1548">
        <v>1</v>
      </c>
      <c r="D1548">
        <v>21</v>
      </c>
    </row>
    <row r="1549" spans="1:4" x14ac:dyDescent="0.25">
      <c r="A1549" s="1">
        <v>42822</v>
      </c>
      <c r="B1549">
        <v>1</v>
      </c>
      <c r="C1549">
        <v>1</v>
      </c>
      <c r="D1549">
        <v>13</v>
      </c>
    </row>
    <row r="1550" spans="1:4" x14ac:dyDescent="0.25">
      <c r="A1550" s="1">
        <v>42823</v>
      </c>
      <c r="B1550">
        <v>1</v>
      </c>
      <c r="C1550">
        <v>1</v>
      </c>
      <c r="D1550">
        <v>12</v>
      </c>
    </row>
    <row r="1551" spans="1:4" x14ac:dyDescent="0.25">
      <c r="A1551" s="1">
        <v>42824</v>
      </c>
      <c r="B1551">
        <v>1</v>
      </c>
      <c r="C1551">
        <v>1</v>
      </c>
      <c r="D1551">
        <v>22</v>
      </c>
    </row>
    <row r="1552" spans="1:4" x14ac:dyDescent="0.25">
      <c r="A1552" s="1">
        <v>42825</v>
      </c>
      <c r="B1552">
        <v>1</v>
      </c>
      <c r="C1552">
        <v>1</v>
      </c>
      <c r="D1552">
        <v>13</v>
      </c>
    </row>
    <row r="1553" spans="1:4" x14ac:dyDescent="0.25">
      <c r="A1553" s="1">
        <v>42826</v>
      </c>
      <c r="B1553">
        <v>1</v>
      </c>
      <c r="C1553">
        <v>1</v>
      </c>
      <c r="D1553">
        <v>26</v>
      </c>
    </row>
    <row r="1554" spans="1:4" x14ac:dyDescent="0.25">
      <c r="A1554" s="1">
        <v>42827</v>
      </c>
      <c r="B1554">
        <v>1</v>
      </c>
      <c r="C1554">
        <v>1</v>
      </c>
      <c r="D1554">
        <v>21</v>
      </c>
    </row>
    <row r="1555" spans="1:4" x14ac:dyDescent="0.25">
      <c r="A1555" s="1">
        <v>42828</v>
      </c>
      <c r="B1555">
        <v>1</v>
      </c>
      <c r="C1555">
        <v>1</v>
      </c>
      <c r="D1555">
        <v>17</v>
      </c>
    </row>
    <row r="1556" spans="1:4" x14ac:dyDescent="0.25">
      <c r="A1556" s="1">
        <v>42829</v>
      </c>
      <c r="B1556">
        <v>1</v>
      </c>
      <c r="C1556">
        <v>1</v>
      </c>
      <c r="D1556">
        <v>22</v>
      </c>
    </row>
    <row r="1557" spans="1:4" x14ac:dyDescent="0.25">
      <c r="A1557" s="1">
        <v>42830</v>
      </c>
      <c r="B1557">
        <v>1</v>
      </c>
      <c r="C1557">
        <v>1</v>
      </c>
      <c r="D1557">
        <v>21</v>
      </c>
    </row>
    <row r="1558" spans="1:4" x14ac:dyDescent="0.25">
      <c r="A1558" s="1">
        <v>42831</v>
      </c>
      <c r="B1558">
        <v>1</v>
      </c>
      <c r="C1558">
        <v>1</v>
      </c>
      <c r="D1558">
        <v>25</v>
      </c>
    </row>
    <row r="1559" spans="1:4" x14ac:dyDescent="0.25">
      <c r="A1559" s="1">
        <v>42832</v>
      </c>
      <c r="B1559">
        <v>1</v>
      </c>
      <c r="C1559">
        <v>1</v>
      </c>
      <c r="D1559">
        <v>25</v>
      </c>
    </row>
    <row r="1560" spans="1:4" x14ac:dyDescent="0.25">
      <c r="A1560" s="1">
        <v>42833</v>
      </c>
      <c r="B1560">
        <v>1</v>
      </c>
      <c r="C1560">
        <v>1</v>
      </c>
      <c r="D1560">
        <v>23</v>
      </c>
    </row>
    <row r="1561" spans="1:4" x14ac:dyDescent="0.25">
      <c r="A1561" s="1">
        <v>42834</v>
      </c>
      <c r="B1561">
        <v>1</v>
      </c>
      <c r="C1561">
        <v>1</v>
      </c>
      <c r="D1561">
        <v>20</v>
      </c>
    </row>
    <row r="1562" spans="1:4" x14ac:dyDescent="0.25">
      <c r="A1562" s="1">
        <v>42835</v>
      </c>
      <c r="B1562">
        <v>1</v>
      </c>
      <c r="C1562">
        <v>1</v>
      </c>
      <c r="D1562">
        <v>19</v>
      </c>
    </row>
    <row r="1563" spans="1:4" x14ac:dyDescent="0.25">
      <c r="A1563" s="1">
        <v>42836</v>
      </c>
      <c r="B1563">
        <v>1</v>
      </c>
      <c r="C1563">
        <v>1</v>
      </c>
      <c r="D1563">
        <v>21</v>
      </c>
    </row>
    <row r="1564" spans="1:4" x14ac:dyDescent="0.25">
      <c r="A1564" s="1">
        <v>42837</v>
      </c>
      <c r="B1564">
        <v>1</v>
      </c>
      <c r="C1564">
        <v>1</v>
      </c>
      <c r="D1564">
        <v>17</v>
      </c>
    </row>
    <row r="1565" spans="1:4" x14ac:dyDescent="0.25">
      <c r="A1565" s="1">
        <v>42838</v>
      </c>
      <c r="B1565">
        <v>1</v>
      </c>
      <c r="C1565">
        <v>1</v>
      </c>
      <c r="D1565">
        <v>25</v>
      </c>
    </row>
    <row r="1566" spans="1:4" x14ac:dyDescent="0.25">
      <c r="A1566" s="1">
        <v>42839</v>
      </c>
      <c r="B1566">
        <v>1</v>
      </c>
      <c r="C1566">
        <v>1</v>
      </c>
      <c r="D1566">
        <v>15</v>
      </c>
    </row>
    <row r="1567" spans="1:4" x14ac:dyDescent="0.25">
      <c r="A1567" s="1">
        <v>42840</v>
      </c>
      <c r="B1567">
        <v>1</v>
      </c>
      <c r="C1567">
        <v>1</v>
      </c>
      <c r="D1567">
        <v>20</v>
      </c>
    </row>
    <row r="1568" spans="1:4" x14ac:dyDescent="0.25">
      <c r="A1568" s="1">
        <v>42841</v>
      </c>
      <c r="B1568">
        <v>1</v>
      </c>
      <c r="C1568">
        <v>1</v>
      </c>
      <c r="D1568">
        <v>32</v>
      </c>
    </row>
    <row r="1569" spans="1:4" x14ac:dyDescent="0.25">
      <c r="A1569" s="1">
        <v>42842</v>
      </c>
      <c r="B1569">
        <v>1</v>
      </c>
      <c r="C1569">
        <v>1</v>
      </c>
      <c r="D1569">
        <v>13</v>
      </c>
    </row>
    <row r="1570" spans="1:4" x14ac:dyDescent="0.25">
      <c r="A1570" s="1">
        <v>42843</v>
      </c>
      <c r="B1570">
        <v>1</v>
      </c>
      <c r="C1570">
        <v>1</v>
      </c>
      <c r="D1570">
        <v>21</v>
      </c>
    </row>
    <row r="1571" spans="1:4" x14ac:dyDescent="0.25">
      <c r="A1571" s="1">
        <v>42844</v>
      </c>
      <c r="B1571">
        <v>1</v>
      </c>
      <c r="C1571">
        <v>1</v>
      </c>
      <c r="D1571">
        <v>19</v>
      </c>
    </row>
    <row r="1572" spans="1:4" x14ac:dyDescent="0.25">
      <c r="A1572" s="1">
        <v>42845</v>
      </c>
      <c r="B1572">
        <v>1</v>
      </c>
      <c r="C1572">
        <v>1</v>
      </c>
      <c r="D1572">
        <v>26</v>
      </c>
    </row>
    <row r="1573" spans="1:4" x14ac:dyDescent="0.25">
      <c r="A1573" s="1">
        <v>42846</v>
      </c>
      <c r="B1573">
        <v>1</v>
      </c>
      <c r="C1573">
        <v>1</v>
      </c>
      <c r="D1573">
        <v>27</v>
      </c>
    </row>
    <row r="1574" spans="1:4" x14ac:dyDescent="0.25">
      <c r="A1574" s="1">
        <v>42847</v>
      </c>
      <c r="B1574">
        <v>1</v>
      </c>
      <c r="C1574">
        <v>1</v>
      </c>
      <c r="D1574">
        <v>19</v>
      </c>
    </row>
    <row r="1575" spans="1:4" x14ac:dyDescent="0.25">
      <c r="A1575" s="1">
        <v>42848</v>
      </c>
      <c r="B1575">
        <v>1</v>
      </c>
      <c r="C1575">
        <v>1</v>
      </c>
      <c r="D1575">
        <v>22</v>
      </c>
    </row>
    <row r="1576" spans="1:4" x14ac:dyDescent="0.25">
      <c r="A1576" s="1">
        <v>42849</v>
      </c>
      <c r="B1576">
        <v>1</v>
      </c>
      <c r="C1576">
        <v>1</v>
      </c>
      <c r="D1576">
        <v>17</v>
      </c>
    </row>
    <row r="1577" spans="1:4" x14ac:dyDescent="0.25">
      <c r="A1577" s="1">
        <v>42850</v>
      </c>
      <c r="B1577">
        <v>1</v>
      </c>
      <c r="C1577">
        <v>1</v>
      </c>
      <c r="D1577">
        <v>26</v>
      </c>
    </row>
    <row r="1578" spans="1:4" x14ac:dyDescent="0.25">
      <c r="A1578" s="1">
        <v>42851</v>
      </c>
      <c r="B1578">
        <v>1</v>
      </c>
      <c r="C1578">
        <v>1</v>
      </c>
      <c r="D1578">
        <v>22</v>
      </c>
    </row>
    <row r="1579" spans="1:4" x14ac:dyDescent="0.25">
      <c r="A1579" s="1">
        <v>42852</v>
      </c>
      <c r="B1579">
        <v>1</v>
      </c>
      <c r="C1579">
        <v>1</v>
      </c>
      <c r="D1579">
        <v>26</v>
      </c>
    </row>
    <row r="1580" spans="1:4" x14ac:dyDescent="0.25">
      <c r="A1580" s="1">
        <v>42853</v>
      </c>
      <c r="B1580">
        <v>1</v>
      </c>
      <c r="C1580">
        <v>1</v>
      </c>
      <c r="D1580">
        <v>25</v>
      </c>
    </row>
    <row r="1581" spans="1:4" x14ac:dyDescent="0.25">
      <c r="A1581" s="1">
        <v>42854</v>
      </c>
      <c r="B1581">
        <v>1</v>
      </c>
      <c r="C1581">
        <v>1</v>
      </c>
      <c r="D1581">
        <v>32</v>
      </c>
    </row>
    <row r="1582" spans="1:4" x14ac:dyDescent="0.25">
      <c r="A1582" s="1">
        <v>42855</v>
      </c>
      <c r="B1582">
        <v>1</v>
      </c>
      <c r="C1582">
        <v>1</v>
      </c>
      <c r="D1582">
        <v>33</v>
      </c>
    </row>
    <row r="1583" spans="1:4" x14ac:dyDescent="0.25">
      <c r="A1583" s="1">
        <v>42856</v>
      </c>
      <c r="B1583">
        <v>1</v>
      </c>
      <c r="C1583">
        <v>1</v>
      </c>
      <c r="D1583">
        <v>15</v>
      </c>
    </row>
    <row r="1584" spans="1:4" x14ac:dyDescent="0.25">
      <c r="A1584" s="1">
        <v>42857</v>
      </c>
      <c r="B1584">
        <v>1</v>
      </c>
      <c r="C1584">
        <v>1</v>
      </c>
      <c r="D1584">
        <v>21</v>
      </c>
    </row>
    <row r="1585" spans="1:4" x14ac:dyDescent="0.25">
      <c r="A1585" s="1">
        <v>42858</v>
      </c>
      <c r="B1585">
        <v>1</v>
      </c>
      <c r="C1585">
        <v>1</v>
      </c>
      <c r="D1585">
        <v>29</v>
      </c>
    </row>
    <row r="1586" spans="1:4" x14ac:dyDescent="0.25">
      <c r="A1586" s="1">
        <v>42859</v>
      </c>
      <c r="B1586">
        <v>1</v>
      </c>
      <c r="C1586">
        <v>1</v>
      </c>
      <c r="D1586">
        <v>19</v>
      </c>
    </row>
    <row r="1587" spans="1:4" x14ac:dyDescent="0.25">
      <c r="A1587" s="1">
        <v>42860</v>
      </c>
      <c r="B1587">
        <v>1</v>
      </c>
      <c r="C1587">
        <v>1</v>
      </c>
      <c r="D1587">
        <v>28</v>
      </c>
    </row>
    <row r="1588" spans="1:4" x14ac:dyDescent="0.25">
      <c r="A1588" s="1">
        <v>42861</v>
      </c>
      <c r="B1588">
        <v>1</v>
      </c>
      <c r="C1588">
        <v>1</v>
      </c>
      <c r="D1588">
        <v>34</v>
      </c>
    </row>
    <row r="1589" spans="1:4" x14ac:dyDescent="0.25">
      <c r="A1589" s="1">
        <v>42862</v>
      </c>
      <c r="B1589">
        <v>1</v>
      </c>
      <c r="C1589">
        <v>1</v>
      </c>
      <c r="D1589">
        <v>31</v>
      </c>
    </row>
    <row r="1590" spans="1:4" x14ac:dyDescent="0.25">
      <c r="A1590" s="1">
        <v>42863</v>
      </c>
      <c r="B1590">
        <v>1</v>
      </c>
      <c r="C1590">
        <v>1</v>
      </c>
      <c r="D1590">
        <v>24</v>
      </c>
    </row>
    <row r="1591" spans="1:4" x14ac:dyDescent="0.25">
      <c r="A1591" s="1">
        <v>42864</v>
      </c>
      <c r="B1591">
        <v>1</v>
      </c>
      <c r="C1591">
        <v>1</v>
      </c>
      <c r="D1591">
        <v>32</v>
      </c>
    </row>
    <row r="1592" spans="1:4" x14ac:dyDescent="0.25">
      <c r="A1592" s="1">
        <v>42865</v>
      </c>
      <c r="B1592">
        <v>1</v>
      </c>
      <c r="C1592">
        <v>1</v>
      </c>
      <c r="D1592">
        <v>17</v>
      </c>
    </row>
    <row r="1593" spans="1:4" x14ac:dyDescent="0.25">
      <c r="A1593" s="1">
        <v>42866</v>
      </c>
      <c r="B1593">
        <v>1</v>
      </c>
      <c r="C1593">
        <v>1</v>
      </c>
      <c r="D1593">
        <v>18</v>
      </c>
    </row>
    <row r="1594" spans="1:4" x14ac:dyDescent="0.25">
      <c r="A1594" s="1">
        <v>42867</v>
      </c>
      <c r="B1594">
        <v>1</v>
      </c>
      <c r="C1594">
        <v>1</v>
      </c>
      <c r="D1594">
        <v>26</v>
      </c>
    </row>
    <row r="1595" spans="1:4" x14ac:dyDescent="0.25">
      <c r="A1595" s="1">
        <v>42868</v>
      </c>
      <c r="B1595">
        <v>1</v>
      </c>
      <c r="C1595">
        <v>1</v>
      </c>
      <c r="D1595">
        <v>25</v>
      </c>
    </row>
    <row r="1596" spans="1:4" x14ac:dyDescent="0.25">
      <c r="A1596" s="1">
        <v>42869</v>
      </c>
      <c r="B1596">
        <v>1</v>
      </c>
      <c r="C1596">
        <v>1</v>
      </c>
      <c r="D1596">
        <v>32</v>
      </c>
    </row>
    <row r="1597" spans="1:4" x14ac:dyDescent="0.25">
      <c r="A1597" s="1">
        <v>42870</v>
      </c>
      <c r="B1597">
        <v>1</v>
      </c>
      <c r="C1597">
        <v>1</v>
      </c>
      <c r="D1597">
        <v>17</v>
      </c>
    </row>
    <row r="1598" spans="1:4" x14ac:dyDescent="0.25">
      <c r="A1598" s="1">
        <v>42871</v>
      </c>
      <c r="B1598">
        <v>1</v>
      </c>
      <c r="C1598">
        <v>1</v>
      </c>
      <c r="D1598">
        <v>24</v>
      </c>
    </row>
    <row r="1599" spans="1:4" x14ac:dyDescent="0.25">
      <c r="A1599" s="1">
        <v>42872</v>
      </c>
      <c r="B1599">
        <v>1</v>
      </c>
      <c r="C1599">
        <v>1</v>
      </c>
      <c r="D1599">
        <v>16</v>
      </c>
    </row>
    <row r="1600" spans="1:4" x14ac:dyDescent="0.25">
      <c r="A1600" s="1">
        <v>42873</v>
      </c>
      <c r="B1600">
        <v>1</v>
      </c>
      <c r="C1600">
        <v>1</v>
      </c>
      <c r="D1600">
        <v>32</v>
      </c>
    </row>
    <row r="1601" spans="1:4" x14ac:dyDescent="0.25">
      <c r="A1601" s="1">
        <v>42874</v>
      </c>
      <c r="B1601">
        <v>1</v>
      </c>
      <c r="C1601">
        <v>1</v>
      </c>
      <c r="D1601">
        <v>35</v>
      </c>
    </row>
    <row r="1602" spans="1:4" x14ac:dyDescent="0.25">
      <c r="A1602" s="1">
        <v>42875</v>
      </c>
      <c r="B1602">
        <v>1</v>
      </c>
      <c r="C1602">
        <v>1</v>
      </c>
      <c r="D1602">
        <v>34</v>
      </c>
    </row>
    <row r="1603" spans="1:4" x14ac:dyDescent="0.25">
      <c r="A1603" s="1">
        <v>42876</v>
      </c>
      <c r="B1603">
        <v>1</v>
      </c>
      <c r="C1603">
        <v>1</v>
      </c>
      <c r="D1603">
        <v>25</v>
      </c>
    </row>
    <row r="1604" spans="1:4" x14ac:dyDescent="0.25">
      <c r="A1604" s="1">
        <v>42877</v>
      </c>
      <c r="B1604">
        <v>1</v>
      </c>
      <c r="C1604">
        <v>1</v>
      </c>
      <c r="D1604">
        <v>20</v>
      </c>
    </row>
    <row r="1605" spans="1:4" x14ac:dyDescent="0.25">
      <c r="A1605" s="1">
        <v>42878</v>
      </c>
      <c r="B1605">
        <v>1</v>
      </c>
      <c r="C1605">
        <v>1</v>
      </c>
      <c r="D1605">
        <v>15</v>
      </c>
    </row>
    <row r="1606" spans="1:4" x14ac:dyDescent="0.25">
      <c r="A1606" s="1">
        <v>42879</v>
      </c>
      <c r="B1606">
        <v>1</v>
      </c>
      <c r="C1606">
        <v>1</v>
      </c>
      <c r="D1606">
        <v>30</v>
      </c>
    </row>
    <row r="1607" spans="1:4" x14ac:dyDescent="0.25">
      <c r="A1607" s="1">
        <v>42880</v>
      </c>
      <c r="B1607">
        <v>1</v>
      </c>
      <c r="C1607">
        <v>1</v>
      </c>
      <c r="D1607">
        <v>22</v>
      </c>
    </row>
    <row r="1608" spans="1:4" x14ac:dyDescent="0.25">
      <c r="A1608" s="1">
        <v>42881</v>
      </c>
      <c r="B1608">
        <v>1</v>
      </c>
      <c r="C1608">
        <v>1</v>
      </c>
      <c r="D1608">
        <v>24</v>
      </c>
    </row>
    <row r="1609" spans="1:4" x14ac:dyDescent="0.25">
      <c r="A1609" s="1">
        <v>42882</v>
      </c>
      <c r="B1609">
        <v>1</v>
      </c>
      <c r="C1609">
        <v>1</v>
      </c>
      <c r="D1609">
        <v>35</v>
      </c>
    </row>
    <row r="1610" spans="1:4" x14ac:dyDescent="0.25">
      <c r="A1610" s="1">
        <v>42883</v>
      </c>
      <c r="B1610">
        <v>1</v>
      </c>
      <c r="C1610">
        <v>1</v>
      </c>
      <c r="D1610">
        <v>33</v>
      </c>
    </row>
    <row r="1611" spans="1:4" x14ac:dyDescent="0.25">
      <c r="A1611" s="1">
        <v>42884</v>
      </c>
      <c r="B1611">
        <v>1</v>
      </c>
      <c r="C1611">
        <v>1</v>
      </c>
      <c r="D1611">
        <v>23</v>
      </c>
    </row>
    <row r="1612" spans="1:4" x14ac:dyDescent="0.25">
      <c r="A1612" s="1">
        <v>42885</v>
      </c>
      <c r="B1612">
        <v>1</v>
      </c>
      <c r="C1612">
        <v>1</v>
      </c>
      <c r="D1612">
        <v>17</v>
      </c>
    </row>
    <row r="1613" spans="1:4" x14ac:dyDescent="0.25">
      <c r="A1613" s="1">
        <v>42886</v>
      </c>
      <c r="B1613">
        <v>1</v>
      </c>
      <c r="C1613">
        <v>1</v>
      </c>
      <c r="D1613">
        <v>20</v>
      </c>
    </row>
    <row r="1614" spans="1:4" x14ac:dyDescent="0.25">
      <c r="A1614" s="1">
        <v>42887</v>
      </c>
      <c r="B1614">
        <v>1</v>
      </c>
      <c r="C1614">
        <v>1</v>
      </c>
      <c r="D1614">
        <v>29</v>
      </c>
    </row>
    <row r="1615" spans="1:4" x14ac:dyDescent="0.25">
      <c r="A1615" s="1">
        <v>42888</v>
      </c>
      <c r="B1615">
        <v>1</v>
      </c>
      <c r="C1615">
        <v>1</v>
      </c>
      <c r="D1615">
        <v>25</v>
      </c>
    </row>
    <row r="1616" spans="1:4" x14ac:dyDescent="0.25">
      <c r="A1616" s="1">
        <v>42889</v>
      </c>
      <c r="B1616">
        <v>1</v>
      </c>
      <c r="C1616">
        <v>1</v>
      </c>
      <c r="D1616">
        <v>36</v>
      </c>
    </row>
    <row r="1617" spans="1:4" x14ac:dyDescent="0.25">
      <c r="A1617" s="1">
        <v>42890</v>
      </c>
      <c r="B1617">
        <v>1</v>
      </c>
      <c r="C1617">
        <v>1</v>
      </c>
      <c r="D1617">
        <v>27</v>
      </c>
    </row>
    <row r="1618" spans="1:4" x14ac:dyDescent="0.25">
      <c r="A1618" s="1">
        <v>42891</v>
      </c>
      <c r="B1618">
        <v>1</v>
      </c>
      <c r="C1618">
        <v>1</v>
      </c>
      <c r="D1618">
        <v>22</v>
      </c>
    </row>
    <row r="1619" spans="1:4" x14ac:dyDescent="0.25">
      <c r="A1619" s="1">
        <v>42892</v>
      </c>
      <c r="B1619">
        <v>1</v>
      </c>
      <c r="C1619">
        <v>1</v>
      </c>
      <c r="D1619">
        <v>22</v>
      </c>
    </row>
    <row r="1620" spans="1:4" x14ac:dyDescent="0.25">
      <c r="A1620" s="1">
        <v>42893</v>
      </c>
      <c r="B1620">
        <v>1</v>
      </c>
      <c r="C1620">
        <v>1</v>
      </c>
      <c r="D1620">
        <v>29</v>
      </c>
    </row>
    <row r="1621" spans="1:4" x14ac:dyDescent="0.25">
      <c r="A1621" s="1">
        <v>42894</v>
      </c>
      <c r="B1621">
        <v>1</v>
      </c>
      <c r="C1621">
        <v>1</v>
      </c>
      <c r="D1621">
        <v>26</v>
      </c>
    </row>
    <row r="1622" spans="1:4" x14ac:dyDescent="0.25">
      <c r="A1622" s="1">
        <v>42895</v>
      </c>
      <c r="B1622">
        <v>1</v>
      </c>
      <c r="C1622">
        <v>1</v>
      </c>
      <c r="D1622">
        <v>16</v>
      </c>
    </row>
    <row r="1623" spans="1:4" x14ac:dyDescent="0.25">
      <c r="A1623" s="1">
        <v>42896</v>
      </c>
      <c r="B1623">
        <v>1</v>
      </c>
      <c r="C1623">
        <v>1</v>
      </c>
      <c r="D1623">
        <v>41</v>
      </c>
    </row>
    <row r="1624" spans="1:4" x14ac:dyDescent="0.25">
      <c r="A1624" s="1">
        <v>42897</v>
      </c>
      <c r="B1624">
        <v>1</v>
      </c>
      <c r="C1624">
        <v>1</v>
      </c>
      <c r="D1624">
        <v>28</v>
      </c>
    </row>
    <row r="1625" spans="1:4" x14ac:dyDescent="0.25">
      <c r="A1625" s="1">
        <v>42898</v>
      </c>
      <c r="B1625">
        <v>1</v>
      </c>
      <c r="C1625">
        <v>1</v>
      </c>
      <c r="D1625">
        <v>23</v>
      </c>
    </row>
    <row r="1626" spans="1:4" x14ac:dyDescent="0.25">
      <c r="A1626" s="1">
        <v>42899</v>
      </c>
      <c r="B1626">
        <v>1</v>
      </c>
      <c r="C1626">
        <v>1</v>
      </c>
      <c r="D1626">
        <v>26</v>
      </c>
    </row>
    <row r="1627" spans="1:4" x14ac:dyDescent="0.25">
      <c r="A1627" s="1">
        <v>42900</v>
      </c>
      <c r="B1627">
        <v>1</v>
      </c>
      <c r="C1627">
        <v>1</v>
      </c>
      <c r="D1627">
        <v>32</v>
      </c>
    </row>
    <row r="1628" spans="1:4" x14ac:dyDescent="0.25">
      <c r="A1628" s="1">
        <v>42901</v>
      </c>
      <c r="B1628">
        <v>1</v>
      </c>
      <c r="C1628">
        <v>1</v>
      </c>
      <c r="D1628">
        <v>30</v>
      </c>
    </row>
    <row r="1629" spans="1:4" x14ac:dyDescent="0.25">
      <c r="A1629" s="1">
        <v>42902</v>
      </c>
      <c r="B1629">
        <v>1</v>
      </c>
      <c r="C1629">
        <v>1</v>
      </c>
      <c r="D1629">
        <v>26</v>
      </c>
    </row>
    <row r="1630" spans="1:4" x14ac:dyDescent="0.25">
      <c r="A1630" s="1">
        <v>42903</v>
      </c>
      <c r="B1630">
        <v>1</v>
      </c>
      <c r="C1630">
        <v>1</v>
      </c>
      <c r="D1630">
        <v>31</v>
      </c>
    </row>
    <row r="1631" spans="1:4" x14ac:dyDescent="0.25">
      <c r="A1631" s="1">
        <v>42904</v>
      </c>
      <c r="B1631">
        <v>1</v>
      </c>
      <c r="C1631">
        <v>1</v>
      </c>
      <c r="D1631">
        <v>38</v>
      </c>
    </row>
    <row r="1632" spans="1:4" x14ac:dyDescent="0.25">
      <c r="A1632" s="1">
        <v>42905</v>
      </c>
      <c r="B1632">
        <v>1</v>
      </c>
      <c r="C1632">
        <v>1</v>
      </c>
      <c r="D1632">
        <v>30</v>
      </c>
    </row>
    <row r="1633" spans="1:4" x14ac:dyDescent="0.25">
      <c r="A1633" s="1">
        <v>42906</v>
      </c>
      <c r="B1633">
        <v>1</v>
      </c>
      <c r="C1633">
        <v>1</v>
      </c>
      <c r="D1633">
        <v>22</v>
      </c>
    </row>
    <row r="1634" spans="1:4" x14ac:dyDescent="0.25">
      <c r="A1634" s="1">
        <v>42907</v>
      </c>
      <c r="B1634">
        <v>1</v>
      </c>
      <c r="C1634">
        <v>1</v>
      </c>
      <c r="D1634">
        <v>26</v>
      </c>
    </row>
    <row r="1635" spans="1:4" x14ac:dyDescent="0.25">
      <c r="A1635" s="1">
        <v>42908</v>
      </c>
      <c r="B1635">
        <v>1</v>
      </c>
      <c r="C1635">
        <v>1</v>
      </c>
      <c r="D1635">
        <v>24</v>
      </c>
    </row>
    <row r="1636" spans="1:4" x14ac:dyDescent="0.25">
      <c r="A1636" s="1">
        <v>42909</v>
      </c>
      <c r="B1636">
        <v>1</v>
      </c>
      <c r="C1636">
        <v>1</v>
      </c>
      <c r="D1636">
        <v>26</v>
      </c>
    </row>
    <row r="1637" spans="1:4" x14ac:dyDescent="0.25">
      <c r="A1637" s="1">
        <v>42910</v>
      </c>
      <c r="B1637">
        <v>1</v>
      </c>
      <c r="C1637">
        <v>1</v>
      </c>
      <c r="D1637">
        <v>30</v>
      </c>
    </row>
    <row r="1638" spans="1:4" x14ac:dyDescent="0.25">
      <c r="A1638" s="1">
        <v>42911</v>
      </c>
      <c r="B1638">
        <v>1</v>
      </c>
      <c r="C1638">
        <v>1</v>
      </c>
      <c r="D1638">
        <v>26</v>
      </c>
    </row>
    <row r="1639" spans="1:4" x14ac:dyDescent="0.25">
      <c r="A1639" s="1">
        <v>42912</v>
      </c>
      <c r="B1639">
        <v>1</v>
      </c>
      <c r="C1639">
        <v>1</v>
      </c>
      <c r="D1639">
        <v>21</v>
      </c>
    </row>
    <row r="1640" spans="1:4" x14ac:dyDescent="0.25">
      <c r="A1640" s="1">
        <v>42913</v>
      </c>
      <c r="B1640">
        <v>1</v>
      </c>
      <c r="C1640">
        <v>1</v>
      </c>
      <c r="D1640">
        <v>32</v>
      </c>
    </row>
    <row r="1641" spans="1:4" x14ac:dyDescent="0.25">
      <c r="A1641" s="1">
        <v>42914</v>
      </c>
      <c r="B1641">
        <v>1</v>
      </c>
      <c r="C1641">
        <v>1</v>
      </c>
      <c r="D1641">
        <v>50</v>
      </c>
    </row>
    <row r="1642" spans="1:4" x14ac:dyDescent="0.25">
      <c r="A1642" s="1">
        <v>42915</v>
      </c>
      <c r="B1642">
        <v>1</v>
      </c>
      <c r="C1642">
        <v>1</v>
      </c>
      <c r="D1642">
        <v>28</v>
      </c>
    </row>
    <row r="1643" spans="1:4" x14ac:dyDescent="0.25">
      <c r="A1643" s="1">
        <v>42916</v>
      </c>
      <c r="B1643">
        <v>1</v>
      </c>
      <c r="C1643">
        <v>1</v>
      </c>
      <c r="D1643">
        <v>28</v>
      </c>
    </row>
    <row r="1644" spans="1:4" x14ac:dyDescent="0.25">
      <c r="A1644" s="1">
        <v>42917</v>
      </c>
      <c r="B1644">
        <v>1</v>
      </c>
      <c r="C1644">
        <v>1</v>
      </c>
      <c r="D1644">
        <v>31</v>
      </c>
    </row>
    <row r="1645" spans="1:4" x14ac:dyDescent="0.25">
      <c r="A1645" s="1">
        <v>42918</v>
      </c>
      <c r="B1645">
        <v>1</v>
      </c>
      <c r="C1645">
        <v>1</v>
      </c>
      <c r="D1645">
        <v>38</v>
      </c>
    </row>
    <row r="1646" spans="1:4" x14ac:dyDescent="0.25">
      <c r="A1646" s="1">
        <v>42919</v>
      </c>
      <c r="B1646">
        <v>1</v>
      </c>
      <c r="C1646">
        <v>1</v>
      </c>
      <c r="D1646">
        <v>18</v>
      </c>
    </row>
    <row r="1647" spans="1:4" x14ac:dyDescent="0.25">
      <c r="A1647" s="1">
        <v>42920</v>
      </c>
      <c r="B1647">
        <v>1</v>
      </c>
      <c r="C1647">
        <v>1</v>
      </c>
      <c r="D1647">
        <v>23</v>
      </c>
    </row>
    <row r="1648" spans="1:4" x14ac:dyDescent="0.25">
      <c r="A1648" s="1">
        <v>42921</v>
      </c>
      <c r="B1648">
        <v>1</v>
      </c>
      <c r="C1648">
        <v>1</v>
      </c>
      <c r="D1648">
        <v>23</v>
      </c>
    </row>
    <row r="1649" spans="1:4" x14ac:dyDescent="0.25">
      <c r="A1649" s="1">
        <v>42922</v>
      </c>
      <c r="B1649">
        <v>1</v>
      </c>
      <c r="C1649">
        <v>1</v>
      </c>
      <c r="D1649">
        <v>31</v>
      </c>
    </row>
    <row r="1650" spans="1:4" x14ac:dyDescent="0.25">
      <c r="A1650" s="1">
        <v>42923</v>
      </c>
      <c r="B1650">
        <v>1</v>
      </c>
      <c r="C1650">
        <v>1</v>
      </c>
      <c r="D1650">
        <v>32</v>
      </c>
    </row>
    <row r="1651" spans="1:4" x14ac:dyDescent="0.25">
      <c r="A1651" s="1">
        <v>42924</v>
      </c>
      <c r="B1651">
        <v>1</v>
      </c>
      <c r="C1651">
        <v>1</v>
      </c>
      <c r="D1651">
        <v>27</v>
      </c>
    </row>
    <row r="1652" spans="1:4" x14ac:dyDescent="0.25">
      <c r="A1652" s="1">
        <v>42925</v>
      </c>
      <c r="B1652">
        <v>1</v>
      </c>
      <c r="C1652">
        <v>1</v>
      </c>
      <c r="D1652">
        <v>32</v>
      </c>
    </row>
    <row r="1653" spans="1:4" x14ac:dyDescent="0.25">
      <c r="A1653" s="1">
        <v>42926</v>
      </c>
      <c r="B1653">
        <v>1</v>
      </c>
      <c r="C1653">
        <v>1</v>
      </c>
      <c r="D1653">
        <v>16</v>
      </c>
    </row>
    <row r="1654" spans="1:4" x14ac:dyDescent="0.25">
      <c r="A1654" s="1">
        <v>42927</v>
      </c>
      <c r="B1654">
        <v>1</v>
      </c>
      <c r="C1654">
        <v>1</v>
      </c>
      <c r="D1654">
        <v>23</v>
      </c>
    </row>
    <row r="1655" spans="1:4" x14ac:dyDescent="0.25">
      <c r="A1655" s="1">
        <v>42928</v>
      </c>
      <c r="B1655">
        <v>1</v>
      </c>
      <c r="C1655">
        <v>1</v>
      </c>
      <c r="D1655">
        <v>29</v>
      </c>
    </row>
    <row r="1656" spans="1:4" x14ac:dyDescent="0.25">
      <c r="A1656" s="1">
        <v>42929</v>
      </c>
      <c r="B1656">
        <v>1</v>
      </c>
      <c r="C1656">
        <v>1</v>
      </c>
      <c r="D1656">
        <v>22</v>
      </c>
    </row>
    <row r="1657" spans="1:4" x14ac:dyDescent="0.25">
      <c r="A1657" s="1">
        <v>42930</v>
      </c>
      <c r="B1657">
        <v>1</v>
      </c>
      <c r="C1657">
        <v>1</v>
      </c>
      <c r="D1657">
        <v>38</v>
      </c>
    </row>
    <row r="1658" spans="1:4" x14ac:dyDescent="0.25">
      <c r="A1658" s="1">
        <v>42931</v>
      </c>
      <c r="B1658">
        <v>1</v>
      </c>
      <c r="C1658">
        <v>1</v>
      </c>
      <c r="D1658">
        <v>40</v>
      </c>
    </row>
    <row r="1659" spans="1:4" x14ac:dyDescent="0.25">
      <c r="A1659" s="1">
        <v>42932</v>
      </c>
      <c r="B1659">
        <v>1</v>
      </c>
      <c r="C1659">
        <v>1</v>
      </c>
      <c r="D1659">
        <v>36</v>
      </c>
    </row>
    <row r="1660" spans="1:4" x14ac:dyDescent="0.25">
      <c r="A1660" s="1">
        <v>42933</v>
      </c>
      <c r="B1660">
        <v>1</v>
      </c>
      <c r="C1660">
        <v>1</v>
      </c>
      <c r="D1660">
        <v>20</v>
      </c>
    </row>
    <row r="1661" spans="1:4" x14ac:dyDescent="0.25">
      <c r="A1661" s="1">
        <v>42934</v>
      </c>
      <c r="B1661">
        <v>1</v>
      </c>
      <c r="C1661">
        <v>1</v>
      </c>
      <c r="D1661">
        <v>26</v>
      </c>
    </row>
    <row r="1662" spans="1:4" x14ac:dyDescent="0.25">
      <c r="A1662" s="1">
        <v>42935</v>
      </c>
      <c r="B1662">
        <v>1</v>
      </c>
      <c r="C1662">
        <v>1</v>
      </c>
      <c r="D1662">
        <v>24</v>
      </c>
    </row>
    <row r="1663" spans="1:4" x14ac:dyDescent="0.25">
      <c r="A1663" s="1">
        <v>42936</v>
      </c>
      <c r="B1663">
        <v>1</v>
      </c>
      <c r="C1663">
        <v>1</v>
      </c>
      <c r="D1663">
        <v>37</v>
      </c>
    </row>
    <row r="1664" spans="1:4" x14ac:dyDescent="0.25">
      <c r="A1664" s="1">
        <v>42937</v>
      </c>
      <c r="B1664">
        <v>1</v>
      </c>
      <c r="C1664">
        <v>1</v>
      </c>
      <c r="D1664">
        <v>27</v>
      </c>
    </row>
    <row r="1665" spans="1:4" x14ac:dyDescent="0.25">
      <c r="A1665" s="1">
        <v>42938</v>
      </c>
      <c r="B1665">
        <v>1</v>
      </c>
      <c r="C1665">
        <v>1</v>
      </c>
      <c r="D1665">
        <v>35</v>
      </c>
    </row>
    <row r="1666" spans="1:4" x14ac:dyDescent="0.25">
      <c r="A1666" s="1">
        <v>42939</v>
      </c>
      <c r="B1666">
        <v>1</v>
      </c>
      <c r="C1666">
        <v>1</v>
      </c>
      <c r="D1666">
        <v>32</v>
      </c>
    </row>
    <row r="1667" spans="1:4" x14ac:dyDescent="0.25">
      <c r="A1667" s="1">
        <v>42940</v>
      </c>
      <c r="B1667">
        <v>1</v>
      </c>
      <c r="C1667">
        <v>1</v>
      </c>
      <c r="D1667">
        <v>27</v>
      </c>
    </row>
    <row r="1668" spans="1:4" x14ac:dyDescent="0.25">
      <c r="A1668" s="1">
        <v>42941</v>
      </c>
      <c r="B1668">
        <v>1</v>
      </c>
      <c r="C1668">
        <v>1</v>
      </c>
      <c r="D1668">
        <v>20</v>
      </c>
    </row>
    <row r="1669" spans="1:4" x14ac:dyDescent="0.25">
      <c r="A1669" s="1">
        <v>42942</v>
      </c>
      <c r="B1669">
        <v>1</v>
      </c>
      <c r="C1669">
        <v>1</v>
      </c>
      <c r="D1669">
        <v>28</v>
      </c>
    </row>
    <row r="1670" spans="1:4" x14ac:dyDescent="0.25">
      <c r="A1670" s="1">
        <v>42943</v>
      </c>
      <c r="B1670">
        <v>1</v>
      </c>
      <c r="C1670">
        <v>1</v>
      </c>
      <c r="D1670">
        <v>35</v>
      </c>
    </row>
    <row r="1671" spans="1:4" x14ac:dyDescent="0.25">
      <c r="A1671" s="1">
        <v>42944</v>
      </c>
      <c r="B1671">
        <v>1</v>
      </c>
      <c r="C1671">
        <v>1</v>
      </c>
      <c r="D1671">
        <v>25</v>
      </c>
    </row>
    <row r="1672" spans="1:4" x14ac:dyDescent="0.25">
      <c r="A1672" s="1">
        <v>42945</v>
      </c>
      <c r="B1672">
        <v>1</v>
      </c>
      <c r="C1672">
        <v>1</v>
      </c>
      <c r="D1672">
        <v>30</v>
      </c>
    </row>
    <row r="1673" spans="1:4" x14ac:dyDescent="0.25">
      <c r="A1673" s="1">
        <v>42946</v>
      </c>
      <c r="B1673">
        <v>1</v>
      </c>
      <c r="C1673">
        <v>1</v>
      </c>
      <c r="D1673">
        <v>26</v>
      </c>
    </row>
    <row r="1674" spans="1:4" x14ac:dyDescent="0.25">
      <c r="A1674" s="1">
        <v>42947</v>
      </c>
      <c r="B1674">
        <v>1</v>
      </c>
      <c r="C1674">
        <v>1</v>
      </c>
      <c r="D1674">
        <v>22</v>
      </c>
    </row>
    <row r="1675" spans="1:4" x14ac:dyDescent="0.25">
      <c r="A1675" s="1">
        <v>42948</v>
      </c>
      <c r="B1675">
        <v>1</v>
      </c>
      <c r="C1675">
        <v>1</v>
      </c>
      <c r="D1675">
        <v>18</v>
      </c>
    </row>
    <row r="1676" spans="1:4" x14ac:dyDescent="0.25">
      <c r="A1676" s="1">
        <v>42949</v>
      </c>
      <c r="B1676">
        <v>1</v>
      </c>
      <c r="C1676">
        <v>1</v>
      </c>
      <c r="D1676">
        <v>19</v>
      </c>
    </row>
    <row r="1677" spans="1:4" x14ac:dyDescent="0.25">
      <c r="A1677" s="1">
        <v>42950</v>
      </c>
      <c r="B1677">
        <v>1</v>
      </c>
      <c r="C1677">
        <v>1</v>
      </c>
      <c r="D1677">
        <v>25</v>
      </c>
    </row>
    <row r="1678" spans="1:4" x14ac:dyDescent="0.25">
      <c r="A1678" s="1">
        <v>42951</v>
      </c>
      <c r="B1678">
        <v>1</v>
      </c>
      <c r="C1678">
        <v>1</v>
      </c>
      <c r="D1678">
        <v>26</v>
      </c>
    </row>
    <row r="1679" spans="1:4" x14ac:dyDescent="0.25">
      <c r="A1679" s="1">
        <v>42952</v>
      </c>
      <c r="B1679">
        <v>1</v>
      </c>
      <c r="C1679">
        <v>1</v>
      </c>
      <c r="D1679">
        <v>35</v>
      </c>
    </row>
    <row r="1680" spans="1:4" x14ac:dyDescent="0.25">
      <c r="A1680" s="1">
        <v>42953</v>
      </c>
      <c r="B1680">
        <v>1</v>
      </c>
      <c r="C1680">
        <v>1</v>
      </c>
      <c r="D1680">
        <v>29</v>
      </c>
    </row>
    <row r="1681" spans="1:4" x14ac:dyDescent="0.25">
      <c r="A1681" s="1">
        <v>42954</v>
      </c>
      <c r="B1681">
        <v>1</v>
      </c>
      <c r="C1681">
        <v>1</v>
      </c>
      <c r="D1681">
        <v>20</v>
      </c>
    </row>
    <row r="1682" spans="1:4" x14ac:dyDescent="0.25">
      <c r="A1682" s="1">
        <v>42955</v>
      </c>
      <c r="B1682">
        <v>1</v>
      </c>
      <c r="C1682">
        <v>1</v>
      </c>
      <c r="D1682">
        <v>28</v>
      </c>
    </row>
    <row r="1683" spans="1:4" x14ac:dyDescent="0.25">
      <c r="A1683" s="1">
        <v>42956</v>
      </c>
      <c r="B1683">
        <v>1</v>
      </c>
      <c r="C1683">
        <v>1</v>
      </c>
      <c r="D1683">
        <v>28</v>
      </c>
    </row>
    <row r="1684" spans="1:4" x14ac:dyDescent="0.25">
      <c r="A1684" s="1">
        <v>42957</v>
      </c>
      <c r="B1684">
        <v>1</v>
      </c>
      <c r="C1684">
        <v>1</v>
      </c>
      <c r="D1684">
        <v>31</v>
      </c>
    </row>
    <row r="1685" spans="1:4" x14ac:dyDescent="0.25">
      <c r="A1685" s="1">
        <v>42958</v>
      </c>
      <c r="B1685">
        <v>1</v>
      </c>
      <c r="C1685">
        <v>1</v>
      </c>
      <c r="D1685">
        <v>25</v>
      </c>
    </row>
    <row r="1686" spans="1:4" x14ac:dyDescent="0.25">
      <c r="A1686" s="1">
        <v>42959</v>
      </c>
      <c r="B1686">
        <v>1</v>
      </c>
      <c r="C1686">
        <v>1</v>
      </c>
      <c r="D1686">
        <v>32</v>
      </c>
    </row>
    <row r="1687" spans="1:4" x14ac:dyDescent="0.25">
      <c r="A1687" s="1">
        <v>42960</v>
      </c>
      <c r="B1687">
        <v>1</v>
      </c>
      <c r="C1687">
        <v>1</v>
      </c>
      <c r="D1687">
        <v>32</v>
      </c>
    </row>
    <row r="1688" spans="1:4" x14ac:dyDescent="0.25">
      <c r="A1688" s="1">
        <v>42961</v>
      </c>
      <c r="B1688">
        <v>1</v>
      </c>
      <c r="C1688">
        <v>1</v>
      </c>
      <c r="D1688">
        <v>26</v>
      </c>
    </row>
    <row r="1689" spans="1:4" x14ac:dyDescent="0.25">
      <c r="A1689" s="1">
        <v>42962</v>
      </c>
      <c r="B1689">
        <v>1</v>
      </c>
      <c r="C1689">
        <v>1</v>
      </c>
      <c r="D1689">
        <v>18</v>
      </c>
    </row>
    <row r="1690" spans="1:4" x14ac:dyDescent="0.25">
      <c r="A1690" s="1">
        <v>42963</v>
      </c>
      <c r="B1690">
        <v>1</v>
      </c>
      <c r="C1690">
        <v>1</v>
      </c>
      <c r="D1690">
        <v>24</v>
      </c>
    </row>
    <row r="1691" spans="1:4" x14ac:dyDescent="0.25">
      <c r="A1691" s="1">
        <v>42964</v>
      </c>
      <c r="B1691">
        <v>1</v>
      </c>
      <c r="C1691">
        <v>1</v>
      </c>
      <c r="D1691">
        <v>21</v>
      </c>
    </row>
    <row r="1692" spans="1:4" x14ac:dyDescent="0.25">
      <c r="A1692" s="1">
        <v>42965</v>
      </c>
      <c r="B1692">
        <v>1</v>
      </c>
      <c r="C1692">
        <v>1</v>
      </c>
      <c r="D1692">
        <v>35</v>
      </c>
    </row>
    <row r="1693" spans="1:4" x14ac:dyDescent="0.25">
      <c r="A1693" s="1">
        <v>42966</v>
      </c>
      <c r="B1693">
        <v>1</v>
      </c>
      <c r="C1693">
        <v>1</v>
      </c>
      <c r="D1693">
        <v>29</v>
      </c>
    </row>
    <row r="1694" spans="1:4" x14ac:dyDescent="0.25">
      <c r="A1694" s="1">
        <v>42967</v>
      </c>
      <c r="B1694">
        <v>1</v>
      </c>
      <c r="C1694">
        <v>1</v>
      </c>
      <c r="D1694">
        <v>27</v>
      </c>
    </row>
    <row r="1695" spans="1:4" x14ac:dyDescent="0.25">
      <c r="A1695" s="1">
        <v>42968</v>
      </c>
      <c r="B1695">
        <v>1</v>
      </c>
      <c r="C1695">
        <v>1</v>
      </c>
      <c r="D1695">
        <v>19</v>
      </c>
    </row>
    <row r="1696" spans="1:4" x14ac:dyDescent="0.25">
      <c r="A1696" s="1">
        <v>42969</v>
      </c>
      <c r="B1696">
        <v>1</v>
      </c>
      <c r="C1696">
        <v>1</v>
      </c>
      <c r="D1696">
        <v>28</v>
      </c>
    </row>
    <row r="1697" spans="1:4" x14ac:dyDescent="0.25">
      <c r="A1697" s="1">
        <v>42970</v>
      </c>
      <c r="B1697">
        <v>1</v>
      </c>
      <c r="C1697">
        <v>1</v>
      </c>
      <c r="D1697">
        <v>26</v>
      </c>
    </row>
    <row r="1698" spans="1:4" x14ac:dyDescent="0.25">
      <c r="A1698" s="1">
        <v>42971</v>
      </c>
      <c r="B1698">
        <v>1</v>
      </c>
      <c r="C1698">
        <v>1</v>
      </c>
      <c r="D1698">
        <v>15</v>
      </c>
    </row>
    <row r="1699" spans="1:4" x14ac:dyDescent="0.25">
      <c r="A1699" s="1">
        <v>42972</v>
      </c>
      <c r="B1699">
        <v>1</v>
      </c>
      <c r="C1699">
        <v>1</v>
      </c>
      <c r="D1699">
        <v>30</v>
      </c>
    </row>
    <row r="1700" spans="1:4" x14ac:dyDescent="0.25">
      <c r="A1700" s="1">
        <v>42973</v>
      </c>
      <c r="B1700">
        <v>1</v>
      </c>
      <c r="C1700">
        <v>1</v>
      </c>
      <c r="D1700">
        <v>38</v>
      </c>
    </row>
    <row r="1701" spans="1:4" x14ac:dyDescent="0.25">
      <c r="A1701" s="1">
        <v>42974</v>
      </c>
      <c r="B1701">
        <v>1</v>
      </c>
      <c r="C1701">
        <v>1</v>
      </c>
      <c r="D1701">
        <v>26</v>
      </c>
    </row>
    <row r="1702" spans="1:4" x14ac:dyDescent="0.25">
      <c r="A1702" s="1">
        <v>42975</v>
      </c>
      <c r="B1702">
        <v>1</v>
      </c>
      <c r="C1702">
        <v>1</v>
      </c>
      <c r="D1702">
        <v>15</v>
      </c>
    </row>
    <row r="1703" spans="1:4" x14ac:dyDescent="0.25">
      <c r="A1703" s="1">
        <v>42976</v>
      </c>
      <c r="B1703">
        <v>1</v>
      </c>
      <c r="C1703">
        <v>1</v>
      </c>
      <c r="D1703">
        <v>21</v>
      </c>
    </row>
    <row r="1704" spans="1:4" x14ac:dyDescent="0.25">
      <c r="A1704" s="1">
        <v>42977</v>
      </c>
      <c r="B1704">
        <v>1</v>
      </c>
      <c r="C1704">
        <v>1</v>
      </c>
      <c r="D1704">
        <v>22</v>
      </c>
    </row>
    <row r="1705" spans="1:4" x14ac:dyDescent="0.25">
      <c r="A1705" s="1">
        <v>42978</v>
      </c>
      <c r="B1705">
        <v>1</v>
      </c>
      <c r="C1705">
        <v>1</v>
      </c>
      <c r="D1705">
        <v>26</v>
      </c>
    </row>
    <row r="1706" spans="1:4" x14ac:dyDescent="0.25">
      <c r="A1706" s="1">
        <v>42979</v>
      </c>
      <c r="B1706">
        <v>1</v>
      </c>
      <c r="C1706">
        <v>1</v>
      </c>
      <c r="D1706">
        <v>38</v>
      </c>
    </row>
    <row r="1707" spans="1:4" x14ac:dyDescent="0.25">
      <c r="A1707" s="1">
        <v>42980</v>
      </c>
      <c r="B1707">
        <v>1</v>
      </c>
      <c r="C1707">
        <v>1</v>
      </c>
      <c r="D1707">
        <v>26</v>
      </c>
    </row>
    <row r="1708" spans="1:4" x14ac:dyDescent="0.25">
      <c r="A1708" s="1">
        <v>42981</v>
      </c>
      <c r="B1708">
        <v>1</v>
      </c>
      <c r="C1708">
        <v>1</v>
      </c>
      <c r="D1708">
        <v>23</v>
      </c>
    </row>
    <row r="1709" spans="1:4" x14ac:dyDescent="0.25">
      <c r="A1709" s="1">
        <v>42982</v>
      </c>
      <c r="B1709">
        <v>1</v>
      </c>
      <c r="C1709">
        <v>1</v>
      </c>
      <c r="D1709">
        <v>12</v>
      </c>
    </row>
    <row r="1710" spans="1:4" x14ac:dyDescent="0.25">
      <c r="A1710" s="1">
        <v>42983</v>
      </c>
      <c r="B1710">
        <v>1</v>
      </c>
      <c r="C1710">
        <v>1</v>
      </c>
      <c r="D1710">
        <v>26</v>
      </c>
    </row>
    <row r="1711" spans="1:4" x14ac:dyDescent="0.25">
      <c r="A1711" s="1">
        <v>42984</v>
      </c>
      <c r="B1711">
        <v>1</v>
      </c>
      <c r="C1711">
        <v>1</v>
      </c>
      <c r="D1711">
        <v>24</v>
      </c>
    </row>
    <row r="1712" spans="1:4" x14ac:dyDescent="0.25">
      <c r="A1712" s="1">
        <v>42985</v>
      </c>
      <c r="B1712">
        <v>1</v>
      </c>
      <c r="C1712">
        <v>1</v>
      </c>
      <c r="D1712">
        <v>29</v>
      </c>
    </row>
    <row r="1713" spans="1:4" x14ac:dyDescent="0.25">
      <c r="A1713" s="1">
        <v>42986</v>
      </c>
      <c r="B1713">
        <v>1</v>
      </c>
      <c r="C1713">
        <v>1</v>
      </c>
      <c r="D1713">
        <v>28</v>
      </c>
    </row>
    <row r="1714" spans="1:4" x14ac:dyDescent="0.25">
      <c r="A1714" s="1">
        <v>42987</v>
      </c>
      <c r="B1714">
        <v>1</v>
      </c>
      <c r="C1714">
        <v>1</v>
      </c>
      <c r="D1714">
        <v>28</v>
      </c>
    </row>
    <row r="1715" spans="1:4" x14ac:dyDescent="0.25">
      <c r="A1715" s="1">
        <v>42988</v>
      </c>
      <c r="B1715">
        <v>1</v>
      </c>
      <c r="C1715">
        <v>1</v>
      </c>
      <c r="D1715">
        <v>30</v>
      </c>
    </row>
    <row r="1716" spans="1:4" x14ac:dyDescent="0.25">
      <c r="A1716" s="1">
        <v>42989</v>
      </c>
      <c r="B1716">
        <v>1</v>
      </c>
      <c r="C1716">
        <v>1</v>
      </c>
      <c r="D1716">
        <v>16</v>
      </c>
    </row>
    <row r="1717" spans="1:4" x14ac:dyDescent="0.25">
      <c r="A1717" s="1">
        <v>42990</v>
      </c>
      <c r="B1717">
        <v>1</v>
      </c>
      <c r="C1717">
        <v>1</v>
      </c>
      <c r="D1717">
        <v>20</v>
      </c>
    </row>
    <row r="1718" spans="1:4" x14ac:dyDescent="0.25">
      <c r="A1718" s="1">
        <v>42991</v>
      </c>
      <c r="B1718">
        <v>1</v>
      </c>
      <c r="C1718">
        <v>1</v>
      </c>
      <c r="D1718">
        <v>13</v>
      </c>
    </row>
    <row r="1719" spans="1:4" x14ac:dyDescent="0.25">
      <c r="A1719" s="1">
        <v>42992</v>
      </c>
      <c r="B1719">
        <v>1</v>
      </c>
      <c r="C1719">
        <v>1</v>
      </c>
      <c r="D1719">
        <v>26</v>
      </c>
    </row>
    <row r="1720" spans="1:4" x14ac:dyDescent="0.25">
      <c r="A1720" s="1">
        <v>42993</v>
      </c>
      <c r="B1720">
        <v>1</v>
      </c>
      <c r="C1720">
        <v>1</v>
      </c>
      <c r="D1720">
        <v>28</v>
      </c>
    </row>
    <row r="1721" spans="1:4" x14ac:dyDescent="0.25">
      <c r="A1721" s="1">
        <v>42994</v>
      </c>
      <c r="B1721">
        <v>1</v>
      </c>
      <c r="C1721">
        <v>1</v>
      </c>
      <c r="D1721">
        <v>27</v>
      </c>
    </row>
    <row r="1722" spans="1:4" x14ac:dyDescent="0.25">
      <c r="A1722" s="1">
        <v>42995</v>
      </c>
      <c r="B1722">
        <v>1</v>
      </c>
      <c r="C1722">
        <v>1</v>
      </c>
      <c r="D1722">
        <v>30</v>
      </c>
    </row>
    <row r="1723" spans="1:4" x14ac:dyDescent="0.25">
      <c r="A1723" s="1">
        <v>42996</v>
      </c>
      <c r="B1723">
        <v>1</v>
      </c>
      <c r="C1723">
        <v>1</v>
      </c>
      <c r="D1723">
        <v>22</v>
      </c>
    </row>
    <row r="1724" spans="1:4" x14ac:dyDescent="0.25">
      <c r="A1724" s="1">
        <v>42997</v>
      </c>
      <c r="B1724">
        <v>1</v>
      </c>
      <c r="C1724">
        <v>1</v>
      </c>
      <c r="D1724">
        <v>21</v>
      </c>
    </row>
    <row r="1725" spans="1:4" x14ac:dyDescent="0.25">
      <c r="A1725" s="1">
        <v>42998</v>
      </c>
      <c r="B1725">
        <v>1</v>
      </c>
      <c r="C1725">
        <v>1</v>
      </c>
      <c r="D1725">
        <v>20</v>
      </c>
    </row>
    <row r="1726" spans="1:4" x14ac:dyDescent="0.25">
      <c r="A1726" s="1">
        <v>42999</v>
      </c>
      <c r="B1726">
        <v>1</v>
      </c>
      <c r="C1726">
        <v>1</v>
      </c>
      <c r="D1726">
        <v>20</v>
      </c>
    </row>
    <row r="1727" spans="1:4" x14ac:dyDescent="0.25">
      <c r="A1727" s="1">
        <v>43000</v>
      </c>
      <c r="B1727">
        <v>1</v>
      </c>
      <c r="C1727">
        <v>1</v>
      </c>
      <c r="D1727">
        <v>28</v>
      </c>
    </row>
    <row r="1728" spans="1:4" x14ac:dyDescent="0.25">
      <c r="A1728" s="1">
        <v>43001</v>
      </c>
      <c r="B1728">
        <v>1</v>
      </c>
      <c r="C1728">
        <v>1</v>
      </c>
      <c r="D1728">
        <v>37</v>
      </c>
    </row>
    <row r="1729" spans="1:4" x14ac:dyDescent="0.25">
      <c r="A1729" s="1">
        <v>43002</v>
      </c>
      <c r="B1729">
        <v>1</v>
      </c>
      <c r="C1729">
        <v>1</v>
      </c>
      <c r="D1729">
        <v>24</v>
      </c>
    </row>
    <row r="1730" spans="1:4" x14ac:dyDescent="0.25">
      <c r="A1730" s="1">
        <v>43003</v>
      </c>
      <c r="B1730">
        <v>1</v>
      </c>
      <c r="C1730">
        <v>1</v>
      </c>
      <c r="D1730">
        <v>14</v>
      </c>
    </row>
    <row r="1731" spans="1:4" x14ac:dyDescent="0.25">
      <c r="A1731" s="1">
        <v>43004</v>
      </c>
      <c r="B1731">
        <v>1</v>
      </c>
      <c r="C1731">
        <v>1</v>
      </c>
      <c r="D1731">
        <v>18</v>
      </c>
    </row>
    <row r="1732" spans="1:4" x14ac:dyDescent="0.25">
      <c r="A1732" s="1">
        <v>43005</v>
      </c>
      <c r="B1732">
        <v>1</v>
      </c>
      <c r="C1732">
        <v>1</v>
      </c>
      <c r="D1732">
        <v>27</v>
      </c>
    </row>
    <row r="1733" spans="1:4" x14ac:dyDescent="0.25">
      <c r="A1733" s="1">
        <v>43006</v>
      </c>
      <c r="B1733">
        <v>1</v>
      </c>
      <c r="C1733">
        <v>1</v>
      </c>
      <c r="D1733">
        <v>23</v>
      </c>
    </row>
    <row r="1734" spans="1:4" x14ac:dyDescent="0.25">
      <c r="A1734" s="1">
        <v>43007</v>
      </c>
      <c r="B1734">
        <v>1</v>
      </c>
      <c r="C1734">
        <v>1</v>
      </c>
      <c r="D1734">
        <v>28</v>
      </c>
    </row>
    <row r="1735" spans="1:4" x14ac:dyDescent="0.25">
      <c r="A1735" s="1">
        <v>43008</v>
      </c>
      <c r="B1735">
        <v>1</v>
      </c>
      <c r="C1735">
        <v>1</v>
      </c>
      <c r="D1735">
        <v>30</v>
      </c>
    </row>
    <row r="1736" spans="1:4" x14ac:dyDescent="0.25">
      <c r="A1736" s="1">
        <v>43009</v>
      </c>
      <c r="B1736">
        <v>1</v>
      </c>
      <c r="C1736">
        <v>1</v>
      </c>
      <c r="D1736">
        <v>21</v>
      </c>
    </row>
    <row r="1737" spans="1:4" x14ac:dyDescent="0.25">
      <c r="A1737" s="1">
        <v>43010</v>
      </c>
      <c r="B1737">
        <v>1</v>
      </c>
      <c r="C1737">
        <v>1</v>
      </c>
      <c r="D1737">
        <v>12</v>
      </c>
    </row>
    <row r="1738" spans="1:4" x14ac:dyDescent="0.25">
      <c r="A1738" s="1">
        <v>43011</v>
      </c>
      <c r="B1738">
        <v>1</v>
      </c>
      <c r="C1738">
        <v>1</v>
      </c>
      <c r="D1738">
        <v>18</v>
      </c>
    </row>
    <row r="1739" spans="1:4" x14ac:dyDescent="0.25">
      <c r="A1739" s="1">
        <v>43012</v>
      </c>
      <c r="B1739">
        <v>1</v>
      </c>
      <c r="C1739">
        <v>1</v>
      </c>
      <c r="D1739">
        <v>15</v>
      </c>
    </row>
    <row r="1740" spans="1:4" x14ac:dyDescent="0.25">
      <c r="A1740" s="1">
        <v>43013</v>
      </c>
      <c r="B1740">
        <v>1</v>
      </c>
      <c r="C1740">
        <v>1</v>
      </c>
      <c r="D1740">
        <v>20</v>
      </c>
    </row>
    <row r="1741" spans="1:4" x14ac:dyDescent="0.25">
      <c r="A1741" s="1">
        <v>43014</v>
      </c>
      <c r="B1741">
        <v>1</v>
      </c>
      <c r="C1741">
        <v>1</v>
      </c>
      <c r="D1741">
        <v>19</v>
      </c>
    </row>
    <row r="1742" spans="1:4" x14ac:dyDescent="0.25">
      <c r="A1742" s="1">
        <v>43015</v>
      </c>
      <c r="B1742">
        <v>1</v>
      </c>
      <c r="C1742">
        <v>1</v>
      </c>
      <c r="D1742">
        <v>22</v>
      </c>
    </row>
    <row r="1743" spans="1:4" x14ac:dyDescent="0.25">
      <c r="A1743" s="1">
        <v>43016</v>
      </c>
      <c r="B1743">
        <v>1</v>
      </c>
      <c r="C1743">
        <v>1</v>
      </c>
      <c r="D1743">
        <v>19</v>
      </c>
    </row>
    <row r="1744" spans="1:4" x14ac:dyDescent="0.25">
      <c r="A1744" s="1">
        <v>43017</v>
      </c>
      <c r="B1744">
        <v>1</v>
      </c>
      <c r="C1744">
        <v>1</v>
      </c>
      <c r="D1744">
        <v>9</v>
      </c>
    </row>
    <row r="1745" spans="1:4" x14ac:dyDescent="0.25">
      <c r="A1745" s="1">
        <v>43018</v>
      </c>
      <c r="B1745">
        <v>1</v>
      </c>
      <c r="C1745">
        <v>1</v>
      </c>
      <c r="D1745">
        <v>23</v>
      </c>
    </row>
    <row r="1746" spans="1:4" x14ac:dyDescent="0.25">
      <c r="A1746" s="1">
        <v>43019</v>
      </c>
      <c r="B1746">
        <v>1</v>
      </c>
      <c r="C1746">
        <v>1</v>
      </c>
      <c r="D1746">
        <v>14</v>
      </c>
    </row>
    <row r="1747" spans="1:4" x14ac:dyDescent="0.25">
      <c r="A1747" s="1">
        <v>43020</v>
      </c>
      <c r="B1747">
        <v>1</v>
      </c>
      <c r="C1747">
        <v>1</v>
      </c>
      <c r="D1747">
        <v>24</v>
      </c>
    </row>
    <row r="1748" spans="1:4" x14ac:dyDescent="0.25">
      <c r="A1748" s="1">
        <v>43021</v>
      </c>
      <c r="B1748">
        <v>1</v>
      </c>
      <c r="C1748">
        <v>1</v>
      </c>
      <c r="D1748">
        <v>23</v>
      </c>
    </row>
    <row r="1749" spans="1:4" x14ac:dyDescent="0.25">
      <c r="A1749" s="1">
        <v>43022</v>
      </c>
      <c r="B1749">
        <v>1</v>
      </c>
      <c r="C1749">
        <v>1</v>
      </c>
      <c r="D1749">
        <v>26</v>
      </c>
    </row>
    <row r="1750" spans="1:4" x14ac:dyDescent="0.25">
      <c r="A1750" s="1">
        <v>43023</v>
      </c>
      <c r="B1750">
        <v>1</v>
      </c>
      <c r="C1750">
        <v>1</v>
      </c>
      <c r="D1750">
        <v>28</v>
      </c>
    </row>
    <row r="1751" spans="1:4" x14ac:dyDescent="0.25">
      <c r="A1751" s="1">
        <v>43024</v>
      </c>
      <c r="B1751">
        <v>1</v>
      </c>
      <c r="C1751">
        <v>1</v>
      </c>
      <c r="D1751">
        <v>19</v>
      </c>
    </row>
    <row r="1752" spans="1:4" x14ac:dyDescent="0.25">
      <c r="A1752" s="1">
        <v>43025</v>
      </c>
      <c r="B1752">
        <v>1</v>
      </c>
      <c r="C1752">
        <v>1</v>
      </c>
      <c r="D1752">
        <v>17</v>
      </c>
    </row>
    <row r="1753" spans="1:4" x14ac:dyDescent="0.25">
      <c r="A1753" s="1">
        <v>43026</v>
      </c>
      <c r="B1753">
        <v>1</v>
      </c>
      <c r="C1753">
        <v>1</v>
      </c>
      <c r="D1753">
        <v>15</v>
      </c>
    </row>
    <row r="1754" spans="1:4" x14ac:dyDescent="0.25">
      <c r="A1754" s="1">
        <v>43027</v>
      </c>
      <c r="B1754">
        <v>1</v>
      </c>
      <c r="C1754">
        <v>1</v>
      </c>
      <c r="D1754">
        <v>26</v>
      </c>
    </row>
    <row r="1755" spans="1:4" x14ac:dyDescent="0.25">
      <c r="A1755" s="1">
        <v>43028</v>
      </c>
      <c r="B1755">
        <v>1</v>
      </c>
      <c r="C1755">
        <v>1</v>
      </c>
      <c r="D1755">
        <v>22</v>
      </c>
    </row>
    <row r="1756" spans="1:4" x14ac:dyDescent="0.25">
      <c r="A1756" s="1">
        <v>43029</v>
      </c>
      <c r="B1756">
        <v>1</v>
      </c>
      <c r="C1756">
        <v>1</v>
      </c>
      <c r="D1756">
        <v>26</v>
      </c>
    </row>
    <row r="1757" spans="1:4" x14ac:dyDescent="0.25">
      <c r="A1757" s="1">
        <v>43030</v>
      </c>
      <c r="B1757">
        <v>1</v>
      </c>
      <c r="C1757">
        <v>1</v>
      </c>
      <c r="D1757">
        <v>32</v>
      </c>
    </row>
    <row r="1758" spans="1:4" x14ac:dyDescent="0.25">
      <c r="A1758" s="1">
        <v>43031</v>
      </c>
      <c r="B1758">
        <v>1</v>
      </c>
      <c r="C1758">
        <v>1</v>
      </c>
      <c r="D1758">
        <v>20</v>
      </c>
    </row>
    <row r="1759" spans="1:4" x14ac:dyDescent="0.25">
      <c r="A1759" s="1">
        <v>43032</v>
      </c>
      <c r="B1759">
        <v>1</v>
      </c>
      <c r="C1759">
        <v>1</v>
      </c>
      <c r="D1759">
        <v>23</v>
      </c>
    </row>
    <row r="1760" spans="1:4" x14ac:dyDescent="0.25">
      <c r="A1760" s="1">
        <v>43033</v>
      </c>
      <c r="B1760">
        <v>1</v>
      </c>
      <c r="C1760">
        <v>1</v>
      </c>
      <c r="D1760">
        <v>22</v>
      </c>
    </row>
    <row r="1761" spans="1:4" x14ac:dyDescent="0.25">
      <c r="A1761" s="1">
        <v>43034</v>
      </c>
      <c r="B1761">
        <v>1</v>
      </c>
      <c r="C1761">
        <v>1</v>
      </c>
      <c r="D1761">
        <v>28</v>
      </c>
    </row>
    <row r="1762" spans="1:4" x14ac:dyDescent="0.25">
      <c r="A1762" s="1">
        <v>43035</v>
      </c>
      <c r="B1762">
        <v>1</v>
      </c>
      <c r="C1762">
        <v>1</v>
      </c>
      <c r="D1762">
        <v>20</v>
      </c>
    </row>
    <row r="1763" spans="1:4" x14ac:dyDescent="0.25">
      <c r="A1763" s="1">
        <v>43036</v>
      </c>
      <c r="B1763">
        <v>1</v>
      </c>
      <c r="C1763">
        <v>1</v>
      </c>
      <c r="D1763">
        <v>22</v>
      </c>
    </row>
    <row r="1764" spans="1:4" x14ac:dyDescent="0.25">
      <c r="A1764" s="1">
        <v>43037</v>
      </c>
      <c r="B1764">
        <v>1</v>
      </c>
      <c r="C1764">
        <v>1</v>
      </c>
      <c r="D1764">
        <v>29</v>
      </c>
    </row>
    <row r="1765" spans="1:4" x14ac:dyDescent="0.25">
      <c r="A1765" s="1">
        <v>43038</v>
      </c>
      <c r="B1765">
        <v>1</v>
      </c>
      <c r="C1765">
        <v>1</v>
      </c>
      <c r="D1765">
        <v>22</v>
      </c>
    </row>
    <row r="1766" spans="1:4" x14ac:dyDescent="0.25">
      <c r="A1766" s="1">
        <v>43039</v>
      </c>
      <c r="B1766">
        <v>1</v>
      </c>
      <c r="C1766">
        <v>1</v>
      </c>
      <c r="D1766">
        <v>24</v>
      </c>
    </row>
    <row r="1767" spans="1:4" x14ac:dyDescent="0.25">
      <c r="A1767" s="1">
        <v>43040</v>
      </c>
      <c r="B1767">
        <v>1</v>
      </c>
      <c r="C1767">
        <v>1</v>
      </c>
      <c r="D1767">
        <v>16</v>
      </c>
    </row>
    <row r="1768" spans="1:4" x14ac:dyDescent="0.25">
      <c r="A1768" s="1">
        <v>43041</v>
      </c>
      <c r="B1768">
        <v>1</v>
      </c>
      <c r="C1768">
        <v>1</v>
      </c>
      <c r="D1768">
        <v>21</v>
      </c>
    </row>
    <row r="1769" spans="1:4" x14ac:dyDescent="0.25">
      <c r="A1769" s="1">
        <v>43042</v>
      </c>
      <c r="B1769">
        <v>1</v>
      </c>
      <c r="C1769">
        <v>1</v>
      </c>
      <c r="D1769">
        <v>18</v>
      </c>
    </row>
    <row r="1770" spans="1:4" x14ac:dyDescent="0.25">
      <c r="A1770" s="1">
        <v>43043</v>
      </c>
      <c r="B1770">
        <v>1</v>
      </c>
      <c r="C1770">
        <v>1</v>
      </c>
      <c r="D1770">
        <v>34</v>
      </c>
    </row>
    <row r="1771" spans="1:4" x14ac:dyDescent="0.25">
      <c r="A1771" s="1">
        <v>43044</v>
      </c>
      <c r="B1771">
        <v>1</v>
      </c>
      <c r="C1771">
        <v>1</v>
      </c>
      <c r="D1771">
        <v>23</v>
      </c>
    </row>
    <row r="1772" spans="1:4" x14ac:dyDescent="0.25">
      <c r="A1772" s="1">
        <v>43045</v>
      </c>
      <c r="B1772">
        <v>1</v>
      </c>
      <c r="C1772">
        <v>1</v>
      </c>
      <c r="D1772">
        <v>17</v>
      </c>
    </row>
    <row r="1773" spans="1:4" x14ac:dyDescent="0.25">
      <c r="A1773" s="1">
        <v>43046</v>
      </c>
      <c r="B1773">
        <v>1</v>
      </c>
      <c r="C1773">
        <v>1</v>
      </c>
      <c r="D1773">
        <v>23</v>
      </c>
    </row>
    <row r="1774" spans="1:4" x14ac:dyDescent="0.25">
      <c r="A1774" s="1">
        <v>43047</v>
      </c>
      <c r="B1774">
        <v>1</v>
      </c>
      <c r="C1774">
        <v>1</v>
      </c>
      <c r="D1774">
        <v>14</v>
      </c>
    </row>
    <row r="1775" spans="1:4" x14ac:dyDescent="0.25">
      <c r="A1775" s="1">
        <v>43048</v>
      </c>
      <c r="B1775">
        <v>1</v>
      </c>
      <c r="C1775">
        <v>1</v>
      </c>
      <c r="D1775">
        <v>21</v>
      </c>
    </row>
    <row r="1776" spans="1:4" x14ac:dyDescent="0.25">
      <c r="A1776" s="1">
        <v>43049</v>
      </c>
      <c r="B1776">
        <v>1</v>
      </c>
      <c r="C1776">
        <v>1</v>
      </c>
      <c r="D1776">
        <v>19</v>
      </c>
    </row>
    <row r="1777" spans="1:4" x14ac:dyDescent="0.25">
      <c r="A1777" s="1">
        <v>43050</v>
      </c>
      <c r="B1777">
        <v>1</v>
      </c>
      <c r="C1777">
        <v>1</v>
      </c>
      <c r="D1777">
        <v>24</v>
      </c>
    </row>
    <row r="1778" spans="1:4" x14ac:dyDescent="0.25">
      <c r="A1778" s="1">
        <v>43051</v>
      </c>
      <c r="B1778">
        <v>1</v>
      </c>
      <c r="C1778">
        <v>1</v>
      </c>
      <c r="D1778">
        <v>27</v>
      </c>
    </row>
    <row r="1779" spans="1:4" x14ac:dyDescent="0.25">
      <c r="A1779" s="1">
        <v>43052</v>
      </c>
      <c r="B1779">
        <v>1</v>
      </c>
      <c r="C1779">
        <v>1</v>
      </c>
      <c r="D1779">
        <v>22</v>
      </c>
    </row>
    <row r="1780" spans="1:4" x14ac:dyDescent="0.25">
      <c r="A1780" s="1">
        <v>43053</v>
      </c>
      <c r="B1780">
        <v>1</v>
      </c>
      <c r="C1780">
        <v>1</v>
      </c>
      <c r="D1780">
        <v>16</v>
      </c>
    </row>
    <row r="1781" spans="1:4" x14ac:dyDescent="0.25">
      <c r="A1781" s="1">
        <v>43054</v>
      </c>
      <c r="B1781">
        <v>1</v>
      </c>
      <c r="C1781">
        <v>1</v>
      </c>
      <c r="D1781">
        <v>19</v>
      </c>
    </row>
    <row r="1782" spans="1:4" x14ac:dyDescent="0.25">
      <c r="A1782" s="1">
        <v>43055</v>
      </c>
      <c r="B1782">
        <v>1</v>
      </c>
      <c r="C1782">
        <v>1</v>
      </c>
      <c r="D1782">
        <v>22</v>
      </c>
    </row>
    <row r="1783" spans="1:4" x14ac:dyDescent="0.25">
      <c r="A1783" s="1">
        <v>43056</v>
      </c>
      <c r="B1783">
        <v>1</v>
      </c>
      <c r="C1783">
        <v>1</v>
      </c>
      <c r="D1783">
        <v>25</v>
      </c>
    </row>
    <row r="1784" spans="1:4" x14ac:dyDescent="0.25">
      <c r="A1784" s="1">
        <v>43057</v>
      </c>
      <c r="B1784">
        <v>1</v>
      </c>
      <c r="C1784">
        <v>1</v>
      </c>
      <c r="D1784">
        <v>31</v>
      </c>
    </row>
    <row r="1785" spans="1:4" x14ac:dyDescent="0.25">
      <c r="A1785" s="1">
        <v>43058</v>
      </c>
      <c r="B1785">
        <v>1</v>
      </c>
      <c r="C1785">
        <v>1</v>
      </c>
      <c r="D1785">
        <v>32</v>
      </c>
    </row>
    <row r="1786" spans="1:4" x14ac:dyDescent="0.25">
      <c r="A1786" s="1">
        <v>43059</v>
      </c>
      <c r="B1786">
        <v>1</v>
      </c>
      <c r="C1786">
        <v>1</v>
      </c>
      <c r="D1786">
        <v>21</v>
      </c>
    </row>
    <row r="1787" spans="1:4" x14ac:dyDescent="0.25">
      <c r="A1787" s="1">
        <v>43060</v>
      </c>
      <c r="B1787">
        <v>1</v>
      </c>
      <c r="C1787">
        <v>1</v>
      </c>
      <c r="D1787">
        <v>29</v>
      </c>
    </row>
    <row r="1788" spans="1:4" x14ac:dyDescent="0.25">
      <c r="A1788" s="1">
        <v>43061</v>
      </c>
      <c r="B1788">
        <v>1</v>
      </c>
      <c r="C1788">
        <v>1</v>
      </c>
      <c r="D1788">
        <v>27</v>
      </c>
    </row>
    <row r="1789" spans="1:4" x14ac:dyDescent="0.25">
      <c r="A1789" s="1">
        <v>43062</v>
      </c>
      <c r="B1789">
        <v>1</v>
      </c>
      <c r="C1789">
        <v>1</v>
      </c>
      <c r="D1789">
        <v>25</v>
      </c>
    </row>
    <row r="1790" spans="1:4" x14ac:dyDescent="0.25">
      <c r="A1790" s="1">
        <v>43063</v>
      </c>
      <c r="B1790">
        <v>1</v>
      </c>
      <c r="C1790">
        <v>1</v>
      </c>
      <c r="D1790">
        <v>22</v>
      </c>
    </row>
    <row r="1791" spans="1:4" x14ac:dyDescent="0.25">
      <c r="A1791" s="1">
        <v>43064</v>
      </c>
      <c r="B1791">
        <v>1</v>
      </c>
      <c r="C1791">
        <v>1</v>
      </c>
      <c r="D1791">
        <v>29</v>
      </c>
    </row>
    <row r="1792" spans="1:4" x14ac:dyDescent="0.25">
      <c r="A1792" s="1">
        <v>43065</v>
      </c>
      <c r="B1792">
        <v>1</v>
      </c>
      <c r="C1792">
        <v>1</v>
      </c>
      <c r="D1792">
        <v>24</v>
      </c>
    </row>
    <row r="1793" spans="1:4" x14ac:dyDescent="0.25">
      <c r="A1793" s="1">
        <v>43066</v>
      </c>
      <c r="B1793">
        <v>1</v>
      </c>
      <c r="C1793">
        <v>1</v>
      </c>
      <c r="D1793">
        <v>10</v>
      </c>
    </row>
    <row r="1794" spans="1:4" x14ac:dyDescent="0.25">
      <c r="A1794" s="1">
        <v>43067</v>
      </c>
      <c r="B1794">
        <v>1</v>
      </c>
      <c r="C1794">
        <v>1</v>
      </c>
      <c r="D1794">
        <v>14</v>
      </c>
    </row>
    <row r="1795" spans="1:4" x14ac:dyDescent="0.25">
      <c r="A1795" s="1">
        <v>43068</v>
      </c>
      <c r="B1795">
        <v>1</v>
      </c>
      <c r="C1795">
        <v>1</v>
      </c>
      <c r="D1795">
        <v>28</v>
      </c>
    </row>
    <row r="1796" spans="1:4" x14ac:dyDescent="0.25">
      <c r="A1796" s="1">
        <v>43069</v>
      </c>
      <c r="B1796">
        <v>1</v>
      </c>
      <c r="C1796">
        <v>1</v>
      </c>
      <c r="D1796">
        <v>15</v>
      </c>
    </row>
    <row r="1797" spans="1:4" x14ac:dyDescent="0.25">
      <c r="A1797" s="1">
        <v>43070</v>
      </c>
      <c r="B1797">
        <v>1</v>
      </c>
      <c r="C1797">
        <v>1</v>
      </c>
      <c r="D1797">
        <v>19</v>
      </c>
    </row>
    <row r="1798" spans="1:4" x14ac:dyDescent="0.25">
      <c r="A1798" s="1">
        <v>43071</v>
      </c>
      <c r="B1798">
        <v>1</v>
      </c>
      <c r="C1798">
        <v>1</v>
      </c>
      <c r="D1798">
        <v>16</v>
      </c>
    </row>
    <row r="1799" spans="1:4" x14ac:dyDescent="0.25">
      <c r="A1799" s="1">
        <v>43072</v>
      </c>
      <c r="B1799">
        <v>1</v>
      </c>
      <c r="C1799">
        <v>1</v>
      </c>
      <c r="D1799">
        <v>31</v>
      </c>
    </row>
    <row r="1800" spans="1:4" x14ac:dyDescent="0.25">
      <c r="A1800" s="1">
        <v>43073</v>
      </c>
      <c r="B1800">
        <v>1</v>
      </c>
      <c r="C1800">
        <v>1</v>
      </c>
      <c r="D1800">
        <v>7</v>
      </c>
    </row>
    <row r="1801" spans="1:4" x14ac:dyDescent="0.25">
      <c r="A1801" s="1">
        <v>43074</v>
      </c>
      <c r="B1801">
        <v>1</v>
      </c>
      <c r="C1801">
        <v>1</v>
      </c>
      <c r="D1801">
        <v>20</v>
      </c>
    </row>
    <row r="1802" spans="1:4" x14ac:dyDescent="0.25">
      <c r="A1802" s="1">
        <v>43075</v>
      </c>
      <c r="B1802">
        <v>1</v>
      </c>
      <c r="C1802">
        <v>1</v>
      </c>
      <c r="D1802">
        <v>17</v>
      </c>
    </row>
    <row r="1803" spans="1:4" x14ac:dyDescent="0.25">
      <c r="A1803" s="1">
        <v>43076</v>
      </c>
      <c r="B1803">
        <v>1</v>
      </c>
      <c r="C1803">
        <v>1</v>
      </c>
      <c r="D1803">
        <v>18</v>
      </c>
    </row>
    <row r="1804" spans="1:4" x14ac:dyDescent="0.25">
      <c r="A1804" s="1">
        <v>43077</v>
      </c>
      <c r="B1804">
        <v>1</v>
      </c>
      <c r="C1804">
        <v>1</v>
      </c>
      <c r="D1804">
        <v>17</v>
      </c>
    </row>
    <row r="1805" spans="1:4" x14ac:dyDescent="0.25">
      <c r="A1805" s="1">
        <v>43078</v>
      </c>
      <c r="B1805">
        <v>1</v>
      </c>
      <c r="C1805">
        <v>1</v>
      </c>
      <c r="D1805">
        <v>27</v>
      </c>
    </row>
    <row r="1806" spans="1:4" x14ac:dyDescent="0.25">
      <c r="A1806" s="1">
        <v>43079</v>
      </c>
      <c r="B1806">
        <v>1</v>
      </c>
      <c r="C1806">
        <v>1</v>
      </c>
      <c r="D1806">
        <v>20</v>
      </c>
    </row>
    <row r="1807" spans="1:4" x14ac:dyDescent="0.25">
      <c r="A1807" s="1">
        <v>43080</v>
      </c>
      <c r="B1807">
        <v>1</v>
      </c>
      <c r="C1807">
        <v>1</v>
      </c>
      <c r="D1807">
        <v>20</v>
      </c>
    </row>
    <row r="1808" spans="1:4" x14ac:dyDescent="0.25">
      <c r="A1808" s="1">
        <v>43081</v>
      </c>
      <c r="B1808">
        <v>1</v>
      </c>
      <c r="C1808">
        <v>1</v>
      </c>
      <c r="D1808">
        <v>13</v>
      </c>
    </row>
    <row r="1809" spans="1:4" x14ac:dyDescent="0.25">
      <c r="A1809" s="1">
        <v>43082</v>
      </c>
      <c r="B1809">
        <v>1</v>
      </c>
      <c r="C1809">
        <v>1</v>
      </c>
      <c r="D1809">
        <v>17</v>
      </c>
    </row>
    <row r="1810" spans="1:4" x14ac:dyDescent="0.25">
      <c r="A1810" s="1">
        <v>43083</v>
      </c>
      <c r="B1810">
        <v>1</v>
      </c>
      <c r="C1810">
        <v>1</v>
      </c>
      <c r="D1810">
        <v>14</v>
      </c>
    </row>
    <row r="1811" spans="1:4" x14ac:dyDescent="0.25">
      <c r="A1811" s="1">
        <v>43084</v>
      </c>
      <c r="B1811">
        <v>1</v>
      </c>
      <c r="C1811">
        <v>1</v>
      </c>
      <c r="D1811">
        <v>16</v>
      </c>
    </row>
    <row r="1812" spans="1:4" x14ac:dyDescent="0.25">
      <c r="A1812" s="1">
        <v>43085</v>
      </c>
      <c r="B1812">
        <v>1</v>
      </c>
      <c r="C1812">
        <v>1</v>
      </c>
      <c r="D1812">
        <v>15</v>
      </c>
    </row>
    <row r="1813" spans="1:4" x14ac:dyDescent="0.25">
      <c r="A1813" s="1">
        <v>43086</v>
      </c>
      <c r="B1813">
        <v>1</v>
      </c>
      <c r="C1813">
        <v>1</v>
      </c>
      <c r="D1813">
        <v>22</v>
      </c>
    </row>
    <row r="1814" spans="1:4" x14ac:dyDescent="0.25">
      <c r="A1814" s="1">
        <v>43087</v>
      </c>
      <c r="B1814">
        <v>1</v>
      </c>
      <c r="C1814">
        <v>1</v>
      </c>
      <c r="D1814">
        <v>19</v>
      </c>
    </row>
    <row r="1815" spans="1:4" x14ac:dyDescent="0.25">
      <c r="A1815" s="1">
        <v>43088</v>
      </c>
      <c r="B1815">
        <v>1</v>
      </c>
      <c r="C1815">
        <v>1</v>
      </c>
      <c r="D1815">
        <v>7</v>
      </c>
    </row>
    <row r="1816" spans="1:4" x14ac:dyDescent="0.25">
      <c r="A1816" s="1">
        <v>43089</v>
      </c>
      <c r="B1816">
        <v>1</v>
      </c>
      <c r="C1816">
        <v>1</v>
      </c>
      <c r="D1816">
        <v>16</v>
      </c>
    </row>
    <row r="1817" spans="1:4" x14ac:dyDescent="0.25">
      <c r="A1817" s="1">
        <v>43090</v>
      </c>
      <c r="B1817">
        <v>1</v>
      </c>
      <c r="C1817">
        <v>1</v>
      </c>
      <c r="D1817">
        <v>12</v>
      </c>
    </row>
    <row r="1818" spans="1:4" x14ac:dyDescent="0.25">
      <c r="A1818" s="1">
        <v>43091</v>
      </c>
      <c r="B1818">
        <v>1</v>
      </c>
      <c r="C1818">
        <v>1</v>
      </c>
      <c r="D1818">
        <v>6</v>
      </c>
    </row>
    <row r="1819" spans="1:4" x14ac:dyDescent="0.25">
      <c r="A1819" s="1">
        <v>43092</v>
      </c>
      <c r="B1819">
        <v>1</v>
      </c>
      <c r="C1819">
        <v>1</v>
      </c>
      <c r="D1819">
        <v>18</v>
      </c>
    </row>
    <row r="1820" spans="1:4" x14ac:dyDescent="0.25">
      <c r="A1820" s="1">
        <v>43093</v>
      </c>
      <c r="B1820">
        <v>1</v>
      </c>
      <c r="C1820">
        <v>1</v>
      </c>
      <c r="D1820">
        <v>19</v>
      </c>
    </row>
    <row r="1821" spans="1:4" x14ac:dyDescent="0.25">
      <c r="A1821" s="1">
        <v>43094</v>
      </c>
      <c r="B1821">
        <v>1</v>
      </c>
      <c r="C1821">
        <v>1</v>
      </c>
      <c r="D1821">
        <v>13</v>
      </c>
    </row>
    <row r="1822" spans="1:4" x14ac:dyDescent="0.25">
      <c r="A1822" s="1">
        <v>43095</v>
      </c>
      <c r="B1822">
        <v>1</v>
      </c>
      <c r="C1822">
        <v>1</v>
      </c>
      <c r="D1822">
        <v>16</v>
      </c>
    </row>
    <row r="1823" spans="1:4" x14ac:dyDescent="0.25">
      <c r="A1823" s="1">
        <v>43096</v>
      </c>
      <c r="B1823">
        <v>1</v>
      </c>
      <c r="C1823">
        <v>1</v>
      </c>
      <c r="D1823">
        <v>14</v>
      </c>
    </row>
    <row r="1824" spans="1:4" x14ac:dyDescent="0.25">
      <c r="A1824" s="1">
        <v>43097</v>
      </c>
      <c r="B1824">
        <v>1</v>
      </c>
      <c r="C1824">
        <v>1</v>
      </c>
      <c r="D1824">
        <v>19</v>
      </c>
    </row>
    <row r="1825" spans="1:4" x14ac:dyDescent="0.25">
      <c r="A1825" s="1">
        <v>43098</v>
      </c>
      <c r="B1825">
        <v>1</v>
      </c>
      <c r="C1825">
        <v>1</v>
      </c>
      <c r="D1825">
        <v>15</v>
      </c>
    </row>
    <row r="1826" spans="1:4" x14ac:dyDescent="0.25">
      <c r="A1826" s="1">
        <v>43099</v>
      </c>
      <c r="B1826">
        <v>1</v>
      </c>
      <c r="C1826">
        <v>1</v>
      </c>
      <c r="D1826">
        <v>27</v>
      </c>
    </row>
    <row r="1827" spans="1:4" x14ac:dyDescent="0.25">
      <c r="A1827" s="1">
        <v>43100</v>
      </c>
      <c r="B1827">
        <v>1</v>
      </c>
      <c r="C1827">
        <v>1</v>
      </c>
      <c r="D1827">
        <v>23</v>
      </c>
    </row>
    <row r="1828" spans="1:4" x14ac:dyDescent="0.25">
      <c r="A1828" s="1">
        <v>41275</v>
      </c>
      <c r="B1828">
        <v>1</v>
      </c>
      <c r="C1828">
        <v>2</v>
      </c>
      <c r="D1828">
        <v>33</v>
      </c>
    </row>
    <row r="1829" spans="1:4" x14ac:dyDescent="0.25">
      <c r="A1829" s="1">
        <v>41276</v>
      </c>
      <c r="B1829">
        <v>1</v>
      </c>
      <c r="C1829">
        <v>2</v>
      </c>
      <c r="D1829">
        <v>43</v>
      </c>
    </row>
    <row r="1830" spans="1:4" x14ac:dyDescent="0.25">
      <c r="A1830" s="1">
        <v>41277</v>
      </c>
      <c r="B1830">
        <v>1</v>
      </c>
      <c r="C1830">
        <v>2</v>
      </c>
      <c r="D1830">
        <v>23</v>
      </c>
    </row>
    <row r="1831" spans="1:4" x14ac:dyDescent="0.25">
      <c r="A1831" s="1">
        <v>41278</v>
      </c>
      <c r="B1831">
        <v>1</v>
      </c>
      <c r="C1831">
        <v>2</v>
      </c>
      <c r="D1831">
        <v>18</v>
      </c>
    </row>
    <row r="1832" spans="1:4" x14ac:dyDescent="0.25">
      <c r="A1832" s="1">
        <v>41279</v>
      </c>
      <c r="B1832">
        <v>1</v>
      </c>
      <c r="C1832">
        <v>2</v>
      </c>
      <c r="D1832">
        <v>34</v>
      </c>
    </row>
    <row r="1833" spans="1:4" x14ac:dyDescent="0.25">
      <c r="A1833" s="1">
        <v>41280</v>
      </c>
      <c r="B1833">
        <v>1</v>
      </c>
      <c r="C1833">
        <v>2</v>
      </c>
      <c r="D1833">
        <v>38</v>
      </c>
    </row>
    <row r="1834" spans="1:4" x14ac:dyDescent="0.25">
      <c r="A1834" s="1">
        <v>41281</v>
      </c>
      <c r="B1834">
        <v>1</v>
      </c>
      <c r="C1834">
        <v>2</v>
      </c>
      <c r="D1834">
        <v>27</v>
      </c>
    </row>
    <row r="1835" spans="1:4" x14ac:dyDescent="0.25">
      <c r="A1835" s="1">
        <v>41282</v>
      </c>
      <c r="B1835">
        <v>1</v>
      </c>
      <c r="C1835">
        <v>2</v>
      </c>
      <c r="D1835">
        <v>28</v>
      </c>
    </row>
    <row r="1836" spans="1:4" x14ac:dyDescent="0.25">
      <c r="A1836" s="1">
        <v>41283</v>
      </c>
      <c r="B1836">
        <v>1</v>
      </c>
      <c r="C1836">
        <v>2</v>
      </c>
      <c r="D1836">
        <v>34</v>
      </c>
    </row>
    <row r="1837" spans="1:4" x14ac:dyDescent="0.25">
      <c r="A1837" s="1">
        <v>41284</v>
      </c>
      <c r="B1837">
        <v>1</v>
      </c>
      <c r="C1837">
        <v>2</v>
      </c>
      <c r="D1837">
        <v>27</v>
      </c>
    </row>
    <row r="1838" spans="1:4" x14ac:dyDescent="0.25">
      <c r="A1838" s="1">
        <v>41285</v>
      </c>
      <c r="B1838">
        <v>1</v>
      </c>
      <c r="C1838">
        <v>2</v>
      </c>
      <c r="D1838">
        <v>28</v>
      </c>
    </row>
    <row r="1839" spans="1:4" x14ac:dyDescent="0.25">
      <c r="A1839" s="1">
        <v>41286</v>
      </c>
      <c r="B1839">
        <v>1</v>
      </c>
      <c r="C1839">
        <v>2</v>
      </c>
      <c r="D1839">
        <v>39</v>
      </c>
    </row>
    <row r="1840" spans="1:4" x14ac:dyDescent="0.25">
      <c r="A1840" s="1">
        <v>41287</v>
      </c>
      <c r="B1840">
        <v>1</v>
      </c>
      <c r="C1840">
        <v>2</v>
      </c>
      <c r="D1840">
        <v>28</v>
      </c>
    </row>
    <row r="1841" spans="1:4" x14ac:dyDescent="0.25">
      <c r="A1841" s="1">
        <v>41288</v>
      </c>
      <c r="B1841">
        <v>1</v>
      </c>
      <c r="C1841">
        <v>2</v>
      </c>
      <c r="D1841">
        <v>30</v>
      </c>
    </row>
    <row r="1842" spans="1:4" x14ac:dyDescent="0.25">
      <c r="A1842" s="1">
        <v>41289</v>
      </c>
      <c r="B1842">
        <v>1</v>
      </c>
      <c r="C1842">
        <v>2</v>
      </c>
      <c r="D1842">
        <v>27</v>
      </c>
    </row>
    <row r="1843" spans="1:4" x14ac:dyDescent="0.25">
      <c r="A1843" s="1">
        <v>41290</v>
      </c>
      <c r="B1843">
        <v>1</v>
      </c>
      <c r="C1843">
        <v>2</v>
      </c>
      <c r="D1843">
        <v>19</v>
      </c>
    </row>
    <row r="1844" spans="1:4" x14ac:dyDescent="0.25">
      <c r="A1844" s="1">
        <v>41291</v>
      </c>
      <c r="B1844">
        <v>1</v>
      </c>
      <c r="C1844">
        <v>2</v>
      </c>
      <c r="D1844">
        <v>29</v>
      </c>
    </row>
    <row r="1845" spans="1:4" x14ac:dyDescent="0.25">
      <c r="A1845" s="1">
        <v>41292</v>
      </c>
      <c r="B1845">
        <v>1</v>
      </c>
      <c r="C1845">
        <v>2</v>
      </c>
      <c r="D1845">
        <v>29</v>
      </c>
    </row>
    <row r="1846" spans="1:4" x14ac:dyDescent="0.25">
      <c r="A1846" s="1">
        <v>41293</v>
      </c>
      <c r="B1846">
        <v>1</v>
      </c>
      <c r="C1846">
        <v>2</v>
      </c>
      <c r="D1846">
        <v>44</v>
      </c>
    </row>
    <row r="1847" spans="1:4" x14ac:dyDescent="0.25">
      <c r="A1847" s="1">
        <v>41294</v>
      </c>
      <c r="B1847">
        <v>1</v>
      </c>
      <c r="C1847">
        <v>2</v>
      </c>
      <c r="D1847">
        <v>34</v>
      </c>
    </row>
    <row r="1848" spans="1:4" x14ac:dyDescent="0.25">
      <c r="A1848" s="1">
        <v>41295</v>
      </c>
      <c r="B1848">
        <v>1</v>
      </c>
      <c r="C1848">
        <v>2</v>
      </c>
      <c r="D1848">
        <v>15</v>
      </c>
    </row>
    <row r="1849" spans="1:4" x14ac:dyDescent="0.25">
      <c r="A1849" s="1">
        <v>41296</v>
      </c>
      <c r="B1849">
        <v>1</v>
      </c>
      <c r="C1849">
        <v>2</v>
      </c>
      <c r="D1849">
        <v>29</v>
      </c>
    </row>
    <row r="1850" spans="1:4" x14ac:dyDescent="0.25">
      <c r="A1850" s="1">
        <v>41297</v>
      </c>
      <c r="B1850">
        <v>1</v>
      </c>
      <c r="C1850">
        <v>2</v>
      </c>
      <c r="D1850">
        <v>21</v>
      </c>
    </row>
    <row r="1851" spans="1:4" x14ac:dyDescent="0.25">
      <c r="A1851" s="1">
        <v>41298</v>
      </c>
      <c r="B1851">
        <v>1</v>
      </c>
      <c r="C1851">
        <v>2</v>
      </c>
      <c r="D1851">
        <v>33</v>
      </c>
    </row>
    <row r="1852" spans="1:4" x14ac:dyDescent="0.25">
      <c r="A1852" s="1">
        <v>41299</v>
      </c>
      <c r="B1852">
        <v>1</v>
      </c>
      <c r="C1852">
        <v>2</v>
      </c>
      <c r="D1852">
        <v>29</v>
      </c>
    </row>
    <row r="1853" spans="1:4" x14ac:dyDescent="0.25">
      <c r="A1853" s="1">
        <v>41300</v>
      </c>
      <c r="B1853">
        <v>1</v>
      </c>
      <c r="C1853">
        <v>2</v>
      </c>
      <c r="D1853">
        <v>33</v>
      </c>
    </row>
    <row r="1854" spans="1:4" x14ac:dyDescent="0.25">
      <c r="A1854" s="1">
        <v>41301</v>
      </c>
      <c r="B1854">
        <v>1</v>
      </c>
      <c r="C1854">
        <v>2</v>
      </c>
      <c r="D1854">
        <v>32</v>
      </c>
    </row>
    <row r="1855" spans="1:4" x14ac:dyDescent="0.25">
      <c r="A1855" s="1">
        <v>41302</v>
      </c>
      <c r="B1855">
        <v>1</v>
      </c>
      <c r="C1855">
        <v>2</v>
      </c>
      <c r="D1855">
        <v>16</v>
      </c>
    </row>
    <row r="1856" spans="1:4" x14ac:dyDescent="0.25">
      <c r="A1856" s="1">
        <v>41303</v>
      </c>
      <c r="B1856">
        <v>1</v>
      </c>
      <c r="C1856">
        <v>2</v>
      </c>
      <c r="D1856">
        <v>35</v>
      </c>
    </row>
    <row r="1857" spans="1:4" x14ac:dyDescent="0.25">
      <c r="A1857" s="1">
        <v>41304</v>
      </c>
      <c r="B1857">
        <v>1</v>
      </c>
      <c r="C1857">
        <v>2</v>
      </c>
      <c r="D1857">
        <v>29</v>
      </c>
    </row>
    <row r="1858" spans="1:4" x14ac:dyDescent="0.25">
      <c r="A1858" s="1">
        <v>41305</v>
      </c>
      <c r="B1858">
        <v>1</v>
      </c>
      <c r="C1858">
        <v>2</v>
      </c>
      <c r="D1858">
        <v>27</v>
      </c>
    </row>
    <row r="1859" spans="1:4" x14ac:dyDescent="0.25">
      <c r="A1859" s="1">
        <v>41306</v>
      </c>
      <c r="B1859">
        <v>1</v>
      </c>
      <c r="C1859">
        <v>2</v>
      </c>
      <c r="D1859">
        <v>30</v>
      </c>
    </row>
    <row r="1860" spans="1:4" x14ac:dyDescent="0.25">
      <c r="A1860" s="1">
        <v>41307</v>
      </c>
      <c r="B1860">
        <v>1</v>
      </c>
      <c r="C1860">
        <v>2</v>
      </c>
      <c r="D1860">
        <v>26</v>
      </c>
    </row>
    <row r="1861" spans="1:4" x14ac:dyDescent="0.25">
      <c r="A1861" s="1">
        <v>41308</v>
      </c>
      <c r="B1861">
        <v>1</v>
      </c>
      <c r="C1861">
        <v>2</v>
      </c>
      <c r="D1861">
        <v>39</v>
      </c>
    </row>
    <row r="1862" spans="1:4" x14ac:dyDescent="0.25">
      <c r="A1862" s="1">
        <v>41309</v>
      </c>
      <c r="B1862">
        <v>1</v>
      </c>
      <c r="C1862">
        <v>2</v>
      </c>
      <c r="D1862">
        <v>30</v>
      </c>
    </row>
    <row r="1863" spans="1:4" x14ac:dyDescent="0.25">
      <c r="A1863" s="1">
        <v>41310</v>
      </c>
      <c r="B1863">
        <v>1</v>
      </c>
      <c r="C1863">
        <v>2</v>
      </c>
      <c r="D1863">
        <v>34</v>
      </c>
    </row>
    <row r="1864" spans="1:4" x14ac:dyDescent="0.25">
      <c r="A1864" s="1">
        <v>41311</v>
      </c>
      <c r="B1864">
        <v>1</v>
      </c>
      <c r="C1864">
        <v>2</v>
      </c>
      <c r="D1864">
        <v>22</v>
      </c>
    </row>
    <row r="1865" spans="1:4" x14ac:dyDescent="0.25">
      <c r="A1865" s="1">
        <v>41312</v>
      </c>
      <c r="B1865">
        <v>1</v>
      </c>
      <c r="C1865">
        <v>2</v>
      </c>
      <c r="D1865">
        <v>42</v>
      </c>
    </row>
    <row r="1866" spans="1:4" x14ac:dyDescent="0.25">
      <c r="A1866" s="1">
        <v>41313</v>
      </c>
      <c r="B1866">
        <v>1</v>
      </c>
      <c r="C1866">
        <v>2</v>
      </c>
      <c r="D1866">
        <v>27</v>
      </c>
    </row>
    <row r="1867" spans="1:4" x14ac:dyDescent="0.25">
      <c r="A1867" s="1">
        <v>41314</v>
      </c>
      <c r="B1867">
        <v>1</v>
      </c>
      <c r="C1867">
        <v>2</v>
      </c>
      <c r="D1867">
        <v>28</v>
      </c>
    </row>
    <row r="1868" spans="1:4" x14ac:dyDescent="0.25">
      <c r="A1868" s="1">
        <v>41315</v>
      </c>
      <c r="B1868">
        <v>1</v>
      </c>
      <c r="C1868">
        <v>2</v>
      </c>
      <c r="D1868">
        <v>34</v>
      </c>
    </row>
    <row r="1869" spans="1:4" x14ac:dyDescent="0.25">
      <c r="A1869" s="1">
        <v>41316</v>
      </c>
      <c r="B1869">
        <v>1</v>
      </c>
      <c r="C1869">
        <v>2</v>
      </c>
      <c r="D1869">
        <v>25</v>
      </c>
    </row>
    <row r="1870" spans="1:4" x14ac:dyDescent="0.25">
      <c r="A1870" s="1">
        <v>41317</v>
      </c>
      <c r="B1870">
        <v>1</v>
      </c>
      <c r="C1870">
        <v>2</v>
      </c>
      <c r="D1870">
        <v>39</v>
      </c>
    </row>
    <row r="1871" spans="1:4" x14ac:dyDescent="0.25">
      <c r="A1871" s="1">
        <v>41318</v>
      </c>
      <c r="B1871">
        <v>1</v>
      </c>
      <c r="C1871">
        <v>2</v>
      </c>
      <c r="D1871">
        <v>17</v>
      </c>
    </row>
    <row r="1872" spans="1:4" x14ac:dyDescent="0.25">
      <c r="A1872" s="1">
        <v>41319</v>
      </c>
      <c r="B1872">
        <v>1</v>
      </c>
      <c r="C1872">
        <v>2</v>
      </c>
      <c r="D1872">
        <v>35</v>
      </c>
    </row>
    <row r="1873" spans="1:4" x14ac:dyDescent="0.25">
      <c r="A1873" s="1">
        <v>41320</v>
      </c>
      <c r="B1873">
        <v>1</v>
      </c>
      <c r="C1873">
        <v>2</v>
      </c>
      <c r="D1873">
        <v>34</v>
      </c>
    </row>
    <row r="1874" spans="1:4" x14ac:dyDescent="0.25">
      <c r="A1874" s="1">
        <v>41321</v>
      </c>
      <c r="B1874">
        <v>1</v>
      </c>
      <c r="C1874">
        <v>2</v>
      </c>
      <c r="D1874">
        <v>39</v>
      </c>
    </row>
    <row r="1875" spans="1:4" x14ac:dyDescent="0.25">
      <c r="A1875" s="1">
        <v>41322</v>
      </c>
      <c r="B1875">
        <v>1</v>
      </c>
      <c r="C1875">
        <v>2</v>
      </c>
      <c r="D1875">
        <v>46</v>
      </c>
    </row>
    <row r="1876" spans="1:4" x14ac:dyDescent="0.25">
      <c r="A1876" s="1">
        <v>41323</v>
      </c>
      <c r="B1876">
        <v>1</v>
      </c>
      <c r="C1876">
        <v>2</v>
      </c>
      <c r="D1876">
        <v>31</v>
      </c>
    </row>
    <row r="1877" spans="1:4" x14ac:dyDescent="0.25">
      <c r="A1877" s="1">
        <v>41324</v>
      </c>
      <c r="B1877">
        <v>1</v>
      </c>
      <c r="C1877">
        <v>2</v>
      </c>
      <c r="D1877">
        <v>30</v>
      </c>
    </row>
    <row r="1878" spans="1:4" x14ac:dyDescent="0.25">
      <c r="A1878" s="1">
        <v>41325</v>
      </c>
      <c r="B1878">
        <v>1</v>
      </c>
      <c r="C1878">
        <v>2</v>
      </c>
      <c r="D1878">
        <v>24</v>
      </c>
    </row>
    <row r="1879" spans="1:4" x14ac:dyDescent="0.25">
      <c r="A1879" s="1">
        <v>41326</v>
      </c>
      <c r="B1879">
        <v>1</v>
      </c>
      <c r="C1879">
        <v>2</v>
      </c>
      <c r="D1879">
        <v>31</v>
      </c>
    </row>
    <row r="1880" spans="1:4" x14ac:dyDescent="0.25">
      <c r="A1880" s="1">
        <v>41327</v>
      </c>
      <c r="B1880">
        <v>1</v>
      </c>
      <c r="C1880">
        <v>2</v>
      </c>
      <c r="D1880">
        <v>40</v>
      </c>
    </row>
    <row r="1881" spans="1:4" x14ac:dyDescent="0.25">
      <c r="A1881" s="1">
        <v>41328</v>
      </c>
      <c r="B1881">
        <v>1</v>
      </c>
      <c r="C1881">
        <v>2</v>
      </c>
      <c r="D1881">
        <v>37</v>
      </c>
    </row>
    <row r="1882" spans="1:4" x14ac:dyDescent="0.25">
      <c r="A1882" s="1">
        <v>41329</v>
      </c>
      <c r="B1882">
        <v>1</v>
      </c>
      <c r="C1882">
        <v>2</v>
      </c>
      <c r="D1882">
        <v>33</v>
      </c>
    </row>
    <row r="1883" spans="1:4" x14ac:dyDescent="0.25">
      <c r="A1883" s="1">
        <v>41330</v>
      </c>
      <c r="B1883">
        <v>1</v>
      </c>
      <c r="C1883">
        <v>2</v>
      </c>
      <c r="D1883">
        <v>13</v>
      </c>
    </row>
    <row r="1884" spans="1:4" x14ac:dyDescent="0.25">
      <c r="A1884" s="1">
        <v>41331</v>
      </c>
      <c r="B1884">
        <v>1</v>
      </c>
      <c r="C1884">
        <v>2</v>
      </c>
      <c r="D1884">
        <v>33</v>
      </c>
    </row>
    <row r="1885" spans="1:4" x14ac:dyDescent="0.25">
      <c r="A1885" s="1">
        <v>41332</v>
      </c>
      <c r="B1885">
        <v>1</v>
      </c>
      <c r="C1885">
        <v>2</v>
      </c>
      <c r="D1885">
        <v>19</v>
      </c>
    </row>
    <row r="1886" spans="1:4" x14ac:dyDescent="0.25">
      <c r="A1886" s="1">
        <v>41333</v>
      </c>
      <c r="B1886">
        <v>1</v>
      </c>
      <c r="C1886">
        <v>2</v>
      </c>
      <c r="D1886">
        <v>35</v>
      </c>
    </row>
    <row r="1887" spans="1:4" x14ac:dyDescent="0.25">
      <c r="A1887" s="1">
        <v>41334</v>
      </c>
      <c r="B1887">
        <v>1</v>
      </c>
      <c r="C1887">
        <v>2</v>
      </c>
      <c r="D1887">
        <v>42</v>
      </c>
    </row>
    <row r="1888" spans="1:4" x14ac:dyDescent="0.25">
      <c r="A1888" s="1">
        <v>41335</v>
      </c>
      <c r="B1888">
        <v>1</v>
      </c>
      <c r="C1888">
        <v>2</v>
      </c>
      <c r="D1888">
        <v>49</v>
      </c>
    </row>
    <row r="1889" spans="1:4" x14ac:dyDescent="0.25">
      <c r="A1889" s="1">
        <v>41336</v>
      </c>
      <c r="B1889">
        <v>1</v>
      </c>
      <c r="C1889">
        <v>2</v>
      </c>
      <c r="D1889">
        <v>49</v>
      </c>
    </row>
    <row r="1890" spans="1:4" x14ac:dyDescent="0.25">
      <c r="A1890" s="1">
        <v>41337</v>
      </c>
      <c r="B1890">
        <v>1</v>
      </c>
      <c r="C1890">
        <v>2</v>
      </c>
      <c r="D1890">
        <v>33</v>
      </c>
    </row>
    <row r="1891" spans="1:4" x14ac:dyDescent="0.25">
      <c r="A1891" s="1">
        <v>41338</v>
      </c>
      <c r="B1891">
        <v>1</v>
      </c>
      <c r="C1891">
        <v>2</v>
      </c>
      <c r="D1891">
        <v>42</v>
      </c>
    </row>
    <row r="1892" spans="1:4" x14ac:dyDescent="0.25">
      <c r="A1892" s="1">
        <v>41339</v>
      </c>
      <c r="B1892">
        <v>1</v>
      </c>
      <c r="C1892">
        <v>2</v>
      </c>
      <c r="D1892">
        <v>43</v>
      </c>
    </row>
    <row r="1893" spans="1:4" x14ac:dyDescent="0.25">
      <c r="A1893" s="1">
        <v>41340</v>
      </c>
      <c r="B1893">
        <v>1</v>
      </c>
      <c r="C1893">
        <v>2</v>
      </c>
      <c r="D1893">
        <v>48</v>
      </c>
    </row>
    <row r="1894" spans="1:4" x14ac:dyDescent="0.25">
      <c r="A1894" s="1">
        <v>41341</v>
      </c>
      <c r="B1894">
        <v>1</v>
      </c>
      <c r="C1894">
        <v>2</v>
      </c>
      <c r="D1894">
        <v>43</v>
      </c>
    </row>
    <row r="1895" spans="1:4" x14ac:dyDescent="0.25">
      <c r="A1895" s="1">
        <v>41342</v>
      </c>
      <c r="B1895">
        <v>1</v>
      </c>
      <c r="C1895">
        <v>2</v>
      </c>
      <c r="D1895">
        <v>43</v>
      </c>
    </row>
    <row r="1896" spans="1:4" x14ac:dyDescent="0.25">
      <c r="A1896" s="1">
        <v>41343</v>
      </c>
      <c r="B1896">
        <v>1</v>
      </c>
      <c r="C1896">
        <v>2</v>
      </c>
      <c r="D1896">
        <v>43</v>
      </c>
    </row>
    <row r="1897" spans="1:4" x14ac:dyDescent="0.25">
      <c r="A1897" s="1">
        <v>41344</v>
      </c>
      <c r="B1897">
        <v>1</v>
      </c>
      <c r="C1897">
        <v>2</v>
      </c>
      <c r="D1897">
        <v>34</v>
      </c>
    </row>
    <row r="1898" spans="1:4" x14ac:dyDescent="0.25">
      <c r="A1898" s="1">
        <v>41345</v>
      </c>
      <c r="B1898">
        <v>1</v>
      </c>
      <c r="C1898">
        <v>2</v>
      </c>
      <c r="D1898">
        <v>30</v>
      </c>
    </row>
    <row r="1899" spans="1:4" x14ac:dyDescent="0.25">
      <c r="A1899" s="1">
        <v>41346</v>
      </c>
      <c r="B1899">
        <v>1</v>
      </c>
      <c r="C1899">
        <v>2</v>
      </c>
      <c r="D1899">
        <v>36</v>
      </c>
    </row>
    <row r="1900" spans="1:4" x14ac:dyDescent="0.25">
      <c r="A1900" s="1">
        <v>41347</v>
      </c>
      <c r="B1900">
        <v>1</v>
      </c>
      <c r="C1900">
        <v>2</v>
      </c>
      <c r="D1900">
        <v>44</v>
      </c>
    </row>
    <row r="1901" spans="1:4" x14ac:dyDescent="0.25">
      <c r="A1901" s="1">
        <v>41348</v>
      </c>
      <c r="B1901">
        <v>1</v>
      </c>
      <c r="C1901">
        <v>2</v>
      </c>
      <c r="D1901">
        <v>52</v>
      </c>
    </row>
    <row r="1902" spans="1:4" x14ac:dyDescent="0.25">
      <c r="A1902" s="1">
        <v>41349</v>
      </c>
      <c r="B1902">
        <v>1</v>
      </c>
      <c r="C1902">
        <v>2</v>
      </c>
      <c r="D1902">
        <v>58</v>
      </c>
    </row>
    <row r="1903" spans="1:4" x14ac:dyDescent="0.25">
      <c r="A1903" s="1">
        <v>41350</v>
      </c>
      <c r="B1903">
        <v>1</v>
      </c>
      <c r="C1903">
        <v>2</v>
      </c>
      <c r="D1903">
        <v>46</v>
      </c>
    </row>
    <row r="1904" spans="1:4" x14ac:dyDescent="0.25">
      <c r="A1904" s="1">
        <v>41351</v>
      </c>
      <c r="B1904">
        <v>1</v>
      </c>
      <c r="C1904">
        <v>2</v>
      </c>
      <c r="D1904">
        <v>37</v>
      </c>
    </row>
    <row r="1905" spans="1:4" x14ac:dyDescent="0.25">
      <c r="A1905" s="1">
        <v>41352</v>
      </c>
      <c r="B1905">
        <v>1</v>
      </c>
      <c r="C1905">
        <v>2</v>
      </c>
      <c r="D1905">
        <v>48</v>
      </c>
    </row>
    <row r="1906" spans="1:4" x14ac:dyDescent="0.25">
      <c r="A1906" s="1">
        <v>41353</v>
      </c>
      <c r="B1906">
        <v>1</v>
      </c>
      <c r="C1906">
        <v>2</v>
      </c>
      <c r="D1906">
        <v>43</v>
      </c>
    </row>
    <row r="1907" spans="1:4" x14ac:dyDescent="0.25">
      <c r="A1907" s="1">
        <v>41354</v>
      </c>
      <c r="B1907">
        <v>1</v>
      </c>
      <c r="C1907">
        <v>2</v>
      </c>
      <c r="D1907">
        <v>43</v>
      </c>
    </row>
    <row r="1908" spans="1:4" x14ac:dyDescent="0.25">
      <c r="A1908" s="1">
        <v>41355</v>
      </c>
      <c r="B1908">
        <v>1</v>
      </c>
      <c r="C1908">
        <v>2</v>
      </c>
      <c r="D1908">
        <v>30</v>
      </c>
    </row>
    <row r="1909" spans="1:4" x14ac:dyDescent="0.25">
      <c r="A1909" s="1">
        <v>41356</v>
      </c>
      <c r="B1909">
        <v>1</v>
      </c>
      <c r="C1909">
        <v>2</v>
      </c>
      <c r="D1909">
        <v>51</v>
      </c>
    </row>
    <row r="1910" spans="1:4" x14ac:dyDescent="0.25">
      <c r="A1910" s="1">
        <v>41357</v>
      </c>
      <c r="B1910">
        <v>1</v>
      </c>
      <c r="C1910">
        <v>2</v>
      </c>
      <c r="D1910">
        <v>40</v>
      </c>
    </row>
    <row r="1911" spans="1:4" x14ac:dyDescent="0.25">
      <c r="A1911" s="1">
        <v>41358</v>
      </c>
      <c r="B1911">
        <v>1</v>
      </c>
      <c r="C1911">
        <v>2</v>
      </c>
      <c r="D1911">
        <v>34</v>
      </c>
    </row>
    <row r="1912" spans="1:4" x14ac:dyDescent="0.25">
      <c r="A1912" s="1">
        <v>41359</v>
      </c>
      <c r="B1912">
        <v>1</v>
      </c>
      <c r="C1912">
        <v>2</v>
      </c>
      <c r="D1912">
        <v>27</v>
      </c>
    </row>
    <row r="1913" spans="1:4" x14ac:dyDescent="0.25">
      <c r="A1913" s="1">
        <v>41360</v>
      </c>
      <c r="B1913">
        <v>1</v>
      </c>
      <c r="C1913">
        <v>2</v>
      </c>
      <c r="D1913">
        <v>33</v>
      </c>
    </row>
    <row r="1914" spans="1:4" x14ac:dyDescent="0.25">
      <c r="A1914" s="1">
        <v>41361</v>
      </c>
      <c r="B1914">
        <v>1</v>
      </c>
      <c r="C1914">
        <v>2</v>
      </c>
      <c r="D1914">
        <v>38</v>
      </c>
    </row>
    <row r="1915" spans="1:4" x14ac:dyDescent="0.25">
      <c r="A1915" s="1">
        <v>41362</v>
      </c>
      <c r="B1915">
        <v>1</v>
      </c>
      <c r="C1915">
        <v>2</v>
      </c>
      <c r="D1915">
        <v>45</v>
      </c>
    </row>
    <row r="1916" spans="1:4" x14ac:dyDescent="0.25">
      <c r="A1916" s="1">
        <v>41363</v>
      </c>
      <c r="B1916">
        <v>1</v>
      </c>
      <c r="C1916">
        <v>2</v>
      </c>
      <c r="D1916">
        <v>51</v>
      </c>
    </row>
    <row r="1917" spans="1:4" x14ac:dyDescent="0.25">
      <c r="A1917" s="1">
        <v>41364</v>
      </c>
      <c r="B1917">
        <v>1</v>
      </c>
      <c r="C1917">
        <v>2</v>
      </c>
      <c r="D1917">
        <v>44</v>
      </c>
    </row>
    <row r="1918" spans="1:4" x14ac:dyDescent="0.25">
      <c r="A1918" s="1">
        <v>41365</v>
      </c>
      <c r="B1918">
        <v>1</v>
      </c>
      <c r="C1918">
        <v>2</v>
      </c>
      <c r="D1918">
        <v>40</v>
      </c>
    </row>
    <row r="1919" spans="1:4" x14ac:dyDescent="0.25">
      <c r="A1919" s="1">
        <v>41366</v>
      </c>
      <c r="B1919">
        <v>1</v>
      </c>
      <c r="C1919">
        <v>2</v>
      </c>
      <c r="D1919">
        <v>44</v>
      </c>
    </row>
    <row r="1920" spans="1:4" x14ac:dyDescent="0.25">
      <c r="A1920" s="1">
        <v>41367</v>
      </c>
      <c r="B1920">
        <v>1</v>
      </c>
      <c r="C1920">
        <v>2</v>
      </c>
      <c r="D1920">
        <v>40</v>
      </c>
    </row>
    <row r="1921" spans="1:4" x14ac:dyDescent="0.25">
      <c r="A1921" s="1">
        <v>41368</v>
      </c>
      <c r="B1921">
        <v>1</v>
      </c>
      <c r="C1921">
        <v>2</v>
      </c>
      <c r="D1921">
        <v>53</v>
      </c>
    </row>
    <row r="1922" spans="1:4" x14ac:dyDescent="0.25">
      <c r="A1922" s="1">
        <v>41369</v>
      </c>
      <c r="B1922">
        <v>1</v>
      </c>
      <c r="C1922">
        <v>2</v>
      </c>
      <c r="D1922">
        <v>45</v>
      </c>
    </row>
    <row r="1923" spans="1:4" x14ac:dyDescent="0.25">
      <c r="A1923" s="1">
        <v>41370</v>
      </c>
      <c r="B1923">
        <v>1</v>
      </c>
      <c r="C1923">
        <v>2</v>
      </c>
      <c r="D1923">
        <v>46</v>
      </c>
    </row>
    <row r="1924" spans="1:4" x14ac:dyDescent="0.25">
      <c r="A1924" s="1">
        <v>41371</v>
      </c>
      <c r="B1924">
        <v>1</v>
      </c>
      <c r="C1924">
        <v>2</v>
      </c>
      <c r="D1924">
        <v>57</v>
      </c>
    </row>
    <row r="1925" spans="1:4" x14ac:dyDescent="0.25">
      <c r="A1925" s="1">
        <v>41372</v>
      </c>
      <c r="B1925">
        <v>1</v>
      </c>
      <c r="C1925">
        <v>2</v>
      </c>
      <c r="D1925">
        <v>44</v>
      </c>
    </row>
    <row r="1926" spans="1:4" x14ac:dyDescent="0.25">
      <c r="A1926" s="1">
        <v>41373</v>
      </c>
      <c r="B1926">
        <v>1</v>
      </c>
      <c r="C1926">
        <v>2</v>
      </c>
      <c r="D1926">
        <v>31</v>
      </c>
    </row>
    <row r="1927" spans="1:4" x14ac:dyDescent="0.25">
      <c r="A1927" s="1">
        <v>41374</v>
      </c>
      <c r="B1927">
        <v>1</v>
      </c>
      <c r="C1927">
        <v>2</v>
      </c>
      <c r="D1927">
        <v>49</v>
      </c>
    </row>
    <row r="1928" spans="1:4" x14ac:dyDescent="0.25">
      <c r="A1928" s="1">
        <v>41375</v>
      </c>
      <c r="B1928">
        <v>1</v>
      </c>
      <c r="C1928">
        <v>2</v>
      </c>
      <c r="D1928">
        <v>41</v>
      </c>
    </row>
    <row r="1929" spans="1:4" x14ac:dyDescent="0.25">
      <c r="A1929" s="1">
        <v>41376</v>
      </c>
      <c r="B1929">
        <v>1</v>
      </c>
      <c r="C1929">
        <v>2</v>
      </c>
      <c r="D1929">
        <v>53</v>
      </c>
    </row>
    <row r="1930" spans="1:4" x14ac:dyDescent="0.25">
      <c r="A1930" s="1">
        <v>41377</v>
      </c>
      <c r="B1930">
        <v>1</v>
      </c>
      <c r="C1930">
        <v>2</v>
      </c>
      <c r="D1930">
        <v>50</v>
      </c>
    </row>
    <row r="1931" spans="1:4" x14ac:dyDescent="0.25">
      <c r="A1931" s="1">
        <v>41378</v>
      </c>
      <c r="B1931">
        <v>1</v>
      </c>
      <c r="C1931">
        <v>2</v>
      </c>
      <c r="D1931">
        <v>53</v>
      </c>
    </row>
    <row r="1932" spans="1:4" x14ac:dyDescent="0.25">
      <c r="A1932" s="1">
        <v>41379</v>
      </c>
      <c r="B1932">
        <v>1</v>
      </c>
      <c r="C1932">
        <v>2</v>
      </c>
      <c r="D1932">
        <v>28</v>
      </c>
    </row>
    <row r="1933" spans="1:4" x14ac:dyDescent="0.25">
      <c r="A1933" s="1">
        <v>41380</v>
      </c>
      <c r="B1933">
        <v>1</v>
      </c>
      <c r="C1933">
        <v>2</v>
      </c>
      <c r="D1933">
        <v>45</v>
      </c>
    </row>
    <row r="1934" spans="1:4" x14ac:dyDescent="0.25">
      <c r="A1934" s="1">
        <v>41381</v>
      </c>
      <c r="B1934">
        <v>1</v>
      </c>
      <c r="C1934">
        <v>2</v>
      </c>
      <c r="D1934">
        <v>45</v>
      </c>
    </row>
    <row r="1935" spans="1:4" x14ac:dyDescent="0.25">
      <c r="A1935" s="1">
        <v>41382</v>
      </c>
      <c r="B1935">
        <v>1</v>
      </c>
      <c r="C1935">
        <v>2</v>
      </c>
      <c r="D1935">
        <v>45</v>
      </c>
    </row>
    <row r="1936" spans="1:4" x14ac:dyDescent="0.25">
      <c r="A1936" s="1">
        <v>41383</v>
      </c>
      <c r="B1936">
        <v>1</v>
      </c>
      <c r="C1936">
        <v>2</v>
      </c>
      <c r="D1936">
        <v>58</v>
      </c>
    </row>
    <row r="1937" spans="1:4" x14ac:dyDescent="0.25">
      <c r="A1937" s="1">
        <v>41384</v>
      </c>
      <c r="B1937">
        <v>1</v>
      </c>
      <c r="C1937">
        <v>2</v>
      </c>
      <c r="D1937">
        <v>26</v>
      </c>
    </row>
    <row r="1938" spans="1:4" x14ac:dyDescent="0.25">
      <c r="A1938" s="1">
        <v>41385</v>
      </c>
      <c r="B1938">
        <v>1</v>
      </c>
      <c r="C1938">
        <v>2</v>
      </c>
      <c r="D1938">
        <v>48</v>
      </c>
    </row>
    <row r="1939" spans="1:4" x14ac:dyDescent="0.25">
      <c r="A1939" s="1">
        <v>41386</v>
      </c>
      <c r="B1939">
        <v>1</v>
      </c>
      <c r="C1939">
        <v>2</v>
      </c>
      <c r="D1939">
        <v>27</v>
      </c>
    </row>
    <row r="1940" spans="1:4" x14ac:dyDescent="0.25">
      <c r="A1940" s="1">
        <v>41387</v>
      </c>
      <c r="B1940">
        <v>1</v>
      </c>
      <c r="C1940">
        <v>2</v>
      </c>
      <c r="D1940">
        <v>38</v>
      </c>
    </row>
    <row r="1941" spans="1:4" x14ac:dyDescent="0.25">
      <c r="A1941" s="1">
        <v>41388</v>
      </c>
      <c r="B1941">
        <v>1</v>
      </c>
      <c r="C1941">
        <v>2</v>
      </c>
      <c r="D1941">
        <v>40</v>
      </c>
    </row>
    <row r="1942" spans="1:4" x14ac:dyDescent="0.25">
      <c r="A1942" s="1">
        <v>41389</v>
      </c>
      <c r="B1942">
        <v>1</v>
      </c>
      <c r="C1942">
        <v>2</v>
      </c>
      <c r="D1942">
        <v>51</v>
      </c>
    </row>
    <row r="1943" spans="1:4" x14ac:dyDescent="0.25">
      <c r="A1943" s="1">
        <v>41390</v>
      </c>
      <c r="B1943">
        <v>1</v>
      </c>
      <c r="C1943">
        <v>2</v>
      </c>
      <c r="D1943">
        <v>48</v>
      </c>
    </row>
    <row r="1944" spans="1:4" x14ac:dyDescent="0.25">
      <c r="A1944" s="1">
        <v>41391</v>
      </c>
      <c r="B1944">
        <v>1</v>
      </c>
      <c r="C1944">
        <v>2</v>
      </c>
      <c r="D1944">
        <v>42</v>
      </c>
    </row>
    <row r="1945" spans="1:4" x14ac:dyDescent="0.25">
      <c r="A1945" s="1">
        <v>41392</v>
      </c>
      <c r="B1945">
        <v>1</v>
      </c>
      <c r="C1945">
        <v>2</v>
      </c>
      <c r="D1945">
        <v>53</v>
      </c>
    </row>
    <row r="1946" spans="1:4" x14ac:dyDescent="0.25">
      <c r="A1946" s="1">
        <v>41393</v>
      </c>
      <c r="B1946">
        <v>1</v>
      </c>
      <c r="C1946">
        <v>2</v>
      </c>
      <c r="D1946">
        <v>36</v>
      </c>
    </row>
    <row r="1947" spans="1:4" x14ac:dyDescent="0.25">
      <c r="A1947" s="1">
        <v>41394</v>
      </c>
      <c r="B1947">
        <v>1</v>
      </c>
      <c r="C1947">
        <v>2</v>
      </c>
      <c r="D1947">
        <v>40</v>
      </c>
    </row>
    <row r="1948" spans="1:4" x14ac:dyDescent="0.25">
      <c r="A1948" s="1">
        <v>41395</v>
      </c>
      <c r="B1948">
        <v>1</v>
      </c>
      <c r="C1948">
        <v>2</v>
      </c>
      <c r="D1948">
        <v>51</v>
      </c>
    </row>
    <row r="1949" spans="1:4" x14ac:dyDescent="0.25">
      <c r="A1949" s="1">
        <v>41396</v>
      </c>
      <c r="B1949">
        <v>1</v>
      </c>
      <c r="C1949">
        <v>2</v>
      </c>
      <c r="D1949">
        <v>54</v>
      </c>
    </row>
    <row r="1950" spans="1:4" x14ac:dyDescent="0.25">
      <c r="A1950" s="1">
        <v>41397</v>
      </c>
      <c r="B1950">
        <v>1</v>
      </c>
      <c r="C1950">
        <v>2</v>
      </c>
      <c r="D1950">
        <v>49</v>
      </c>
    </row>
    <row r="1951" spans="1:4" x14ac:dyDescent="0.25">
      <c r="A1951" s="1">
        <v>41398</v>
      </c>
      <c r="B1951">
        <v>1</v>
      </c>
      <c r="C1951">
        <v>2</v>
      </c>
      <c r="D1951">
        <v>49</v>
      </c>
    </row>
    <row r="1952" spans="1:4" x14ac:dyDescent="0.25">
      <c r="A1952" s="1">
        <v>41399</v>
      </c>
      <c r="B1952">
        <v>1</v>
      </c>
      <c r="C1952">
        <v>2</v>
      </c>
      <c r="D1952">
        <v>60</v>
      </c>
    </row>
    <row r="1953" spans="1:4" x14ac:dyDescent="0.25">
      <c r="A1953" s="1">
        <v>41400</v>
      </c>
      <c r="B1953">
        <v>1</v>
      </c>
      <c r="C1953">
        <v>2</v>
      </c>
      <c r="D1953">
        <v>38</v>
      </c>
    </row>
    <row r="1954" spans="1:4" x14ac:dyDescent="0.25">
      <c r="A1954" s="1">
        <v>41401</v>
      </c>
      <c r="B1954">
        <v>1</v>
      </c>
      <c r="C1954">
        <v>2</v>
      </c>
      <c r="D1954">
        <v>43</v>
      </c>
    </row>
    <row r="1955" spans="1:4" x14ac:dyDescent="0.25">
      <c r="A1955" s="1">
        <v>41402</v>
      </c>
      <c r="B1955">
        <v>1</v>
      </c>
      <c r="C1955">
        <v>2</v>
      </c>
      <c r="D1955">
        <v>45</v>
      </c>
    </row>
    <row r="1956" spans="1:4" x14ac:dyDescent="0.25">
      <c r="A1956" s="1">
        <v>41403</v>
      </c>
      <c r="B1956">
        <v>1</v>
      </c>
      <c r="C1956">
        <v>2</v>
      </c>
      <c r="D1956">
        <v>46</v>
      </c>
    </row>
    <row r="1957" spans="1:4" x14ac:dyDescent="0.25">
      <c r="A1957" s="1">
        <v>41404</v>
      </c>
      <c r="B1957">
        <v>1</v>
      </c>
      <c r="C1957">
        <v>2</v>
      </c>
      <c r="D1957">
        <v>58</v>
      </c>
    </row>
    <row r="1958" spans="1:4" x14ac:dyDescent="0.25">
      <c r="A1958" s="1">
        <v>41405</v>
      </c>
      <c r="B1958">
        <v>1</v>
      </c>
      <c r="C1958">
        <v>2</v>
      </c>
      <c r="D1958">
        <v>63</v>
      </c>
    </row>
    <row r="1959" spans="1:4" x14ac:dyDescent="0.25">
      <c r="A1959" s="1">
        <v>41406</v>
      </c>
      <c r="B1959">
        <v>1</v>
      </c>
      <c r="C1959">
        <v>2</v>
      </c>
      <c r="D1959">
        <v>53</v>
      </c>
    </row>
    <row r="1960" spans="1:4" x14ac:dyDescent="0.25">
      <c r="A1960" s="1">
        <v>41407</v>
      </c>
      <c r="B1960">
        <v>1</v>
      </c>
      <c r="C1960">
        <v>2</v>
      </c>
      <c r="D1960">
        <v>49</v>
      </c>
    </row>
    <row r="1961" spans="1:4" x14ac:dyDescent="0.25">
      <c r="A1961" s="1">
        <v>41408</v>
      </c>
      <c r="B1961">
        <v>1</v>
      </c>
      <c r="C1961">
        <v>2</v>
      </c>
      <c r="D1961">
        <v>35</v>
      </c>
    </row>
    <row r="1962" spans="1:4" x14ac:dyDescent="0.25">
      <c r="A1962" s="1">
        <v>41409</v>
      </c>
      <c r="B1962">
        <v>1</v>
      </c>
      <c r="C1962">
        <v>2</v>
      </c>
      <c r="D1962">
        <v>43</v>
      </c>
    </row>
    <row r="1963" spans="1:4" x14ac:dyDescent="0.25">
      <c r="A1963" s="1">
        <v>41410</v>
      </c>
      <c r="B1963">
        <v>1</v>
      </c>
      <c r="C1963">
        <v>2</v>
      </c>
      <c r="D1963">
        <v>49</v>
      </c>
    </row>
    <row r="1964" spans="1:4" x14ac:dyDescent="0.25">
      <c r="A1964" s="1">
        <v>41411</v>
      </c>
      <c r="B1964">
        <v>1</v>
      </c>
      <c r="C1964">
        <v>2</v>
      </c>
      <c r="D1964">
        <v>45</v>
      </c>
    </row>
    <row r="1965" spans="1:4" x14ac:dyDescent="0.25">
      <c r="A1965" s="1">
        <v>41412</v>
      </c>
      <c r="B1965">
        <v>1</v>
      </c>
      <c r="C1965">
        <v>2</v>
      </c>
      <c r="D1965">
        <v>53</v>
      </c>
    </row>
    <row r="1966" spans="1:4" x14ac:dyDescent="0.25">
      <c r="A1966" s="1">
        <v>41413</v>
      </c>
      <c r="B1966">
        <v>1</v>
      </c>
      <c r="C1966">
        <v>2</v>
      </c>
      <c r="D1966">
        <v>53</v>
      </c>
    </row>
    <row r="1967" spans="1:4" x14ac:dyDescent="0.25">
      <c r="A1967" s="1">
        <v>41414</v>
      </c>
      <c r="B1967">
        <v>1</v>
      </c>
      <c r="C1967">
        <v>2</v>
      </c>
      <c r="D1967">
        <v>38</v>
      </c>
    </row>
    <row r="1968" spans="1:4" x14ac:dyDescent="0.25">
      <c r="A1968" s="1">
        <v>41415</v>
      </c>
      <c r="B1968">
        <v>1</v>
      </c>
      <c r="C1968">
        <v>2</v>
      </c>
      <c r="D1968">
        <v>53</v>
      </c>
    </row>
    <row r="1969" spans="1:4" x14ac:dyDescent="0.25">
      <c r="A1969" s="1">
        <v>41416</v>
      </c>
      <c r="B1969">
        <v>1</v>
      </c>
      <c r="C1969">
        <v>2</v>
      </c>
      <c r="D1969">
        <v>38</v>
      </c>
    </row>
    <row r="1970" spans="1:4" x14ac:dyDescent="0.25">
      <c r="A1970" s="1">
        <v>41417</v>
      </c>
      <c r="B1970">
        <v>1</v>
      </c>
      <c r="C1970">
        <v>2</v>
      </c>
      <c r="D1970">
        <v>69</v>
      </c>
    </row>
    <row r="1971" spans="1:4" x14ac:dyDescent="0.25">
      <c r="A1971" s="1">
        <v>41418</v>
      </c>
      <c r="B1971">
        <v>1</v>
      </c>
      <c r="C1971">
        <v>2</v>
      </c>
      <c r="D1971">
        <v>48</v>
      </c>
    </row>
    <row r="1972" spans="1:4" x14ac:dyDescent="0.25">
      <c r="A1972" s="1">
        <v>41419</v>
      </c>
      <c r="B1972">
        <v>1</v>
      </c>
      <c r="C1972">
        <v>2</v>
      </c>
      <c r="D1972">
        <v>45</v>
      </c>
    </row>
    <row r="1973" spans="1:4" x14ac:dyDescent="0.25">
      <c r="A1973" s="1">
        <v>41420</v>
      </c>
      <c r="B1973">
        <v>1</v>
      </c>
      <c r="C1973">
        <v>2</v>
      </c>
      <c r="D1973">
        <v>64</v>
      </c>
    </row>
    <row r="1974" spans="1:4" x14ac:dyDescent="0.25">
      <c r="A1974" s="1">
        <v>41421</v>
      </c>
      <c r="B1974">
        <v>1</v>
      </c>
      <c r="C1974">
        <v>2</v>
      </c>
      <c r="D1974">
        <v>38</v>
      </c>
    </row>
    <row r="1975" spans="1:4" x14ac:dyDescent="0.25">
      <c r="A1975" s="1">
        <v>41422</v>
      </c>
      <c r="B1975">
        <v>1</v>
      </c>
      <c r="C1975">
        <v>2</v>
      </c>
      <c r="D1975">
        <v>48</v>
      </c>
    </row>
    <row r="1976" spans="1:4" x14ac:dyDescent="0.25">
      <c r="A1976" s="1">
        <v>41423</v>
      </c>
      <c r="B1976">
        <v>1</v>
      </c>
      <c r="C1976">
        <v>2</v>
      </c>
      <c r="D1976">
        <v>44</v>
      </c>
    </row>
    <row r="1977" spans="1:4" x14ac:dyDescent="0.25">
      <c r="A1977" s="1">
        <v>41424</v>
      </c>
      <c r="B1977">
        <v>1</v>
      </c>
      <c r="C1977">
        <v>2</v>
      </c>
      <c r="D1977">
        <v>48</v>
      </c>
    </row>
    <row r="1978" spans="1:4" x14ac:dyDescent="0.25">
      <c r="A1978" s="1">
        <v>41425</v>
      </c>
      <c r="B1978">
        <v>1</v>
      </c>
      <c r="C1978">
        <v>2</v>
      </c>
      <c r="D1978">
        <v>58</v>
      </c>
    </row>
    <row r="1979" spans="1:4" x14ac:dyDescent="0.25">
      <c r="A1979" s="1">
        <v>41426</v>
      </c>
      <c r="B1979">
        <v>1</v>
      </c>
      <c r="C1979">
        <v>2</v>
      </c>
      <c r="D1979">
        <v>55</v>
      </c>
    </row>
    <row r="1980" spans="1:4" x14ac:dyDescent="0.25">
      <c r="A1980" s="1">
        <v>41427</v>
      </c>
      <c r="B1980">
        <v>1</v>
      </c>
      <c r="C1980">
        <v>2</v>
      </c>
      <c r="D1980">
        <v>51</v>
      </c>
    </row>
    <row r="1981" spans="1:4" x14ac:dyDescent="0.25">
      <c r="A1981" s="1">
        <v>41428</v>
      </c>
      <c r="B1981">
        <v>1</v>
      </c>
      <c r="C1981">
        <v>2</v>
      </c>
      <c r="D1981">
        <v>43</v>
      </c>
    </row>
    <row r="1982" spans="1:4" x14ac:dyDescent="0.25">
      <c r="A1982" s="1">
        <v>41429</v>
      </c>
      <c r="B1982">
        <v>1</v>
      </c>
      <c r="C1982">
        <v>2</v>
      </c>
      <c r="D1982">
        <v>41</v>
      </c>
    </row>
    <row r="1983" spans="1:4" x14ac:dyDescent="0.25">
      <c r="A1983" s="1">
        <v>41430</v>
      </c>
      <c r="B1983">
        <v>1</v>
      </c>
      <c r="C1983">
        <v>2</v>
      </c>
      <c r="D1983">
        <v>67</v>
      </c>
    </row>
    <row r="1984" spans="1:4" x14ac:dyDescent="0.25">
      <c r="A1984" s="1">
        <v>41431</v>
      </c>
      <c r="B1984">
        <v>1</v>
      </c>
      <c r="C1984">
        <v>2</v>
      </c>
      <c r="D1984">
        <v>43</v>
      </c>
    </row>
    <row r="1985" spans="1:4" x14ac:dyDescent="0.25">
      <c r="A1985" s="1">
        <v>41432</v>
      </c>
      <c r="B1985">
        <v>1</v>
      </c>
      <c r="C1985">
        <v>2</v>
      </c>
      <c r="D1985">
        <v>69</v>
      </c>
    </row>
    <row r="1986" spans="1:4" x14ac:dyDescent="0.25">
      <c r="A1986" s="1">
        <v>41433</v>
      </c>
      <c r="B1986">
        <v>1</v>
      </c>
      <c r="C1986">
        <v>2</v>
      </c>
      <c r="D1986">
        <v>52</v>
      </c>
    </row>
    <row r="1987" spans="1:4" x14ac:dyDescent="0.25">
      <c r="A1987" s="1">
        <v>41434</v>
      </c>
      <c r="B1987">
        <v>1</v>
      </c>
      <c r="C1987">
        <v>2</v>
      </c>
      <c r="D1987">
        <v>65</v>
      </c>
    </row>
    <row r="1988" spans="1:4" x14ac:dyDescent="0.25">
      <c r="A1988" s="1">
        <v>41435</v>
      </c>
      <c r="B1988">
        <v>1</v>
      </c>
      <c r="C1988">
        <v>2</v>
      </c>
      <c r="D1988">
        <v>48</v>
      </c>
    </row>
    <row r="1989" spans="1:4" x14ac:dyDescent="0.25">
      <c r="A1989" s="1">
        <v>41436</v>
      </c>
      <c r="B1989">
        <v>1</v>
      </c>
      <c r="C1989">
        <v>2</v>
      </c>
      <c r="D1989">
        <v>49</v>
      </c>
    </row>
    <row r="1990" spans="1:4" x14ac:dyDescent="0.25">
      <c r="A1990" s="1">
        <v>41437</v>
      </c>
      <c r="B1990">
        <v>1</v>
      </c>
      <c r="C1990">
        <v>2</v>
      </c>
      <c r="D1990">
        <v>56</v>
      </c>
    </row>
    <row r="1991" spans="1:4" x14ac:dyDescent="0.25">
      <c r="A1991" s="1">
        <v>41438</v>
      </c>
      <c r="B1991">
        <v>1</v>
      </c>
      <c r="C1991">
        <v>2</v>
      </c>
      <c r="D1991">
        <v>57</v>
      </c>
    </row>
    <row r="1992" spans="1:4" x14ac:dyDescent="0.25">
      <c r="A1992" s="1">
        <v>41439</v>
      </c>
      <c r="B1992">
        <v>1</v>
      </c>
      <c r="C1992">
        <v>2</v>
      </c>
      <c r="D1992">
        <v>58</v>
      </c>
    </row>
    <row r="1993" spans="1:4" x14ac:dyDescent="0.25">
      <c r="A1993" s="1">
        <v>41440</v>
      </c>
      <c r="B1993">
        <v>1</v>
      </c>
      <c r="C1993">
        <v>2</v>
      </c>
      <c r="D1993">
        <v>52</v>
      </c>
    </row>
    <row r="1994" spans="1:4" x14ac:dyDescent="0.25">
      <c r="A1994" s="1">
        <v>41441</v>
      </c>
      <c r="B1994">
        <v>1</v>
      </c>
      <c r="C1994">
        <v>2</v>
      </c>
      <c r="D1994">
        <v>52</v>
      </c>
    </row>
    <row r="1995" spans="1:4" x14ac:dyDescent="0.25">
      <c r="A1995" s="1">
        <v>41442</v>
      </c>
      <c r="B1995">
        <v>1</v>
      </c>
      <c r="C1995">
        <v>2</v>
      </c>
      <c r="D1995">
        <v>55</v>
      </c>
    </row>
    <row r="1996" spans="1:4" x14ac:dyDescent="0.25">
      <c r="A1996" s="1">
        <v>41443</v>
      </c>
      <c r="B1996">
        <v>1</v>
      </c>
      <c r="C1996">
        <v>2</v>
      </c>
      <c r="D1996">
        <v>45</v>
      </c>
    </row>
    <row r="1997" spans="1:4" x14ac:dyDescent="0.25">
      <c r="A1997" s="1">
        <v>41444</v>
      </c>
      <c r="B1997">
        <v>1</v>
      </c>
      <c r="C1997">
        <v>2</v>
      </c>
      <c r="D1997">
        <v>48</v>
      </c>
    </row>
    <row r="1998" spans="1:4" x14ac:dyDescent="0.25">
      <c r="A1998" s="1">
        <v>41445</v>
      </c>
      <c r="B1998">
        <v>1</v>
      </c>
      <c r="C1998">
        <v>2</v>
      </c>
      <c r="D1998">
        <v>44</v>
      </c>
    </row>
    <row r="1999" spans="1:4" x14ac:dyDescent="0.25">
      <c r="A1999" s="1">
        <v>41446</v>
      </c>
      <c r="B1999">
        <v>1</v>
      </c>
      <c r="C1999">
        <v>2</v>
      </c>
      <c r="D1999">
        <v>47</v>
      </c>
    </row>
    <row r="2000" spans="1:4" x14ac:dyDescent="0.25">
      <c r="A2000" s="1">
        <v>41447</v>
      </c>
      <c r="B2000">
        <v>1</v>
      </c>
      <c r="C2000">
        <v>2</v>
      </c>
      <c r="D2000">
        <v>60</v>
      </c>
    </row>
    <row r="2001" spans="1:4" x14ac:dyDescent="0.25">
      <c r="A2001" s="1">
        <v>41448</v>
      </c>
      <c r="B2001">
        <v>1</v>
      </c>
      <c r="C2001">
        <v>2</v>
      </c>
      <c r="D2001">
        <v>55</v>
      </c>
    </row>
    <row r="2002" spans="1:4" x14ac:dyDescent="0.25">
      <c r="A2002" s="1">
        <v>41449</v>
      </c>
      <c r="B2002">
        <v>1</v>
      </c>
      <c r="C2002">
        <v>2</v>
      </c>
      <c r="D2002">
        <v>60</v>
      </c>
    </row>
    <row r="2003" spans="1:4" x14ac:dyDescent="0.25">
      <c r="A2003" s="1">
        <v>41450</v>
      </c>
      <c r="B2003">
        <v>1</v>
      </c>
      <c r="C2003">
        <v>2</v>
      </c>
      <c r="D2003">
        <v>50</v>
      </c>
    </row>
    <row r="2004" spans="1:4" x14ac:dyDescent="0.25">
      <c r="A2004" s="1">
        <v>41451</v>
      </c>
      <c r="B2004">
        <v>1</v>
      </c>
      <c r="C2004">
        <v>2</v>
      </c>
      <c r="D2004">
        <v>69</v>
      </c>
    </row>
    <row r="2005" spans="1:4" x14ac:dyDescent="0.25">
      <c r="A2005" s="1">
        <v>41452</v>
      </c>
      <c r="B2005">
        <v>1</v>
      </c>
      <c r="C2005">
        <v>2</v>
      </c>
      <c r="D2005">
        <v>64</v>
      </c>
    </row>
    <row r="2006" spans="1:4" x14ac:dyDescent="0.25">
      <c r="A2006" s="1">
        <v>41453</v>
      </c>
      <c r="B2006">
        <v>1</v>
      </c>
      <c r="C2006">
        <v>2</v>
      </c>
      <c r="D2006">
        <v>71</v>
      </c>
    </row>
    <row r="2007" spans="1:4" x14ac:dyDescent="0.25">
      <c r="A2007" s="1">
        <v>41454</v>
      </c>
      <c r="B2007">
        <v>1</v>
      </c>
      <c r="C2007">
        <v>2</v>
      </c>
      <c r="D2007">
        <v>56</v>
      </c>
    </row>
    <row r="2008" spans="1:4" x14ac:dyDescent="0.25">
      <c r="A2008" s="1">
        <v>41455</v>
      </c>
      <c r="B2008">
        <v>1</v>
      </c>
      <c r="C2008">
        <v>2</v>
      </c>
      <c r="D2008">
        <v>61</v>
      </c>
    </row>
    <row r="2009" spans="1:4" x14ac:dyDescent="0.25">
      <c r="A2009" s="1">
        <v>41456</v>
      </c>
      <c r="B2009">
        <v>1</v>
      </c>
      <c r="C2009">
        <v>2</v>
      </c>
      <c r="D2009">
        <v>46</v>
      </c>
    </row>
    <row r="2010" spans="1:4" x14ac:dyDescent="0.25">
      <c r="A2010" s="1">
        <v>41457</v>
      </c>
      <c r="B2010">
        <v>1</v>
      </c>
      <c r="C2010">
        <v>2</v>
      </c>
      <c r="D2010">
        <v>48</v>
      </c>
    </row>
    <row r="2011" spans="1:4" x14ac:dyDescent="0.25">
      <c r="A2011" s="1">
        <v>41458</v>
      </c>
      <c r="B2011">
        <v>1</v>
      </c>
      <c r="C2011">
        <v>2</v>
      </c>
      <c r="D2011">
        <v>57</v>
      </c>
    </row>
    <row r="2012" spans="1:4" x14ac:dyDescent="0.25">
      <c r="A2012" s="1">
        <v>41459</v>
      </c>
      <c r="B2012">
        <v>1</v>
      </c>
      <c r="C2012">
        <v>2</v>
      </c>
      <c r="D2012">
        <v>50</v>
      </c>
    </row>
    <row r="2013" spans="1:4" x14ac:dyDescent="0.25">
      <c r="A2013" s="1">
        <v>41460</v>
      </c>
      <c r="B2013">
        <v>1</v>
      </c>
      <c r="C2013">
        <v>2</v>
      </c>
      <c r="D2013">
        <v>58</v>
      </c>
    </row>
    <row r="2014" spans="1:4" x14ac:dyDescent="0.25">
      <c r="A2014" s="1">
        <v>41461</v>
      </c>
      <c r="B2014">
        <v>1</v>
      </c>
      <c r="C2014">
        <v>2</v>
      </c>
      <c r="D2014">
        <v>73</v>
      </c>
    </row>
    <row r="2015" spans="1:4" x14ac:dyDescent="0.25">
      <c r="A2015" s="1">
        <v>41462</v>
      </c>
      <c r="B2015">
        <v>1</v>
      </c>
      <c r="C2015">
        <v>2</v>
      </c>
      <c r="D2015">
        <v>52</v>
      </c>
    </row>
    <row r="2016" spans="1:4" x14ac:dyDescent="0.25">
      <c r="A2016" s="1">
        <v>41463</v>
      </c>
      <c r="B2016">
        <v>1</v>
      </c>
      <c r="C2016">
        <v>2</v>
      </c>
      <c r="D2016">
        <v>47</v>
      </c>
    </row>
    <row r="2017" spans="1:4" x14ac:dyDescent="0.25">
      <c r="A2017" s="1">
        <v>41464</v>
      </c>
      <c r="B2017">
        <v>1</v>
      </c>
      <c r="C2017">
        <v>2</v>
      </c>
      <c r="D2017">
        <v>49</v>
      </c>
    </row>
    <row r="2018" spans="1:4" x14ac:dyDescent="0.25">
      <c r="A2018" s="1">
        <v>41465</v>
      </c>
      <c r="B2018">
        <v>1</v>
      </c>
      <c r="C2018">
        <v>2</v>
      </c>
      <c r="D2018">
        <v>56</v>
      </c>
    </row>
    <row r="2019" spans="1:4" x14ac:dyDescent="0.25">
      <c r="A2019" s="1">
        <v>41466</v>
      </c>
      <c r="B2019">
        <v>1</v>
      </c>
      <c r="C2019">
        <v>2</v>
      </c>
      <c r="D2019">
        <v>54</v>
      </c>
    </row>
    <row r="2020" spans="1:4" x14ac:dyDescent="0.25">
      <c r="A2020" s="1">
        <v>41467</v>
      </c>
      <c r="B2020">
        <v>1</v>
      </c>
      <c r="C2020">
        <v>2</v>
      </c>
      <c r="D2020">
        <v>46</v>
      </c>
    </row>
    <row r="2021" spans="1:4" x14ac:dyDescent="0.25">
      <c r="A2021" s="1">
        <v>41468</v>
      </c>
      <c r="B2021">
        <v>1</v>
      </c>
      <c r="C2021">
        <v>2</v>
      </c>
      <c r="D2021">
        <v>62</v>
      </c>
    </row>
    <row r="2022" spans="1:4" x14ac:dyDescent="0.25">
      <c r="A2022" s="1">
        <v>41469</v>
      </c>
      <c r="B2022">
        <v>1</v>
      </c>
      <c r="C2022">
        <v>2</v>
      </c>
      <c r="D2022">
        <v>82</v>
      </c>
    </row>
    <row r="2023" spans="1:4" x14ac:dyDescent="0.25">
      <c r="A2023" s="1">
        <v>41470</v>
      </c>
      <c r="B2023">
        <v>1</v>
      </c>
      <c r="C2023">
        <v>2</v>
      </c>
      <c r="D2023">
        <v>39</v>
      </c>
    </row>
    <row r="2024" spans="1:4" x14ac:dyDescent="0.25">
      <c r="A2024" s="1">
        <v>41471</v>
      </c>
      <c r="B2024">
        <v>1</v>
      </c>
      <c r="C2024">
        <v>2</v>
      </c>
      <c r="D2024">
        <v>57</v>
      </c>
    </row>
    <row r="2025" spans="1:4" x14ac:dyDescent="0.25">
      <c r="A2025" s="1">
        <v>41472</v>
      </c>
      <c r="B2025">
        <v>1</v>
      </c>
      <c r="C2025">
        <v>2</v>
      </c>
      <c r="D2025">
        <v>55</v>
      </c>
    </row>
    <row r="2026" spans="1:4" x14ac:dyDescent="0.25">
      <c r="A2026" s="1">
        <v>41473</v>
      </c>
      <c r="B2026">
        <v>1</v>
      </c>
      <c r="C2026">
        <v>2</v>
      </c>
      <c r="D2026">
        <v>58</v>
      </c>
    </row>
    <row r="2027" spans="1:4" x14ac:dyDescent="0.25">
      <c r="A2027" s="1">
        <v>41474</v>
      </c>
      <c r="B2027">
        <v>1</v>
      </c>
      <c r="C2027">
        <v>2</v>
      </c>
      <c r="D2027">
        <v>57</v>
      </c>
    </row>
    <row r="2028" spans="1:4" x14ac:dyDescent="0.25">
      <c r="A2028" s="1">
        <v>41475</v>
      </c>
      <c r="B2028">
        <v>1</v>
      </c>
      <c r="C2028">
        <v>2</v>
      </c>
      <c r="D2028">
        <v>78</v>
      </c>
    </row>
    <row r="2029" spans="1:4" x14ac:dyDescent="0.25">
      <c r="A2029" s="1">
        <v>41476</v>
      </c>
      <c r="B2029">
        <v>1</v>
      </c>
      <c r="C2029">
        <v>2</v>
      </c>
      <c r="D2029">
        <v>62</v>
      </c>
    </row>
    <row r="2030" spans="1:4" x14ac:dyDescent="0.25">
      <c r="A2030" s="1">
        <v>41477</v>
      </c>
      <c r="B2030">
        <v>1</v>
      </c>
      <c r="C2030">
        <v>2</v>
      </c>
      <c r="D2030">
        <v>45</v>
      </c>
    </row>
    <row r="2031" spans="1:4" x14ac:dyDescent="0.25">
      <c r="A2031" s="1">
        <v>41478</v>
      </c>
      <c r="B2031">
        <v>1</v>
      </c>
      <c r="C2031">
        <v>2</v>
      </c>
      <c r="D2031">
        <v>51</v>
      </c>
    </row>
    <row r="2032" spans="1:4" x14ac:dyDescent="0.25">
      <c r="A2032" s="1">
        <v>41479</v>
      </c>
      <c r="B2032">
        <v>1</v>
      </c>
      <c r="C2032">
        <v>2</v>
      </c>
      <c r="D2032">
        <v>47</v>
      </c>
    </row>
    <row r="2033" spans="1:4" x14ac:dyDescent="0.25">
      <c r="A2033" s="1">
        <v>41480</v>
      </c>
      <c r="B2033">
        <v>1</v>
      </c>
      <c r="C2033">
        <v>2</v>
      </c>
      <c r="D2033">
        <v>57</v>
      </c>
    </row>
    <row r="2034" spans="1:4" x14ac:dyDescent="0.25">
      <c r="A2034" s="1">
        <v>41481</v>
      </c>
      <c r="B2034">
        <v>1</v>
      </c>
      <c r="C2034">
        <v>2</v>
      </c>
      <c r="D2034">
        <v>68</v>
      </c>
    </row>
    <row r="2035" spans="1:4" x14ac:dyDescent="0.25">
      <c r="A2035" s="1">
        <v>41482</v>
      </c>
      <c r="B2035">
        <v>1</v>
      </c>
      <c r="C2035">
        <v>2</v>
      </c>
      <c r="D2035">
        <v>67</v>
      </c>
    </row>
    <row r="2036" spans="1:4" x14ac:dyDescent="0.25">
      <c r="A2036" s="1">
        <v>41483</v>
      </c>
      <c r="B2036">
        <v>1</v>
      </c>
      <c r="C2036">
        <v>2</v>
      </c>
      <c r="D2036">
        <v>74</v>
      </c>
    </row>
    <row r="2037" spans="1:4" x14ac:dyDescent="0.25">
      <c r="A2037" s="1">
        <v>41484</v>
      </c>
      <c r="B2037">
        <v>1</v>
      </c>
      <c r="C2037">
        <v>2</v>
      </c>
      <c r="D2037">
        <v>40</v>
      </c>
    </row>
    <row r="2038" spans="1:4" x14ac:dyDescent="0.25">
      <c r="A2038" s="1">
        <v>41485</v>
      </c>
      <c r="B2038">
        <v>1</v>
      </c>
      <c r="C2038">
        <v>2</v>
      </c>
      <c r="D2038">
        <v>60</v>
      </c>
    </row>
    <row r="2039" spans="1:4" x14ac:dyDescent="0.25">
      <c r="A2039" s="1">
        <v>41486</v>
      </c>
      <c r="B2039">
        <v>1</v>
      </c>
      <c r="C2039">
        <v>2</v>
      </c>
      <c r="D2039">
        <v>48</v>
      </c>
    </row>
    <row r="2040" spans="1:4" x14ac:dyDescent="0.25">
      <c r="A2040" s="1">
        <v>41487</v>
      </c>
      <c r="B2040">
        <v>1</v>
      </c>
      <c r="C2040">
        <v>2</v>
      </c>
      <c r="D2040">
        <v>53</v>
      </c>
    </row>
    <row r="2041" spans="1:4" x14ac:dyDescent="0.25">
      <c r="A2041" s="1">
        <v>41488</v>
      </c>
      <c r="B2041">
        <v>1</v>
      </c>
      <c r="C2041">
        <v>2</v>
      </c>
      <c r="D2041">
        <v>53</v>
      </c>
    </row>
    <row r="2042" spans="1:4" x14ac:dyDescent="0.25">
      <c r="A2042" s="1">
        <v>41489</v>
      </c>
      <c r="B2042">
        <v>1</v>
      </c>
      <c r="C2042">
        <v>2</v>
      </c>
      <c r="D2042">
        <v>62</v>
      </c>
    </row>
    <row r="2043" spans="1:4" x14ac:dyDescent="0.25">
      <c r="A2043" s="1">
        <v>41490</v>
      </c>
      <c r="B2043">
        <v>1</v>
      </c>
      <c r="C2043">
        <v>2</v>
      </c>
      <c r="D2043">
        <v>55</v>
      </c>
    </row>
    <row r="2044" spans="1:4" x14ac:dyDescent="0.25">
      <c r="A2044" s="1">
        <v>41491</v>
      </c>
      <c r="B2044">
        <v>1</v>
      </c>
      <c r="C2044">
        <v>2</v>
      </c>
      <c r="D2044">
        <v>47</v>
      </c>
    </row>
    <row r="2045" spans="1:4" x14ac:dyDescent="0.25">
      <c r="A2045" s="1">
        <v>41492</v>
      </c>
      <c r="B2045">
        <v>1</v>
      </c>
      <c r="C2045">
        <v>2</v>
      </c>
      <c r="D2045">
        <v>60</v>
      </c>
    </row>
    <row r="2046" spans="1:4" x14ac:dyDescent="0.25">
      <c r="A2046" s="1">
        <v>41493</v>
      </c>
      <c r="B2046">
        <v>1</v>
      </c>
      <c r="C2046">
        <v>2</v>
      </c>
      <c r="D2046">
        <v>41</v>
      </c>
    </row>
    <row r="2047" spans="1:4" x14ac:dyDescent="0.25">
      <c r="A2047" s="1">
        <v>41494</v>
      </c>
      <c r="B2047">
        <v>1</v>
      </c>
      <c r="C2047">
        <v>2</v>
      </c>
      <c r="D2047">
        <v>54</v>
      </c>
    </row>
    <row r="2048" spans="1:4" x14ac:dyDescent="0.25">
      <c r="A2048" s="1">
        <v>41495</v>
      </c>
      <c r="B2048">
        <v>1</v>
      </c>
      <c r="C2048">
        <v>2</v>
      </c>
      <c r="D2048">
        <v>69</v>
      </c>
    </row>
    <row r="2049" spans="1:4" x14ac:dyDescent="0.25">
      <c r="A2049" s="1">
        <v>41496</v>
      </c>
      <c r="B2049">
        <v>1</v>
      </c>
      <c r="C2049">
        <v>2</v>
      </c>
      <c r="D2049">
        <v>53</v>
      </c>
    </row>
    <row r="2050" spans="1:4" x14ac:dyDescent="0.25">
      <c r="A2050" s="1">
        <v>41497</v>
      </c>
      <c r="B2050">
        <v>1</v>
      </c>
      <c r="C2050">
        <v>2</v>
      </c>
      <c r="D2050">
        <v>64</v>
      </c>
    </row>
    <row r="2051" spans="1:4" x14ac:dyDescent="0.25">
      <c r="A2051" s="1">
        <v>41498</v>
      </c>
      <c r="B2051">
        <v>1</v>
      </c>
      <c r="C2051">
        <v>2</v>
      </c>
      <c r="D2051">
        <v>36</v>
      </c>
    </row>
    <row r="2052" spans="1:4" x14ac:dyDescent="0.25">
      <c r="A2052" s="1">
        <v>41499</v>
      </c>
      <c r="B2052">
        <v>1</v>
      </c>
      <c r="C2052">
        <v>2</v>
      </c>
      <c r="D2052">
        <v>42</v>
      </c>
    </row>
    <row r="2053" spans="1:4" x14ac:dyDescent="0.25">
      <c r="A2053" s="1">
        <v>41500</v>
      </c>
      <c r="B2053">
        <v>1</v>
      </c>
      <c r="C2053">
        <v>2</v>
      </c>
      <c r="D2053">
        <v>40</v>
      </c>
    </row>
    <row r="2054" spans="1:4" x14ac:dyDescent="0.25">
      <c r="A2054" s="1">
        <v>41501</v>
      </c>
      <c r="B2054">
        <v>1</v>
      </c>
      <c r="C2054">
        <v>2</v>
      </c>
      <c r="D2054">
        <v>45</v>
      </c>
    </row>
    <row r="2055" spans="1:4" x14ac:dyDescent="0.25">
      <c r="A2055" s="1">
        <v>41502</v>
      </c>
      <c r="B2055">
        <v>1</v>
      </c>
      <c r="C2055">
        <v>2</v>
      </c>
      <c r="D2055">
        <v>47</v>
      </c>
    </row>
    <row r="2056" spans="1:4" x14ac:dyDescent="0.25">
      <c r="A2056" s="1">
        <v>41503</v>
      </c>
      <c r="B2056">
        <v>1</v>
      </c>
      <c r="C2056">
        <v>2</v>
      </c>
      <c r="D2056">
        <v>60</v>
      </c>
    </row>
    <row r="2057" spans="1:4" x14ac:dyDescent="0.25">
      <c r="A2057" s="1">
        <v>41504</v>
      </c>
      <c r="B2057">
        <v>1</v>
      </c>
      <c r="C2057">
        <v>2</v>
      </c>
      <c r="D2057">
        <v>60</v>
      </c>
    </row>
    <row r="2058" spans="1:4" x14ac:dyDescent="0.25">
      <c r="A2058" s="1">
        <v>41505</v>
      </c>
      <c r="B2058">
        <v>1</v>
      </c>
      <c r="C2058">
        <v>2</v>
      </c>
      <c r="D2058">
        <v>39</v>
      </c>
    </row>
    <row r="2059" spans="1:4" x14ac:dyDescent="0.25">
      <c r="A2059" s="1">
        <v>41506</v>
      </c>
      <c r="B2059">
        <v>1</v>
      </c>
      <c r="C2059">
        <v>2</v>
      </c>
      <c r="D2059">
        <v>48</v>
      </c>
    </row>
    <row r="2060" spans="1:4" x14ac:dyDescent="0.25">
      <c r="A2060" s="1">
        <v>41507</v>
      </c>
      <c r="B2060">
        <v>1</v>
      </c>
      <c r="C2060">
        <v>2</v>
      </c>
      <c r="D2060">
        <v>52</v>
      </c>
    </row>
    <row r="2061" spans="1:4" x14ac:dyDescent="0.25">
      <c r="A2061" s="1">
        <v>41508</v>
      </c>
      <c r="B2061">
        <v>1</v>
      </c>
      <c r="C2061">
        <v>2</v>
      </c>
      <c r="D2061">
        <v>44</v>
      </c>
    </row>
    <row r="2062" spans="1:4" x14ac:dyDescent="0.25">
      <c r="A2062" s="1">
        <v>41509</v>
      </c>
      <c r="B2062">
        <v>1</v>
      </c>
      <c r="C2062">
        <v>2</v>
      </c>
      <c r="D2062">
        <v>44</v>
      </c>
    </row>
    <row r="2063" spans="1:4" x14ac:dyDescent="0.25">
      <c r="A2063" s="1">
        <v>41510</v>
      </c>
      <c r="B2063">
        <v>1</v>
      </c>
      <c r="C2063">
        <v>2</v>
      </c>
      <c r="D2063">
        <v>64</v>
      </c>
    </row>
    <row r="2064" spans="1:4" x14ac:dyDescent="0.25">
      <c r="A2064" s="1">
        <v>41511</v>
      </c>
      <c r="B2064">
        <v>1</v>
      </c>
      <c r="C2064">
        <v>2</v>
      </c>
      <c r="D2064">
        <v>54</v>
      </c>
    </row>
    <row r="2065" spans="1:4" x14ac:dyDescent="0.25">
      <c r="A2065" s="1">
        <v>41512</v>
      </c>
      <c r="B2065">
        <v>1</v>
      </c>
      <c r="C2065">
        <v>2</v>
      </c>
      <c r="D2065">
        <v>37</v>
      </c>
    </row>
    <row r="2066" spans="1:4" x14ac:dyDescent="0.25">
      <c r="A2066" s="1">
        <v>41513</v>
      </c>
      <c r="B2066">
        <v>1</v>
      </c>
      <c r="C2066">
        <v>2</v>
      </c>
      <c r="D2066">
        <v>55</v>
      </c>
    </row>
    <row r="2067" spans="1:4" x14ac:dyDescent="0.25">
      <c r="A2067" s="1">
        <v>41514</v>
      </c>
      <c r="B2067">
        <v>1</v>
      </c>
      <c r="C2067">
        <v>2</v>
      </c>
      <c r="D2067">
        <v>49</v>
      </c>
    </row>
    <row r="2068" spans="1:4" x14ac:dyDescent="0.25">
      <c r="A2068" s="1">
        <v>41515</v>
      </c>
      <c r="B2068">
        <v>1</v>
      </c>
      <c r="C2068">
        <v>2</v>
      </c>
      <c r="D2068">
        <v>48</v>
      </c>
    </row>
    <row r="2069" spans="1:4" x14ac:dyDescent="0.25">
      <c r="A2069" s="1">
        <v>41516</v>
      </c>
      <c r="B2069">
        <v>1</v>
      </c>
      <c r="C2069">
        <v>2</v>
      </c>
      <c r="D2069">
        <v>56</v>
      </c>
    </row>
    <row r="2070" spans="1:4" x14ac:dyDescent="0.25">
      <c r="A2070" s="1">
        <v>41517</v>
      </c>
      <c r="B2070">
        <v>1</v>
      </c>
      <c r="C2070">
        <v>2</v>
      </c>
      <c r="D2070">
        <v>60</v>
      </c>
    </row>
    <row r="2071" spans="1:4" x14ac:dyDescent="0.25">
      <c r="A2071" s="1">
        <v>41518</v>
      </c>
      <c r="B2071">
        <v>1</v>
      </c>
      <c r="C2071">
        <v>2</v>
      </c>
      <c r="D2071">
        <v>42</v>
      </c>
    </row>
    <row r="2072" spans="1:4" x14ac:dyDescent="0.25">
      <c r="A2072" s="1">
        <v>41519</v>
      </c>
      <c r="B2072">
        <v>1</v>
      </c>
      <c r="C2072">
        <v>2</v>
      </c>
      <c r="D2072">
        <v>38</v>
      </c>
    </row>
    <row r="2073" spans="1:4" x14ac:dyDescent="0.25">
      <c r="A2073" s="1">
        <v>41520</v>
      </c>
      <c r="B2073">
        <v>1</v>
      </c>
      <c r="C2073">
        <v>2</v>
      </c>
      <c r="D2073">
        <v>45</v>
      </c>
    </row>
    <row r="2074" spans="1:4" x14ac:dyDescent="0.25">
      <c r="A2074" s="1">
        <v>41521</v>
      </c>
      <c r="B2074">
        <v>1</v>
      </c>
      <c r="C2074">
        <v>2</v>
      </c>
      <c r="D2074">
        <v>42</v>
      </c>
    </row>
    <row r="2075" spans="1:4" x14ac:dyDescent="0.25">
      <c r="A2075" s="1">
        <v>41522</v>
      </c>
      <c r="B2075">
        <v>1</v>
      </c>
      <c r="C2075">
        <v>2</v>
      </c>
      <c r="D2075">
        <v>45</v>
      </c>
    </row>
    <row r="2076" spans="1:4" x14ac:dyDescent="0.25">
      <c r="A2076" s="1">
        <v>41523</v>
      </c>
      <c r="B2076">
        <v>1</v>
      </c>
      <c r="C2076">
        <v>2</v>
      </c>
      <c r="D2076">
        <v>43</v>
      </c>
    </row>
    <row r="2077" spans="1:4" x14ac:dyDescent="0.25">
      <c r="A2077" s="1">
        <v>41524</v>
      </c>
      <c r="B2077">
        <v>1</v>
      </c>
      <c r="C2077">
        <v>2</v>
      </c>
      <c r="D2077">
        <v>60</v>
      </c>
    </row>
    <row r="2078" spans="1:4" x14ac:dyDescent="0.25">
      <c r="A2078" s="1">
        <v>41525</v>
      </c>
      <c r="B2078">
        <v>1</v>
      </c>
      <c r="C2078">
        <v>2</v>
      </c>
      <c r="D2078">
        <v>44</v>
      </c>
    </row>
    <row r="2079" spans="1:4" x14ac:dyDescent="0.25">
      <c r="A2079" s="1">
        <v>41526</v>
      </c>
      <c r="B2079">
        <v>1</v>
      </c>
      <c r="C2079">
        <v>2</v>
      </c>
      <c r="D2079">
        <v>36</v>
      </c>
    </row>
    <row r="2080" spans="1:4" x14ac:dyDescent="0.25">
      <c r="A2080" s="1">
        <v>41527</v>
      </c>
      <c r="B2080">
        <v>1</v>
      </c>
      <c r="C2080">
        <v>2</v>
      </c>
      <c r="D2080">
        <v>40</v>
      </c>
    </row>
    <row r="2081" spans="1:4" x14ac:dyDescent="0.25">
      <c r="A2081" s="1">
        <v>41528</v>
      </c>
      <c r="B2081">
        <v>1</v>
      </c>
      <c r="C2081">
        <v>2</v>
      </c>
      <c r="D2081">
        <v>47</v>
      </c>
    </row>
    <row r="2082" spans="1:4" x14ac:dyDescent="0.25">
      <c r="A2082" s="1">
        <v>41529</v>
      </c>
      <c r="B2082">
        <v>1</v>
      </c>
      <c r="C2082">
        <v>2</v>
      </c>
      <c r="D2082">
        <v>59</v>
      </c>
    </row>
    <row r="2083" spans="1:4" x14ac:dyDescent="0.25">
      <c r="A2083" s="1">
        <v>41530</v>
      </c>
      <c r="B2083">
        <v>1</v>
      </c>
      <c r="C2083">
        <v>2</v>
      </c>
      <c r="D2083">
        <v>50</v>
      </c>
    </row>
    <row r="2084" spans="1:4" x14ac:dyDescent="0.25">
      <c r="A2084" s="1">
        <v>41531</v>
      </c>
      <c r="B2084">
        <v>1</v>
      </c>
      <c r="C2084">
        <v>2</v>
      </c>
      <c r="D2084">
        <v>44</v>
      </c>
    </row>
    <row r="2085" spans="1:4" x14ac:dyDescent="0.25">
      <c r="A2085" s="1">
        <v>41532</v>
      </c>
      <c r="B2085">
        <v>1</v>
      </c>
      <c r="C2085">
        <v>2</v>
      </c>
      <c r="D2085">
        <v>46</v>
      </c>
    </row>
    <row r="2086" spans="1:4" x14ac:dyDescent="0.25">
      <c r="A2086" s="1">
        <v>41533</v>
      </c>
      <c r="B2086">
        <v>1</v>
      </c>
      <c r="C2086">
        <v>2</v>
      </c>
      <c r="D2086">
        <v>34</v>
      </c>
    </row>
    <row r="2087" spans="1:4" x14ac:dyDescent="0.25">
      <c r="A2087" s="1">
        <v>41534</v>
      </c>
      <c r="B2087">
        <v>1</v>
      </c>
      <c r="C2087">
        <v>2</v>
      </c>
      <c r="D2087">
        <v>43</v>
      </c>
    </row>
    <row r="2088" spans="1:4" x14ac:dyDescent="0.25">
      <c r="A2088" s="1">
        <v>41535</v>
      </c>
      <c r="B2088">
        <v>1</v>
      </c>
      <c r="C2088">
        <v>2</v>
      </c>
      <c r="D2088">
        <v>47</v>
      </c>
    </row>
    <row r="2089" spans="1:4" x14ac:dyDescent="0.25">
      <c r="A2089" s="1">
        <v>41536</v>
      </c>
      <c r="B2089">
        <v>1</v>
      </c>
      <c r="C2089">
        <v>2</v>
      </c>
      <c r="D2089">
        <v>47</v>
      </c>
    </row>
    <row r="2090" spans="1:4" x14ac:dyDescent="0.25">
      <c r="A2090" s="1">
        <v>41537</v>
      </c>
      <c r="B2090">
        <v>1</v>
      </c>
      <c r="C2090">
        <v>2</v>
      </c>
      <c r="D2090">
        <v>44</v>
      </c>
    </row>
    <row r="2091" spans="1:4" x14ac:dyDescent="0.25">
      <c r="A2091" s="1">
        <v>41538</v>
      </c>
      <c r="B2091">
        <v>1</v>
      </c>
      <c r="C2091">
        <v>2</v>
      </c>
      <c r="D2091">
        <v>56</v>
      </c>
    </row>
    <row r="2092" spans="1:4" x14ac:dyDescent="0.25">
      <c r="A2092" s="1">
        <v>41539</v>
      </c>
      <c r="B2092">
        <v>1</v>
      </c>
      <c r="C2092">
        <v>2</v>
      </c>
      <c r="D2092">
        <v>60</v>
      </c>
    </row>
    <row r="2093" spans="1:4" x14ac:dyDescent="0.25">
      <c r="A2093" s="1">
        <v>41540</v>
      </c>
      <c r="B2093">
        <v>1</v>
      </c>
      <c r="C2093">
        <v>2</v>
      </c>
      <c r="D2093">
        <v>39</v>
      </c>
    </row>
    <row r="2094" spans="1:4" x14ac:dyDescent="0.25">
      <c r="A2094" s="1">
        <v>41541</v>
      </c>
      <c r="B2094">
        <v>1</v>
      </c>
      <c r="C2094">
        <v>2</v>
      </c>
      <c r="D2094">
        <v>40</v>
      </c>
    </row>
    <row r="2095" spans="1:4" x14ac:dyDescent="0.25">
      <c r="A2095" s="1">
        <v>41542</v>
      </c>
      <c r="B2095">
        <v>1</v>
      </c>
      <c r="C2095">
        <v>2</v>
      </c>
      <c r="D2095">
        <v>39</v>
      </c>
    </row>
    <row r="2096" spans="1:4" x14ac:dyDescent="0.25">
      <c r="A2096" s="1">
        <v>41543</v>
      </c>
      <c r="B2096">
        <v>1</v>
      </c>
      <c r="C2096">
        <v>2</v>
      </c>
      <c r="D2096">
        <v>47</v>
      </c>
    </row>
    <row r="2097" spans="1:4" x14ac:dyDescent="0.25">
      <c r="A2097" s="1">
        <v>41544</v>
      </c>
      <c r="B2097">
        <v>1</v>
      </c>
      <c r="C2097">
        <v>2</v>
      </c>
      <c r="D2097">
        <v>54</v>
      </c>
    </row>
    <row r="2098" spans="1:4" x14ac:dyDescent="0.25">
      <c r="A2098" s="1">
        <v>41545</v>
      </c>
      <c r="B2098">
        <v>1</v>
      </c>
      <c r="C2098">
        <v>2</v>
      </c>
      <c r="D2098">
        <v>44</v>
      </c>
    </row>
    <row r="2099" spans="1:4" x14ac:dyDescent="0.25">
      <c r="A2099" s="1">
        <v>41546</v>
      </c>
      <c r="B2099">
        <v>1</v>
      </c>
      <c r="C2099">
        <v>2</v>
      </c>
      <c r="D2099">
        <v>56</v>
      </c>
    </row>
    <row r="2100" spans="1:4" x14ac:dyDescent="0.25">
      <c r="A2100" s="1">
        <v>41547</v>
      </c>
      <c r="B2100">
        <v>1</v>
      </c>
      <c r="C2100">
        <v>2</v>
      </c>
      <c r="D2100">
        <v>22</v>
      </c>
    </row>
    <row r="2101" spans="1:4" x14ac:dyDescent="0.25">
      <c r="A2101" s="1">
        <v>41548</v>
      </c>
      <c r="B2101">
        <v>1</v>
      </c>
      <c r="C2101">
        <v>2</v>
      </c>
      <c r="D2101">
        <v>36</v>
      </c>
    </row>
    <row r="2102" spans="1:4" x14ac:dyDescent="0.25">
      <c r="A2102" s="1">
        <v>41549</v>
      </c>
      <c r="B2102">
        <v>1</v>
      </c>
      <c r="C2102">
        <v>2</v>
      </c>
      <c r="D2102">
        <v>44</v>
      </c>
    </row>
    <row r="2103" spans="1:4" x14ac:dyDescent="0.25">
      <c r="A2103" s="1">
        <v>41550</v>
      </c>
      <c r="B2103">
        <v>1</v>
      </c>
      <c r="C2103">
        <v>2</v>
      </c>
      <c r="D2103">
        <v>31</v>
      </c>
    </row>
    <row r="2104" spans="1:4" x14ac:dyDescent="0.25">
      <c r="A2104" s="1">
        <v>41551</v>
      </c>
      <c r="B2104">
        <v>1</v>
      </c>
      <c r="C2104">
        <v>2</v>
      </c>
      <c r="D2104">
        <v>38</v>
      </c>
    </row>
    <row r="2105" spans="1:4" x14ac:dyDescent="0.25">
      <c r="A2105" s="1">
        <v>41552</v>
      </c>
      <c r="B2105">
        <v>1</v>
      </c>
      <c r="C2105">
        <v>2</v>
      </c>
      <c r="D2105">
        <v>52</v>
      </c>
    </row>
    <row r="2106" spans="1:4" x14ac:dyDescent="0.25">
      <c r="A2106" s="1">
        <v>41553</v>
      </c>
      <c r="B2106">
        <v>1</v>
      </c>
      <c r="C2106">
        <v>2</v>
      </c>
      <c r="D2106">
        <v>42</v>
      </c>
    </row>
    <row r="2107" spans="1:4" x14ac:dyDescent="0.25">
      <c r="A2107" s="1">
        <v>41554</v>
      </c>
      <c r="B2107">
        <v>1</v>
      </c>
      <c r="C2107">
        <v>2</v>
      </c>
      <c r="D2107">
        <v>40</v>
      </c>
    </row>
    <row r="2108" spans="1:4" x14ac:dyDescent="0.25">
      <c r="A2108" s="1">
        <v>41555</v>
      </c>
      <c r="B2108">
        <v>1</v>
      </c>
      <c r="C2108">
        <v>2</v>
      </c>
      <c r="D2108">
        <v>30</v>
      </c>
    </row>
    <row r="2109" spans="1:4" x14ac:dyDescent="0.25">
      <c r="A2109" s="1">
        <v>41556</v>
      </c>
      <c r="B2109">
        <v>1</v>
      </c>
      <c r="C2109">
        <v>2</v>
      </c>
      <c r="D2109">
        <v>45</v>
      </c>
    </row>
    <row r="2110" spans="1:4" x14ac:dyDescent="0.25">
      <c r="A2110" s="1">
        <v>41557</v>
      </c>
      <c r="B2110">
        <v>1</v>
      </c>
      <c r="C2110">
        <v>2</v>
      </c>
      <c r="D2110">
        <v>58</v>
      </c>
    </row>
    <row r="2111" spans="1:4" x14ac:dyDescent="0.25">
      <c r="A2111" s="1">
        <v>41558</v>
      </c>
      <c r="B2111">
        <v>1</v>
      </c>
      <c r="C2111">
        <v>2</v>
      </c>
      <c r="D2111">
        <v>45</v>
      </c>
    </row>
    <row r="2112" spans="1:4" x14ac:dyDescent="0.25">
      <c r="A2112" s="1">
        <v>41559</v>
      </c>
      <c r="B2112">
        <v>1</v>
      </c>
      <c r="C2112">
        <v>2</v>
      </c>
      <c r="D2112">
        <v>43</v>
      </c>
    </row>
    <row r="2113" spans="1:4" x14ac:dyDescent="0.25">
      <c r="A2113" s="1">
        <v>41560</v>
      </c>
      <c r="B2113">
        <v>1</v>
      </c>
      <c r="C2113">
        <v>2</v>
      </c>
      <c r="D2113">
        <v>53</v>
      </c>
    </row>
    <row r="2114" spans="1:4" x14ac:dyDescent="0.25">
      <c r="A2114" s="1">
        <v>41561</v>
      </c>
      <c r="B2114">
        <v>1</v>
      </c>
      <c r="C2114">
        <v>2</v>
      </c>
      <c r="D2114">
        <v>44</v>
      </c>
    </row>
    <row r="2115" spans="1:4" x14ac:dyDescent="0.25">
      <c r="A2115" s="1">
        <v>41562</v>
      </c>
      <c r="B2115">
        <v>1</v>
      </c>
      <c r="C2115">
        <v>2</v>
      </c>
      <c r="D2115">
        <v>32</v>
      </c>
    </row>
    <row r="2116" spans="1:4" x14ac:dyDescent="0.25">
      <c r="A2116" s="1">
        <v>41563</v>
      </c>
      <c r="B2116">
        <v>1</v>
      </c>
      <c r="C2116">
        <v>2</v>
      </c>
      <c r="D2116">
        <v>40</v>
      </c>
    </row>
    <row r="2117" spans="1:4" x14ac:dyDescent="0.25">
      <c r="A2117" s="1">
        <v>41564</v>
      </c>
      <c r="B2117">
        <v>1</v>
      </c>
      <c r="C2117">
        <v>2</v>
      </c>
      <c r="D2117">
        <v>51</v>
      </c>
    </row>
    <row r="2118" spans="1:4" x14ac:dyDescent="0.25">
      <c r="A2118" s="1">
        <v>41565</v>
      </c>
      <c r="B2118">
        <v>1</v>
      </c>
      <c r="C2118">
        <v>2</v>
      </c>
      <c r="D2118">
        <v>38</v>
      </c>
    </row>
    <row r="2119" spans="1:4" x14ac:dyDescent="0.25">
      <c r="A2119" s="1">
        <v>41566</v>
      </c>
      <c r="B2119">
        <v>1</v>
      </c>
      <c r="C2119">
        <v>2</v>
      </c>
      <c r="D2119">
        <v>46</v>
      </c>
    </row>
    <row r="2120" spans="1:4" x14ac:dyDescent="0.25">
      <c r="A2120" s="1">
        <v>41567</v>
      </c>
      <c r="B2120">
        <v>1</v>
      </c>
      <c r="C2120">
        <v>2</v>
      </c>
      <c r="D2120">
        <v>57</v>
      </c>
    </row>
    <row r="2121" spans="1:4" x14ac:dyDescent="0.25">
      <c r="A2121" s="1">
        <v>41568</v>
      </c>
      <c r="B2121">
        <v>1</v>
      </c>
      <c r="C2121">
        <v>2</v>
      </c>
      <c r="D2121">
        <v>33</v>
      </c>
    </row>
    <row r="2122" spans="1:4" x14ac:dyDescent="0.25">
      <c r="A2122" s="1">
        <v>41569</v>
      </c>
      <c r="B2122">
        <v>1</v>
      </c>
      <c r="C2122">
        <v>2</v>
      </c>
      <c r="D2122">
        <v>49</v>
      </c>
    </row>
    <row r="2123" spans="1:4" x14ac:dyDescent="0.25">
      <c r="A2123" s="1">
        <v>41570</v>
      </c>
      <c r="B2123">
        <v>1</v>
      </c>
      <c r="C2123">
        <v>2</v>
      </c>
      <c r="D2123">
        <v>45</v>
      </c>
    </row>
    <row r="2124" spans="1:4" x14ac:dyDescent="0.25">
      <c r="A2124" s="1">
        <v>41571</v>
      </c>
      <c r="B2124">
        <v>1</v>
      </c>
      <c r="C2124">
        <v>2</v>
      </c>
      <c r="D2124">
        <v>43</v>
      </c>
    </row>
    <row r="2125" spans="1:4" x14ac:dyDescent="0.25">
      <c r="A2125" s="1">
        <v>41572</v>
      </c>
      <c r="B2125">
        <v>1</v>
      </c>
      <c r="C2125">
        <v>2</v>
      </c>
      <c r="D2125">
        <v>32</v>
      </c>
    </row>
    <row r="2126" spans="1:4" x14ac:dyDescent="0.25">
      <c r="A2126" s="1">
        <v>41573</v>
      </c>
      <c r="B2126">
        <v>1</v>
      </c>
      <c r="C2126">
        <v>2</v>
      </c>
      <c r="D2126">
        <v>52</v>
      </c>
    </row>
    <row r="2127" spans="1:4" x14ac:dyDescent="0.25">
      <c r="A2127" s="1">
        <v>41574</v>
      </c>
      <c r="B2127">
        <v>1</v>
      </c>
      <c r="C2127">
        <v>2</v>
      </c>
      <c r="D2127">
        <v>54</v>
      </c>
    </row>
    <row r="2128" spans="1:4" x14ac:dyDescent="0.25">
      <c r="A2128" s="1">
        <v>41575</v>
      </c>
      <c r="B2128">
        <v>1</v>
      </c>
      <c r="C2128">
        <v>2</v>
      </c>
      <c r="D2128">
        <v>38</v>
      </c>
    </row>
    <row r="2129" spans="1:4" x14ac:dyDescent="0.25">
      <c r="A2129" s="1">
        <v>41576</v>
      </c>
      <c r="B2129">
        <v>1</v>
      </c>
      <c r="C2129">
        <v>2</v>
      </c>
      <c r="D2129">
        <v>34</v>
      </c>
    </row>
    <row r="2130" spans="1:4" x14ac:dyDescent="0.25">
      <c r="A2130" s="1">
        <v>41577</v>
      </c>
      <c r="B2130">
        <v>1</v>
      </c>
      <c r="C2130">
        <v>2</v>
      </c>
      <c r="D2130">
        <v>41</v>
      </c>
    </row>
    <row r="2131" spans="1:4" x14ac:dyDescent="0.25">
      <c r="A2131" s="1">
        <v>41578</v>
      </c>
      <c r="B2131">
        <v>1</v>
      </c>
      <c r="C2131">
        <v>2</v>
      </c>
      <c r="D2131">
        <v>44</v>
      </c>
    </row>
    <row r="2132" spans="1:4" x14ac:dyDescent="0.25">
      <c r="A2132" s="1">
        <v>41579</v>
      </c>
      <c r="B2132">
        <v>1</v>
      </c>
      <c r="C2132">
        <v>2</v>
      </c>
      <c r="D2132">
        <v>51</v>
      </c>
    </row>
    <row r="2133" spans="1:4" x14ac:dyDescent="0.25">
      <c r="A2133" s="1">
        <v>41580</v>
      </c>
      <c r="B2133">
        <v>1</v>
      </c>
      <c r="C2133">
        <v>2</v>
      </c>
      <c r="D2133">
        <v>50</v>
      </c>
    </row>
    <row r="2134" spans="1:4" x14ac:dyDescent="0.25">
      <c r="A2134" s="1">
        <v>41581</v>
      </c>
      <c r="B2134">
        <v>1</v>
      </c>
      <c r="C2134">
        <v>2</v>
      </c>
      <c r="D2134">
        <v>52</v>
      </c>
    </row>
    <row r="2135" spans="1:4" x14ac:dyDescent="0.25">
      <c r="A2135" s="1">
        <v>41582</v>
      </c>
      <c r="B2135">
        <v>1</v>
      </c>
      <c r="C2135">
        <v>2</v>
      </c>
      <c r="D2135">
        <v>32</v>
      </c>
    </row>
    <row r="2136" spans="1:4" x14ac:dyDescent="0.25">
      <c r="A2136" s="1">
        <v>41583</v>
      </c>
      <c r="B2136">
        <v>1</v>
      </c>
      <c r="C2136">
        <v>2</v>
      </c>
      <c r="D2136">
        <v>40</v>
      </c>
    </row>
    <row r="2137" spans="1:4" x14ac:dyDescent="0.25">
      <c r="A2137" s="1">
        <v>41584</v>
      </c>
      <c r="B2137">
        <v>1</v>
      </c>
      <c r="C2137">
        <v>2</v>
      </c>
      <c r="D2137">
        <v>41</v>
      </c>
    </row>
    <row r="2138" spans="1:4" x14ac:dyDescent="0.25">
      <c r="A2138" s="1">
        <v>41585</v>
      </c>
      <c r="B2138">
        <v>1</v>
      </c>
      <c r="C2138">
        <v>2</v>
      </c>
      <c r="D2138">
        <v>47</v>
      </c>
    </row>
    <row r="2139" spans="1:4" x14ac:dyDescent="0.25">
      <c r="A2139" s="1">
        <v>41586</v>
      </c>
      <c r="B2139">
        <v>1</v>
      </c>
      <c r="C2139">
        <v>2</v>
      </c>
      <c r="D2139">
        <v>43</v>
      </c>
    </row>
    <row r="2140" spans="1:4" x14ac:dyDescent="0.25">
      <c r="A2140" s="1">
        <v>41587</v>
      </c>
      <c r="B2140">
        <v>1</v>
      </c>
      <c r="C2140">
        <v>2</v>
      </c>
      <c r="D2140">
        <v>53</v>
      </c>
    </row>
    <row r="2141" spans="1:4" x14ac:dyDescent="0.25">
      <c r="A2141" s="1">
        <v>41588</v>
      </c>
      <c r="B2141">
        <v>1</v>
      </c>
      <c r="C2141">
        <v>2</v>
      </c>
      <c r="D2141">
        <v>68</v>
      </c>
    </row>
    <row r="2142" spans="1:4" x14ac:dyDescent="0.25">
      <c r="A2142" s="1">
        <v>41589</v>
      </c>
      <c r="B2142">
        <v>1</v>
      </c>
      <c r="C2142">
        <v>2</v>
      </c>
      <c r="D2142">
        <v>40</v>
      </c>
    </row>
    <row r="2143" spans="1:4" x14ac:dyDescent="0.25">
      <c r="A2143" s="1">
        <v>41590</v>
      </c>
      <c r="B2143">
        <v>1</v>
      </c>
      <c r="C2143">
        <v>2</v>
      </c>
      <c r="D2143">
        <v>41</v>
      </c>
    </row>
    <row r="2144" spans="1:4" x14ac:dyDescent="0.25">
      <c r="A2144" s="1">
        <v>41591</v>
      </c>
      <c r="B2144">
        <v>1</v>
      </c>
      <c r="C2144">
        <v>2</v>
      </c>
      <c r="D2144">
        <v>40</v>
      </c>
    </row>
    <row r="2145" spans="1:4" x14ac:dyDescent="0.25">
      <c r="A2145" s="1">
        <v>41592</v>
      </c>
      <c r="B2145">
        <v>1</v>
      </c>
      <c r="C2145">
        <v>2</v>
      </c>
      <c r="D2145">
        <v>53</v>
      </c>
    </row>
    <row r="2146" spans="1:4" x14ac:dyDescent="0.25">
      <c r="A2146" s="1">
        <v>41593</v>
      </c>
      <c r="B2146">
        <v>1</v>
      </c>
      <c r="C2146">
        <v>2</v>
      </c>
      <c r="D2146">
        <v>60</v>
      </c>
    </row>
    <row r="2147" spans="1:4" x14ac:dyDescent="0.25">
      <c r="A2147" s="1">
        <v>41594</v>
      </c>
      <c r="B2147">
        <v>1</v>
      </c>
      <c r="C2147">
        <v>2</v>
      </c>
      <c r="D2147">
        <v>54</v>
      </c>
    </row>
    <row r="2148" spans="1:4" x14ac:dyDescent="0.25">
      <c r="A2148" s="1">
        <v>41595</v>
      </c>
      <c r="B2148">
        <v>1</v>
      </c>
      <c r="C2148">
        <v>2</v>
      </c>
      <c r="D2148">
        <v>46</v>
      </c>
    </row>
    <row r="2149" spans="1:4" x14ac:dyDescent="0.25">
      <c r="A2149" s="1">
        <v>41596</v>
      </c>
      <c r="B2149">
        <v>1</v>
      </c>
      <c r="C2149">
        <v>2</v>
      </c>
      <c r="D2149">
        <v>24</v>
      </c>
    </row>
    <row r="2150" spans="1:4" x14ac:dyDescent="0.25">
      <c r="A2150" s="1">
        <v>41597</v>
      </c>
      <c r="B2150">
        <v>1</v>
      </c>
      <c r="C2150">
        <v>2</v>
      </c>
      <c r="D2150">
        <v>47</v>
      </c>
    </row>
    <row r="2151" spans="1:4" x14ac:dyDescent="0.25">
      <c r="A2151" s="1">
        <v>41598</v>
      </c>
      <c r="B2151">
        <v>1</v>
      </c>
      <c r="C2151">
        <v>2</v>
      </c>
      <c r="D2151">
        <v>40</v>
      </c>
    </row>
    <row r="2152" spans="1:4" x14ac:dyDescent="0.25">
      <c r="A2152" s="1">
        <v>41599</v>
      </c>
      <c r="B2152">
        <v>1</v>
      </c>
      <c r="C2152">
        <v>2</v>
      </c>
      <c r="D2152">
        <v>46</v>
      </c>
    </row>
    <row r="2153" spans="1:4" x14ac:dyDescent="0.25">
      <c r="A2153" s="1">
        <v>41600</v>
      </c>
      <c r="B2153">
        <v>1</v>
      </c>
      <c r="C2153">
        <v>2</v>
      </c>
      <c r="D2153">
        <v>53</v>
      </c>
    </row>
    <row r="2154" spans="1:4" x14ac:dyDescent="0.25">
      <c r="A2154" s="1">
        <v>41601</v>
      </c>
      <c r="B2154">
        <v>1</v>
      </c>
      <c r="C2154">
        <v>2</v>
      </c>
      <c r="D2154">
        <v>49</v>
      </c>
    </row>
    <row r="2155" spans="1:4" x14ac:dyDescent="0.25">
      <c r="A2155" s="1">
        <v>41602</v>
      </c>
      <c r="B2155">
        <v>1</v>
      </c>
      <c r="C2155">
        <v>2</v>
      </c>
      <c r="D2155">
        <v>63</v>
      </c>
    </row>
    <row r="2156" spans="1:4" x14ac:dyDescent="0.25">
      <c r="A2156" s="1">
        <v>41603</v>
      </c>
      <c r="B2156">
        <v>1</v>
      </c>
      <c r="C2156">
        <v>2</v>
      </c>
      <c r="D2156">
        <v>30</v>
      </c>
    </row>
    <row r="2157" spans="1:4" x14ac:dyDescent="0.25">
      <c r="A2157" s="1">
        <v>41604</v>
      </c>
      <c r="B2157">
        <v>1</v>
      </c>
      <c r="C2157">
        <v>2</v>
      </c>
      <c r="D2157">
        <v>55</v>
      </c>
    </row>
    <row r="2158" spans="1:4" x14ac:dyDescent="0.25">
      <c r="A2158" s="1">
        <v>41605</v>
      </c>
      <c r="B2158">
        <v>1</v>
      </c>
      <c r="C2158">
        <v>2</v>
      </c>
      <c r="D2158">
        <v>49</v>
      </c>
    </row>
    <row r="2159" spans="1:4" x14ac:dyDescent="0.25">
      <c r="A2159" s="1">
        <v>41606</v>
      </c>
      <c r="B2159">
        <v>1</v>
      </c>
      <c r="C2159">
        <v>2</v>
      </c>
      <c r="D2159">
        <v>54</v>
      </c>
    </row>
    <row r="2160" spans="1:4" x14ac:dyDescent="0.25">
      <c r="A2160" s="1">
        <v>41607</v>
      </c>
      <c r="B2160">
        <v>1</v>
      </c>
      <c r="C2160">
        <v>2</v>
      </c>
      <c r="D2160">
        <v>50</v>
      </c>
    </row>
    <row r="2161" spans="1:4" x14ac:dyDescent="0.25">
      <c r="A2161" s="1">
        <v>41608</v>
      </c>
      <c r="B2161">
        <v>1</v>
      </c>
      <c r="C2161">
        <v>2</v>
      </c>
      <c r="D2161">
        <v>56</v>
      </c>
    </row>
    <row r="2162" spans="1:4" x14ac:dyDescent="0.25">
      <c r="A2162" s="1">
        <v>41609</v>
      </c>
      <c r="B2162">
        <v>1</v>
      </c>
      <c r="C2162">
        <v>2</v>
      </c>
      <c r="D2162">
        <v>42</v>
      </c>
    </row>
    <row r="2163" spans="1:4" x14ac:dyDescent="0.25">
      <c r="A2163" s="1">
        <v>41610</v>
      </c>
      <c r="B2163">
        <v>1</v>
      </c>
      <c r="C2163">
        <v>2</v>
      </c>
      <c r="D2163">
        <v>31</v>
      </c>
    </row>
    <row r="2164" spans="1:4" x14ac:dyDescent="0.25">
      <c r="A2164" s="1">
        <v>41611</v>
      </c>
      <c r="B2164">
        <v>1</v>
      </c>
      <c r="C2164">
        <v>2</v>
      </c>
      <c r="D2164">
        <v>24</v>
      </c>
    </row>
    <row r="2165" spans="1:4" x14ac:dyDescent="0.25">
      <c r="A2165" s="1">
        <v>41612</v>
      </c>
      <c r="B2165">
        <v>1</v>
      </c>
      <c r="C2165">
        <v>2</v>
      </c>
      <c r="D2165">
        <v>31</v>
      </c>
    </row>
    <row r="2166" spans="1:4" x14ac:dyDescent="0.25">
      <c r="A2166" s="1">
        <v>41613</v>
      </c>
      <c r="B2166">
        <v>1</v>
      </c>
      <c r="C2166">
        <v>2</v>
      </c>
      <c r="D2166">
        <v>24</v>
      </c>
    </row>
    <row r="2167" spans="1:4" x14ac:dyDescent="0.25">
      <c r="A2167" s="1">
        <v>41614</v>
      </c>
      <c r="B2167">
        <v>1</v>
      </c>
      <c r="C2167">
        <v>2</v>
      </c>
      <c r="D2167">
        <v>33</v>
      </c>
    </row>
    <row r="2168" spans="1:4" x14ac:dyDescent="0.25">
      <c r="A2168" s="1">
        <v>41615</v>
      </c>
      <c r="B2168">
        <v>1</v>
      </c>
      <c r="C2168">
        <v>2</v>
      </c>
      <c r="D2168">
        <v>33</v>
      </c>
    </row>
    <row r="2169" spans="1:4" x14ac:dyDescent="0.25">
      <c r="A2169" s="1">
        <v>41616</v>
      </c>
      <c r="B2169">
        <v>1</v>
      </c>
      <c r="C2169">
        <v>2</v>
      </c>
      <c r="D2169">
        <v>43</v>
      </c>
    </row>
    <row r="2170" spans="1:4" x14ac:dyDescent="0.25">
      <c r="A2170" s="1">
        <v>41617</v>
      </c>
      <c r="B2170">
        <v>1</v>
      </c>
      <c r="C2170">
        <v>2</v>
      </c>
      <c r="D2170">
        <v>24</v>
      </c>
    </row>
    <row r="2171" spans="1:4" x14ac:dyDescent="0.25">
      <c r="A2171" s="1">
        <v>41618</v>
      </c>
      <c r="B2171">
        <v>1</v>
      </c>
      <c r="C2171">
        <v>2</v>
      </c>
      <c r="D2171">
        <v>24</v>
      </c>
    </row>
    <row r="2172" spans="1:4" x14ac:dyDescent="0.25">
      <c r="A2172" s="1">
        <v>41619</v>
      </c>
      <c r="B2172">
        <v>1</v>
      </c>
      <c r="C2172">
        <v>2</v>
      </c>
      <c r="D2172">
        <v>21</v>
      </c>
    </row>
    <row r="2173" spans="1:4" x14ac:dyDescent="0.25">
      <c r="A2173" s="1">
        <v>41620</v>
      </c>
      <c r="B2173">
        <v>1</v>
      </c>
      <c r="C2173">
        <v>2</v>
      </c>
      <c r="D2173">
        <v>32</v>
      </c>
    </row>
    <row r="2174" spans="1:4" x14ac:dyDescent="0.25">
      <c r="A2174" s="1">
        <v>41621</v>
      </c>
      <c r="B2174">
        <v>1</v>
      </c>
      <c r="C2174">
        <v>2</v>
      </c>
      <c r="D2174">
        <v>36</v>
      </c>
    </row>
    <row r="2175" spans="1:4" x14ac:dyDescent="0.25">
      <c r="A2175" s="1">
        <v>41622</v>
      </c>
      <c r="B2175">
        <v>1</v>
      </c>
      <c r="C2175">
        <v>2</v>
      </c>
      <c r="D2175">
        <v>40</v>
      </c>
    </row>
    <row r="2176" spans="1:4" x14ac:dyDescent="0.25">
      <c r="A2176" s="1">
        <v>41623</v>
      </c>
      <c r="B2176">
        <v>1</v>
      </c>
      <c r="C2176">
        <v>2</v>
      </c>
      <c r="D2176">
        <v>50</v>
      </c>
    </row>
    <row r="2177" spans="1:4" x14ac:dyDescent="0.25">
      <c r="A2177" s="1">
        <v>41624</v>
      </c>
      <c r="B2177">
        <v>1</v>
      </c>
      <c r="C2177">
        <v>2</v>
      </c>
      <c r="D2177">
        <v>19</v>
      </c>
    </row>
    <row r="2178" spans="1:4" x14ac:dyDescent="0.25">
      <c r="A2178" s="1">
        <v>41625</v>
      </c>
      <c r="B2178">
        <v>1</v>
      </c>
      <c r="C2178">
        <v>2</v>
      </c>
      <c r="D2178">
        <v>28</v>
      </c>
    </row>
    <row r="2179" spans="1:4" x14ac:dyDescent="0.25">
      <c r="A2179" s="1">
        <v>41626</v>
      </c>
      <c r="B2179">
        <v>1</v>
      </c>
      <c r="C2179">
        <v>2</v>
      </c>
      <c r="D2179">
        <v>38</v>
      </c>
    </row>
    <row r="2180" spans="1:4" x14ac:dyDescent="0.25">
      <c r="A2180" s="1">
        <v>41627</v>
      </c>
      <c r="B2180">
        <v>1</v>
      </c>
      <c r="C2180">
        <v>2</v>
      </c>
      <c r="D2180">
        <v>30</v>
      </c>
    </row>
    <row r="2181" spans="1:4" x14ac:dyDescent="0.25">
      <c r="A2181" s="1">
        <v>41628</v>
      </c>
      <c r="B2181">
        <v>1</v>
      </c>
      <c r="C2181">
        <v>2</v>
      </c>
      <c r="D2181">
        <v>30</v>
      </c>
    </row>
    <row r="2182" spans="1:4" x14ac:dyDescent="0.25">
      <c r="A2182" s="1">
        <v>41629</v>
      </c>
      <c r="B2182">
        <v>1</v>
      </c>
      <c r="C2182">
        <v>2</v>
      </c>
      <c r="D2182">
        <v>38</v>
      </c>
    </row>
    <row r="2183" spans="1:4" x14ac:dyDescent="0.25">
      <c r="A2183" s="1">
        <v>41630</v>
      </c>
      <c r="B2183">
        <v>1</v>
      </c>
      <c r="C2183">
        <v>2</v>
      </c>
      <c r="D2183">
        <v>37</v>
      </c>
    </row>
    <row r="2184" spans="1:4" x14ac:dyDescent="0.25">
      <c r="A2184" s="1">
        <v>41631</v>
      </c>
      <c r="B2184">
        <v>1</v>
      </c>
      <c r="C2184">
        <v>2</v>
      </c>
      <c r="D2184">
        <v>29</v>
      </c>
    </row>
    <row r="2185" spans="1:4" x14ac:dyDescent="0.25">
      <c r="A2185" s="1">
        <v>41632</v>
      </c>
      <c r="B2185">
        <v>1</v>
      </c>
      <c r="C2185">
        <v>2</v>
      </c>
      <c r="D2185">
        <v>24</v>
      </c>
    </row>
    <row r="2186" spans="1:4" x14ac:dyDescent="0.25">
      <c r="A2186" s="1">
        <v>41633</v>
      </c>
      <c r="B2186">
        <v>1</v>
      </c>
      <c r="C2186">
        <v>2</v>
      </c>
      <c r="D2186">
        <v>38</v>
      </c>
    </row>
    <row r="2187" spans="1:4" x14ac:dyDescent="0.25">
      <c r="A2187" s="1">
        <v>41634</v>
      </c>
      <c r="B2187">
        <v>1</v>
      </c>
      <c r="C2187">
        <v>2</v>
      </c>
      <c r="D2187">
        <v>48</v>
      </c>
    </row>
    <row r="2188" spans="1:4" x14ac:dyDescent="0.25">
      <c r="A2188" s="1">
        <v>41635</v>
      </c>
      <c r="B2188">
        <v>1</v>
      </c>
      <c r="C2188">
        <v>2</v>
      </c>
      <c r="D2188">
        <v>40</v>
      </c>
    </row>
    <row r="2189" spans="1:4" x14ac:dyDescent="0.25">
      <c r="A2189" s="1">
        <v>41636</v>
      </c>
      <c r="B2189">
        <v>1</v>
      </c>
      <c r="C2189">
        <v>2</v>
      </c>
      <c r="D2189">
        <v>32</v>
      </c>
    </row>
    <row r="2190" spans="1:4" x14ac:dyDescent="0.25">
      <c r="A2190" s="1">
        <v>41637</v>
      </c>
      <c r="B2190">
        <v>1</v>
      </c>
      <c r="C2190">
        <v>2</v>
      </c>
      <c r="D2190">
        <v>46</v>
      </c>
    </row>
    <row r="2191" spans="1:4" x14ac:dyDescent="0.25">
      <c r="A2191" s="1">
        <v>41638</v>
      </c>
      <c r="B2191">
        <v>1</v>
      </c>
      <c r="C2191">
        <v>2</v>
      </c>
      <c r="D2191">
        <v>28</v>
      </c>
    </row>
    <row r="2192" spans="1:4" x14ac:dyDescent="0.25">
      <c r="A2192" s="1">
        <v>41639</v>
      </c>
      <c r="B2192">
        <v>1</v>
      </c>
      <c r="C2192">
        <v>2</v>
      </c>
      <c r="D2192">
        <v>30</v>
      </c>
    </row>
    <row r="2193" spans="1:4" x14ac:dyDescent="0.25">
      <c r="A2193" s="1">
        <v>41640</v>
      </c>
      <c r="B2193">
        <v>1</v>
      </c>
      <c r="C2193">
        <v>2</v>
      </c>
      <c r="D2193">
        <v>33</v>
      </c>
    </row>
    <row r="2194" spans="1:4" x14ac:dyDescent="0.25">
      <c r="A2194" s="1">
        <v>41641</v>
      </c>
      <c r="B2194">
        <v>1</v>
      </c>
      <c r="C2194">
        <v>2</v>
      </c>
      <c r="D2194">
        <v>37</v>
      </c>
    </row>
    <row r="2195" spans="1:4" x14ac:dyDescent="0.25">
      <c r="A2195" s="1">
        <v>41642</v>
      </c>
      <c r="B2195">
        <v>1</v>
      </c>
      <c r="C2195">
        <v>2</v>
      </c>
      <c r="D2195">
        <v>52</v>
      </c>
    </row>
    <row r="2196" spans="1:4" x14ac:dyDescent="0.25">
      <c r="A2196" s="1">
        <v>41643</v>
      </c>
      <c r="B2196">
        <v>1</v>
      </c>
      <c r="C2196">
        <v>2</v>
      </c>
      <c r="D2196">
        <v>33</v>
      </c>
    </row>
    <row r="2197" spans="1:4" x14ac:dyDescent="0.25">
      <c r="A2197" s="1">
        <v>41644</v>
      </c>
      <c r="B2197">
        <v>1</v>
      </c>
      <c r="C2197">
        <v>2</v>
      </c>
      <c r="D2197">
        <v>49</v>
      </c>
    </row>
    <row r="2198" spans="1:4" x14ac:dyDescent="0.25">
      <c r="A2198" s="1">
        <v>41645</v>
      </c>
      <c r="B2198">
        <v>1</v>
      </c>
      <c r="C2198">
        <v>2</v>
      </c>
      <c r="D2198">
        <v>29</v>
      </c>
    </row>
    <row r="2199" spans="1:4" x14ac:dyDescent="0.25">
      <c r="A2199" s="1">
        <v>41646</v>
      </c>
      <c r="B2199">
        <v>1</v>
      </c>
      <c r="C2199">
        <v>2</v>
      </c>
      <c r="D2199">
        <v>46</v>
      </c>
    </row>
    <row r="2200" spans="1:4" x14ac:dyDescent="0.25">
      <c r="A2200" s="1">
        <v>41647</v>
      </c>
      <c r="B2200">
        <v>1</v>
      </c>
      <c r="C2200">
        <v>2</v>
      </c>
      <c r="D2200">
        <v>35</v>
      </c>
    </row>
    <row r="2201" spans="1:4" x14ac:dyDescent="0.25">
      <c r="A2201" s="1">
        <v>41648</v>
      </c>
      <c r="B2201">
        <v>1</v>
      </c>
      <c r="C2201">
        <v>2</v>
      </c>
      <c r="D2201">
        <v>44</v>
      </c>
    </row>
    <row r="2202" spans="1:4" x14ac:dyDescent="0.25">
      <c r="A2202" s="1">
        <v>41649</v>
      </c>
      <c r="B2202">
        <v>1</v>
      </c>
      <c r="C2202">
        <v>2</v>
      </c>
      <c r="D2202">
        <v>41</v>
      </c>
    </row>
    <row r="2203" spans="1:4" x14ac:dyDescent="0.25">
      <c r="A2203" s="1">
        <v>41650</v>
      </c>
      <c r="B2203">
        <v>1</v>
      </c>
      <c r="C2203">
        <v>2</v>
      </c>
      <c r="D2203">
        <v>39</v>
      </c>
    </row>
    <row r="2204" spans="1:4" x14ac:dyDescent="0.25">
      <c r="A2204" s="1">
        <v>41651</v>
      </c>
      <c r="B2204">
        <v>1</v>
      </c>
      <c r="C2204">
        <v>2</v>
      </c>
      <c r="D2204">
        <v>34</v>
      </c>
    </row>
    <row r="2205" spans="1:4" x14ac:dyDescent="0.25">
      <c r="A2205" s="1">
        <v>41652</v>
      </c>
      <c r="B2205">
        <v>1</v>
      </c>
      <c r="C2205">
        <v>2</v>
      </c>
      <c r="D2205">
        <v>22</v>
      </c>
    </row>
    <row r="2206" spans="1:4" x14ac:dyDescent="0.25">
      <c r="A2206" s="1">
        <v>41653</v>
      </c>
      <c r="B2206">
        <v>1</v>
      </c>
      <c r="C2206">
        <v>2</v>
      </c>
      <c r="D2206">
        <v>34</v>
      </c>
    </row>
    <row r="2207" spans="1:4" x14ac:dyDescent="0.25">
      <c r="A2207" s="1">
        <v>41654</v>
      </c>
      <c r="B2207">
        <v>1</v>
      </c>
      <c r="C2207">
        <v>2</v>
      </c>
      <c r="D2207">
        <v>33</v>
      </c>
    </row>
    <row r="2208" spans="1:4" x14ac:dyDescent="0.25">
      <c r="A2208" s="1">
        <v>41655</v>
      </c>
      <c r="B2208">
        <v>1</v>
      </c>
      <c r="C2208">
        <v>2</v>
      </c>
      <c r="D2208">
        <v>33</v>
      </c>
    </row>
    <row r="2209" spans="1:4" x14ac:dyDescent="0.25">
      <c r="A2209" s="1">
        <v>41656</v>
      </c>
      <c r="B2209">
        <v>1</v>
      </c>
      <c r="C2209">
        <v>2</v>
      </c>
      <c r="D2209">
        <v>31</v>
      </c>
    </row>
    <row r="2210" spans="1:4" x14ac:dyDescent="0.25">
      <c r="A2210" s="1">
        <v>41657</v>
      </c>
      <c r="B2210">
        <v>1</v>
      </c>
      <c r="C2210">
        <v>2</v>
      </c>
      <c r="D2210">
        <v>52</v>
      </c>
    </row>
    <row r="2211" spans="1:4" x14ac:dyDescent="0.25">
      <c r="A2211" s="1">
        <v>41658</v>
      </c>
      <c r="B2211">
        <v>1</v>
      </c>
      <c r="C2211">
        <v>2</v>
      </c>
      <c r="D2211">
        <v>41</v>
      </c>
    </row>
    <row r="2212" spans="1:4" x14ac:dyDescent="0.25">
      <c r="A2212" s="1">
        <v>41659</v>
      </c>
      <c r="B2212">
        <v>1</v>
      </c>
      <c r="C2212">
        <v>2</v>
      </c>
      <c r="D2212">
        <v>28</v>
      </c>
    </row>
    <row r="2213" spans="1:4" x14ac:dyDescent="0.25">
      <c r="A2213" s="1">
        <v>41660</v>
      </c>
      <c r="B2213">
        <v>1</v>
      </c>
      <c r="C2213">
        <v>2</v>
      </c>
      <c r="D2213">
        <v>25</v>
      </c>
    </row>
    <row r="2214" spans="1:4" x14ac:dyDescent="0.25">
      <c r="A2214" s="1">
        <v>41661</v>
      </c>
      <c r="B2214">
        <v>1</v>
      </c>
      <c r="C2214">
        <v>2</v>
      </c>
      <c r="D2214">
        <v>35</v>
      </c>
    </row>
    <row r="2215" spans="1:4" x14ac:dyDescent="0.25">
      <c r="A2215" s="1">
        <v>41662</v>
      </c>
      <c r="B2215">
        <v>1</v>
      </c>
      <c r="C2215">
        <v>2</v>
      </c>
      <c r="D2215">
        <v>34</v>
      </c>
    </row>
    <row r="2216" spans="1:4" x14ac:dyDescent="0.25">
      <c r="A2216" s="1">
        <v>41663</v>
      </c>
      <c r="B2216">
        <v>1</v>
      </c>
      <c r="C2216">
        <v>2</v>
      </c>
      <c r="D2216">
        <v>42</v>
      </c>
    </row>
    <row r="2217" spans="1:4" x14ac:dyDescent="0.25">
      <c r="A2217" s="1">
        <v>41664</v>
      </c>
      <c r="B2217">
        <v>1</v>
      </c>
      <c r="C2217">
        <v>2</v>
      </c>
      <c r="D2217">
        <v>27</v>
      </c>
    </row>
    <row r="2218" spans="1:4" x14ac:dyDescent="0.25">
      <c r="A2218" s="1">
        <v>41665</v>
      </c>
      <c r="B2218">
        <v>1</v>
      </c>
      <c r="C2218">
        <v>2</v>
      </c>
      <c r="D2218">
        <v>43</v>
      </c>
    </row>
    <row r="2219" spans="1:4" x14ac:dyDescent="0.25">
      <c r="A2219" s="1">
        <v>41666</v>
      </c>
      <c r="B2219">
        <v>1</v>
      </c>
      <c r="C2219">
        <v>2</v>
      </c>
      <c r="D2219">
        <v>19</v>
      </c>
    </row>
    <row r="2220" spans="1:4" x14ac:dyDescent="0.25">
      <c r="A2220" s="1">
        <v>41667</v>
      </c>
      <c r="B2220">
        <v>1</v>
      </c>
      <c r="C2220">
        <v>2</v>
      </c>
      <c r="D2220">
        <v>39</v>
      </c>
    </row>
    <row r="2221" spans="1:4" x14ac:dyDescent="0.25">
      <c r="A2221" s="1">
        <v>41668</v>
      </c>
      <c r="B2221">
        <v>1</v>
      </c>
      <c r="C2221">
        <v>2</v>
      </c>
      <c r="D2221">
        <v>29</v>
      </c>
    </row>
    <row r="2222" spans="1:4" x14ac:dyDescent="0.25">
      <c r="A2222" s="1">
        <v>41669</v>
      </c>
      <c r="B2222">
        <v>1</v>
      </c>
      <c r="C2222">
        <v>2</v>
      </c>
      <c r="D2222">
        <v>37</v>
      </c>
    </row>
    <row r="2223" spans="1:4" x14ac:dyDescent="0.25">
      <c r="A2223" s="1">
        <v>41670</v>
      </c>
      <c r="B2223">
        <v>1</v>
      </c>
      <c r="C2223">
        <v>2</v>
      </c>
      <c r="D2223">
        <v>40</v>
      </c>
    </row>
    <row r="2224" spans="1:4" x14ac:dyDescent="0.25">
      <c r="A2224" s="1">
        <v>41671</v>
      </c>
      <c r="B2224">
        <v>1</v>
      </c>
      <c r="C2224">
        <v>2</v>
      </c>
      <c r="D2224">
        <v>43</v>
      </c>
    </row>
    <row r="2225" spans="1:4" x14ac:dyDescent="0.25">
      <c r="A2225" s="1">
        <v>41672</v>
      </c>
      <c r="B2225">
        <v>1</v>
      </c>
      <c r="C2225">
        <v>2</v>
      </c>
      <c r="D2225">
        <v>51</v>
      </c>
    </row>
    <row r="2226" spans="1:4" x14ac:dyDescent="0.25">
      <c r="A2226" s="1">
        <v>41673</v>
      </c>
      <c r="B2226">
        <v>1</v>
      </c>
      <c r="C2226">
        <v>2</v>
      </c>
      <c r="D2226">
        <v>24</v>
      </c>
    </row>
    <row r="2227" spans="1:4" x14ac:dyDescent="0.25">
      <c r="A2227" s="1">
        <v>41674</v>
      </c>
      <c r="B2227">
        <v>1</v>
      </c>
      <c r="C2227">
        <v>2</v>
      </c>
      <c r="D2227">
        <v>27</v>
      </c>
    </row>
    <row r="2228" spans="1:4" x14ac:dyDescent="0.25">
      <c r="A2228" s="1">
        <v>41675</v>
      </c>
      <c r="B2228">
        <v>1</v>
      </c>
      <c r="C2228">
        <v>2</v>
      </c>
      <c r="D2228">
        <v>40</v>
      </c>
    </row>
    <row r="2229" spans="1:4" x14ac:dyDescent="0.25">
      <c r="A2229" s="1">
        <v>41676</v>
      </c>
      <c r="B2229">
        <v>1</v>
      </c>
      <c r="C2229">
        <v>2</v>
      </c>
      <c r="D2229">
        <v>43</v>
      </c>
    </row>
    <row r="2230" spans="1:4" x14ac:dyDescent="0.25">
      <c r="A2230" s="1">
        <v>41677</v>
      </c>
      <c r="B2230">
        <v>1</v>
      </c>
      <c r="C2230">
        <v>2</v>
      </c>
      <c r="D2230">
        <v>46</v>
      </c>
    </row>
    <row r="2231" spans="1:4" x14ac:dyDescent="0.25">
      <c r="A2231" s="1">
        <v>41678</v>
      </c>
      <c r="B2231">
        <v>1</v>
      </c>
      <c r="C2231">
        <v>2</v>
      </c>
      <c r="D2231">
        <v>43</v>
      </c>
    </row>
    <row r="2232" spans="1:4" x14ac:dyDescent="0.25">
      <c r="A2232" s="1">
        <v>41679</v>
      </c>
      <c r="B2232">
        <v>1</v>
      </c>
      <c r="C2232">
        <v>2</v>
      </c>
      <c r="D2232">
        <v>41</v>
      </c>
    </row>
    <row r="2233" spans="1:4" x14ac:dyDescent="0.25">
      <c r="A2233" s="1">
        <v>41680</v>
      </c>
      <c r="B2233">
        <v>1</v>
      </c>
      <c r="C2233">
        <v>2</v>
      </c>
      <c r="D2233">
        <v>35</v>
      </c>
    </row>
    <row r="2234" spans="1:4" x14ac:dyDescent="0.25">
      <c r="A2234" s="1">
        <v>41681</v>
      </c>
      <c r="B2234">
        <v>1</v>
      </c>
      <c r="C2234">
        <v>2</v>
      </c>
      <c r="D2234">
        <v>30</v>
      </c>
    </row>
    <row r="2235" spans="1:4" x14ac:dyDescent="0.25">
      <c r="A2235" s="1">
        <v>41682</v>
      </c>
      <c r="B2235">
        <v>1</v>
      </c>
      <c r="C2235">
        <v>2</v>
      </c>
      <c r="D2235">
        <v>43</v>
      </c>
    </row>
    <row r="2236" spans="1:4" x14ac:dyDescent="0.25">
      <c r="A2236" s="1">
        <v>41683</v>
      </c>
      <c r="B2236">
        <v>1</v>
      </c>
      <c r="C2236">
        <v>2</v>
      </c>
      <c r="D2236">
        <v>40</v>
      </c>
    </row>
    <row r="2237" spans="1:4" x14ac:dyDescent="0.25">
      <c r="A2237" s="1">
        <v>41684</v>
      </c>
      <c r="B2237">
        <v>1</v>
      </c>
      <c r="C2237">
        <v>2</v>
      </c>
      <c r="D2237">
        <v>41</v>
      </c>
    </row>
    <row r="2238" spans="1:4" x14ac:dyDescent="0.25">
      <c r="A2238" s="1">
        <v>41685</v>
      </c>
      <c r="B2238">
        <v>1</v>
      </c>
      <c r="C2238">
        <v>2</v>
      </c>
      <c r="D2238">
        <v>44</v>
      </c>
    </row>
    <row r="2239" spans="1:4" x14ac:dyDescent="0.25">
      <c r="A2239" s="1">
        <v>41686</v>
      </c>
      <c r="B2239">
        <v>1</v>
      </c>
      <c r="C2239">
        <v>2</v>
      </c>
      <c r="D2239">
        <v>48</v>
      </c>
    </row>
    <row r="2240" spans="1:4" x14ac:dyDescent="0.25">
      <c r="A2240" s="1">
        <v>41687</v>
      </c>
      <c r="B2240">
        <v>1</v>
      </c>
      <c r="C2240">
        <v>2</v>
      </c>
      <c r="D2240">
        <v>37</v>
      </c>
    </row>
    <row r="2241" spans="1:4" x14ac:dyDescent="0.25">
      <c r="A2241" s="1">
        <v>41688</v>
      </c>
      <c r="B2241">
        <v>1</v>
      </c>
      <c r="C2241">
        <v>2</v>
      </c>
      <c r="D2241">
        <v>42</v>
      </c>
    </row>
    <row r="2242" spans="1:4" x14ac:dyDescent="0.25">
      <c r="A2242" s="1">
        <v>41689</v>
      </c>
      <c r="B2242">
        <v>1</v>
      </c>
      <c r="C2242">
        <v>2</v>
      </c>
      <c r="D2242">
        <v>28</v>
      </c>
    </row>
    <row r="2243" spans="1:4" x14ac:dyDescent="0.25">
      <c r="A2243" s="1">
        <v>41690</v>
      </c>
      <c r="B2243">
        <v>1</v>
      </c>
      <c r="C2243">
        <v>2</v>
      </c>
      <c r="D2243">
        <v>46</v>
      </c>
    </row>
    <row r="2244" spans="1:4" x14ac:dyDescent="0.25">
      <c r="A2244" s="1">
        <v>41691</v>
      </c>
      <c r="B2244">
        <v>1</v>
      </c>
      <c r="C2244">
        <v>2</v>
      </c>
      <c r="D2244">
        <v>35</v>
      </c>
    </row>
    <row r="2245" spans="1:4" x14ac:dyDescent="0.25">
      <c r="A2245" s="1">
        <v>41692</v>
      </c>
      <c r="B2245">
        <v>1</v>
      </c>
      <c r="C2245">
        <v>2</v>
      </c>
      <c r="D2245">
        <v>42</v>
      </c>
    </row>
    <row r="2246" spans="1:4" x14ac:dyDescent="0.25">
      <c r="A2246" s="1">
        <v>41693</v>
      </c>
      <c r="B2246">
        <v>1</v>
      </c>
      <c r="C2246">
        <v>2</v>
      </c>
      <c r="D2246">
        <v>47</v>
      </c>
    </row>
    <row r="2247" spans="1:4" x14ac:dyDescent="0.25">
      <c r="A2247" s="1">
        <v>41694</v>
      </c>
      <c r="B2247">
        <v>1</v>
      </c>
      <c r="C2247">
        <v>2</v>
      </c>
      <c r="D2247">
        <v>39</v>
      </c>
    </row>
    <row r="2248" spans="1:4" x14ac:dyDescent="0.25">
      <c r="A2248" s="1">
        <v>41695</v>
      </c>
      <c r="B2248">
        <v>1</v>
      </c>
      <c r="C2248">
        <v>2</v>
      </c>
      <c r="D2248">
        <v>36</v>
      </c>
    </row>
    <row r="2249" spans="1:4" x14ac:dyDescent="0.25">
      <c r="A2249" s="1">
        <v>41696</v>
      </c>
      <c r="B2249">
        <v>1</v>
      </c>
      <c r="C2249">
        <v>2</v>
      </c>
      <c r="D2249">
        <v>44</v>
      </c>
    </row>
    <row r="2250" spans="1:4" x14ac:dyDescent="0.25">
      <c r="A2250" s="1">
        <v>41697</v>
      </c>
      <c r="B2250">
        <v>1</v>
      </c>
      <c r="C2250">
        <v>2</v>
      </c>
      <c r="D2250">
        <v>47</v>
      </c>
    </row>
    <row r="2251" spans="1:4" x14ac:dyDescent="0.25">
      <c r="A2251" s="1">
        <v>41698</v>
      </c>
      <c r="B2251">
        <v>1</v>
      </c>
      <c r="C2251">
        <v>2</v>
      </c>
      <c r="D2251">
        <v>53</v>
      </c>
    </row>
    <row r="2252" spans="1:4" x14ac:dyDescent="0.25">
      <c r="A2252" s="1">
        <v>41699</v>
      </c>
      <c r="B2252">
        <v>1</v>
      </c>
      <c r="C2252">
        <v>2</v>
      </c>
      <c r="D2252">
        <v>45</v>
      </c>
    </row>
    <row r="2253" spans="1:4" x14ac:dyDescent="0.25">
      <c r="A2253" s="1">
        <v>41700</v>
      </c>
      <c r="B2253">
        <v>1</v>
      </c>
      <c r="C2253">
        <v>2</v>
      </c>
      <c r="D2253">
        <v>60</v>
      </c>
    </row>
    <row r="2254" spans="1:4" x14ac:dyDescent="0.25">
      <c r="A2254" s="1">
        <v>41701</v>
      </c>
      <c r="B2254">
        <v>1</v>
      </c>
      <c r="C2254">
        <v>2</v>
      </c>
      <c r="D2254">
        <v>44</v>
      </c>
    </row>
    <row r="2255" spans="1:4" x14ac:dyDescent="0.25">
      <c r="A2255" s="1">
        <v>41702</v>
      </c>
      <c r="B2255">
        <v>1</v>
      </c>
      <c r="C2255">
        <v>2</v>
      </c>
      <c r="D2255">
        <v>38</v>
      </c>
    </row>
    <row r="2256" spans="1:4" x14ac:dyDescent="0.25">
      <c r="A2256" s="1">
        <v>41703</v>
      </c>
      <c r="B2256">
        <v>1</v>
      </c>
      <c r="C2256">
        <v>2</v>
      </c>
      <c r="D2256">
        <v>38</v>
      </c>
    </row>
    <row r="2257" spans="1:4" x14ac:dyDescent="0.25">
      <c r="A2257" s="1">
        <v>41704</v>
      </c>
      <c r="B2257">
        <v>1</v>
      </c>
      <c r="C2257">
        <v>2</v>
      </c>
      <c r="D2257">
        <v>46</v>
      </c>
    </row>
    <row r="2258" spans="1:4" x14ac:dyDescent="0.25">
      <c r="A2258" s="1">
        <v>41705</v>
      </c>
      <c r="B2258">
        <v>1</v>
      </c>
      <c r="C2258">
        <v>2</v>
      </c>
      <c r="D2258">
        <v>45</v>
      </c>
    </row>
    <row r="2259" spans="1:4" x14ac:dyDescent="0.25">
      <c r="A2259" s="1">
        <v>41706</v>
      </c>
      <c r="B2259">
        <v>1</v>
      </c>
      <c r="C2259">
        <v>2</v>
      </c>
      <c r="D2259">
        <v>49</v>
      </c>
    </row>
    <row r="2260" spans="1:4" x14ac:dyDescent="0.25">
      <c r="A2260" s="1">
        <v>41707</v>
      </c>
      <c r="B2260">
        <v>1</v>
      </c>
      <c r="C2260">
        <v>2</v>
      </c>
      <c r="D2260">
        <v>57</v>
      </c>
    </row>
    <row r="2261" spans="1:4" x14ac:dyDescent="0.25">
      <c r="A2261" s="1">
        <v>41708</v>
      </c>
      <c r="B2261">
        <v>1</v>
      </c>
      <c r="C2261">
        <v>2</v>
      </c>
      <c r="D2261">
        <v>44</v>
      </c>
    </row>
    <row r="2262" spans="1:4" x14ac:dyDescent="0.25">
      <c r="A2262" s="1">
        <v>41709</v>
      </c>
      <c r="B2262">
        <v>1</v>
      </c>
      <c r="C2262">
        <v>2</v>
      </c>
      <c r="D2262">
        <v>36</v>
      </c>
    </row>
    <row r="2263" spans="1:4" x14ac:dyDescent="0.25">
      <c r="A2263" s="1">
        <v>41710</v>
      </c>
      <c r="B2263">
        <v>1</v>
      </c>
      <c r="C2263">
        <v>2</v>
      </c>
      <c r="D2263">
        <v>42</v>
      </c>
    </row>
    <row r="2264" spans="1:4" x14ac:dyDescent="0.25">
      <c r="A2264" s="1">
        <v>41711</v>
      </c>
      <c r="B2264">
        <v>1</v>
      </c>
      <c r="C2264">
        <v>2</v>
      </c>
      <c r="D2264">
        <v>43</v>
      </c>
    </row>
    <row r="2265" spans="1:4" x14ac:dyDescent="0.25">
      <c r="A2265" s="1">
        <v>41712</v>
      </c>
      <c r="B2265">
        <v>1</v>
      </c>
      <c r="C2265">
        <v>2</v>
      </c>
      <c r="D2265">
        <v>52</v>
      </c>
    </row>
    <row r="2266" spans="1:4" x14ac:dyDescent="0.25">
      <c r="A2266" s="1">
        <v>41713</v>
      </c>
      <c r="B2266">
        <v>1</v>
      </c>
      <c r="C2266">
        <v>2</v>
      </c>
      <c r="D2266">
        <v>55</v>
      </c>
    </row>
    <row r="2267" spans="1:4" x14ac:dyDescent="0.25">
      <c r="A2267" s="1">
        <v>41714</v>
      </c>
      <c r="B2267">
        <v>1</v>
      </c>
      <c r="C2267">
        <v>2</v>
      </c>
      <c r="D2267">
        <v>53</v>
      </c>
    </row>
    <row r="2268" spans="1:4" x14ac:dyDescent="0.25">
      <c r="A2268" s="1">
        <v>41715</v>
      </c>
      <c r="B2268">
        <v>1</v>
      </c>
      <c r="C2268">
        <v>2</v>
      </c>
      <c r="D2268">
        <v>33</v>
      </c>
    </row>
    <row r="2269" spans="1:4" x14ac:dyDescent="0.25">
      <c r="A2269" s="1">
        <v>41716</v>
      </c>
      <c r="B2269">
        <v>1</v>
      </c>
      <c r="C2269">
        <v>2</v>
      </c>
      <c r="D2269">
        <v>47</v>
      </c>
    </row>
    <row r="2270" spans="1:4" x14ac:dyDescent="0.25">
      <c r="A2270" s="1">
        <v>41717</v>
      </c>
      <c r="B2270">
        <v>1</v>
      </c>
      <c r="C2270">
        <v>2</v>
      </c>
      <c r="D2270">
        <v>47</v>
      </c>
    </row>
    <row r="2271" spans="1:4" x14ac:dyDescent="0.25">
      <c r="A2271" s="1">
        <v>41718</v>
      </c>
      <c r="B2271">
        <v>1</v>
      </c>
      <c r="C2271">
        <v>2</v>
      </c>
      <c r="D2271">
        <v>36</v>
      </c>
    </row>
    <row r="2272" spans="1:4" x14ac:dyDescent="0.25">
      <c r="A2272" s="1">
        <v>41719</v>
      </c>
      <c r="B2272">
        <v>1</v>
      </c>
      <c r="C2272">
        <v>2</v>
      </c>
      <c r="D2272">
        <v>50</v>
      </c>
    </row>
    <row r="2273" spans="1:4" x14ac:dyDescent="0.25">
      <c r="A2273" s="1">
        <v>41720</v>
      </c>
      <c r="B2273">
        <v>1</v>
      </c>
      <c r="C2273">
        <v>2</v>
      </c>
      <c r="D2273">
        <v>46</v>
      </c>
    </row>
    <row r="2274" spans="1:4" x14ac:dyDescent="0.25">
      <c r="A2274" s="1">
        <v>41721</v>
      </c>
      <c r="B2274">
        <v>1</v>
      </c>
      <c r="C2274">
        <v>2</v>
      </c>
      <c r="D2274">
        <v>44</v>
      </c>
    </row>
    <row r="2275" spans="1:4" x14ac:dyDescent="0.25">
      <c r="A2275" s="1">
        <v>41722</v>
      </c>
      <c r="B2275">
        <v>1</v>
      </c>
      <c r="C2275">
        <v>2</v>
      </c>
      <c r="D2275">
        <v>28</v>
      </c>
    </row>
    <row r="2276" spans="1:4" x14ac:dyDescent="0.25">
      <c r="A2276" s="1">
        <v>41723</v>
      </c>
      <c r="B2276">
        <v>1</v>
      </c>
      <c r="C2276">
        <v>2</v>
      </c>
      <c r="D2276">
        <v>38</v>
      </c>
    </row>
    <row r="2277" spans="1:4" x14ac:dyDescent="0.25">
      <c r="A2277" s="1">
        <v>41724</v>
      </c>
      <c r="B2277">
        <v>1</v>
      </c>
      <c r="C2277">
        <v>2</v>
      </c>
      <c r="D2277">
        <v>44</v>
      </c>
    </row>
    <row r="2278" spans="1:4" x14ac:dyDescent="0.25">
      <c r="A2278" s="1">
        <v>41725</v>
      </c>
      <c r="B2278">
        <v>1</v>
      </c>
      <c r="C2278">
        <v>2</v>
      </c>
      <c r="D2278">
        <v>41</v>
      </c>
    </row>
    <row r="2279" spans="1:4" x14ac:dyDescent="0.25">
      <c r="A2279" s="1">
        <v>41726</v>
      </c>
      <c r="B2279">
        <v>1</v>
      </c>
      <c r="C2279">
        <v>2</v>
      </c>
      <c r="D2279">
        <v>43</v>
      </c>
    </row>
    <row r="2280" spans="1:4" x14ac:dyDescent="0.25">
      <c r="A2280" s="1">
        <v>41727</v>
      </c>
      <c r="B2280">
        <v>1</v>
      </c>
      <c r="C2280">
        <v>2</v>
      </c>
      <c r="D2280">
        <v>49</v>
      </c>
    </row>
    <row r="2281" spans="1:4" x14ac:dyDescent="0.25">
      <c r="A2281" s="1">
        <v>41728</v>
      </c>
      <c r="B2281">
        <v>1</v>
      </c>
      <c r="C2281">
        <v>2</v>
      </c>
      <c r="D2281">
        <v>70</v>
      </c>
    </row>
    <row r="2282" spans="1:4" x14ac:dyDescent="0.25">
      <c r="A2282" s="1">
        <v>41729</v>
      </c>
      <c r="B2282">
        <v>1</v>
      </c>
      <c r="C2282">
        <v>2</v>
      </c>
      <c r="D2282">
        <v>43</v>
      </c>
    </row>
    <row r="2283" spans="1:4" x14ac:dyDescent="0.25">
      <c r="A2283" s="1">
        <v>41730</v>
      </c>
      <c r="B2283">
        <v>1</v>
      </c>
      <c r="C2283">
        <v>2</v>
      </c>
      <c r="D2283">
        <v>51</v>
      </c>
    </row>
    <row r="2284" spans="1:4" x14ac:dyDescent="0.25">
      <c r="A2284" s="1">
        <v>41731</v>
      </c>
      <c r="B2284">
        <v>1</v>
      </c>
      <c r="C2284">
        <v>2</v>
      </c>
      <c r="D2284">
        <v>48</v>
      </c>
    </row>
    <row r="2285" spans="1:4" x14ac:dyDescent="0.25">
      <c r="A2285" s="1">
        <v>41732</v>
      </c>
      <c r="B2285">
        <v>1</v>
      </c>
      <c r="C2285">
        <v>2</v>
      </c>
      <c r="D2285">
        <v>48</v>
      </c>
    </row>
    <row r="2286" spans="1:4" x14ac:dyDescent="0.25">
      <c r="A2286" s="1">
        <v>41733</v>
      </c>
      <c r="B2286">
        <v>1</v>
      </c>
      <c r="C2286">
        <v>2</v>
      </c>
      <c r="D2286">
        <v>65</v>
      </c>
    </row>
    <row r="2287" spans="1:4" x14ac:dyDescent="0.25">
      <c r="A2287" s="1">
        <v>41734</v>
      </c>
      <c r="B2287">
        <v>1</v>
      </c>
      <c r="C2287">
        <v>2</v>
      </c>
      <c r="D2287">
        <v>47</v>
      </c>
    </row>
    <row r="2288" spans="1:4" x14ac:dyDescent="0.25">
      <c r="A2288" s="1">
        <v>41735</v>
      </c>
      <c r="B2288">
        <v>1</v>
      </c>
      <c r="C2288">
        <v>2</v>
      </c>
      <c r="D2288">
        <v>74</v>
      </c>
    </row>
    <row r="2289" spans="1:4" x14ac:dyDescent="0.25">
      <c r="A2289" s="1">
        <v>41736</v>
      </c>
      <c r="B2289">
        <v>1</v>
      </c>
      <c r="C2289">
        <v>2</v>
      </c>
      <c r="D2289">
        <v>30</v>
      </c>
    </row>
    <row r="2290" spans="1:4" x14ac:dyDescent="0.25">
      <c r="A2290" s="1">
        <v>41737</v>
      </c>
      <c r="B2290">
        <v>1</v>
      </c>
      <c r="C2290">
        <v>2</v>
      </c>
      <c r="D2290">
        <v>61</v>
      </c>
    </row>
    <row r="2291" spans="1:4" x14ac:dyDescent="0.25">
      <c r="A2291" s="1">
        <v>41738</v>
      </c>
      <c r="B2291">
        <v>1</v>
      </c>
      <c r="C2291">
        <v>2</v>
      </c>
      <c r="D2291">
        <v>45</v>
      </c>
    </row>
    <row r="2292" spans="1:4" x14ac:dyDescent="0.25">
      <c r="A2292" s="1">
        <v>41739</v>
      </c>
      <c r="B2292">
        <v>1</v>
      </c>
      <c r="C2292">
        <v>2</v>
      </c>
      <c r="D2292">
        <v>60</v>
      </c>
    </row>
    <row r="2293" spans="1:4" x14ac:dyDescent="0.25">
      <c r="A2293" s="1">
        <v>41740</v>
      </c>
      <c r="B2293">
        <v>1</v>
      </c>
      <c r="C2293">
        <v>2</v>
      </c>
      <c r="D2293">
        <v>68</v>
      </c>
    </row>
    <row r="2294" spans="1:4" x14ac:dyDescent="0.25">
      <c r="A2294" s="1">
        <v>41741</v>
      </c>
      <c r="B2294">
        <v>1</v>
      </c>
      <c r="C2294">
        <v>2</v>
      </c>
      <c r="D2294">
        <v>73</v>
      </c>
    </row>
    <row r="2295" spans="1:4" x14ac:dyDescent="0.25">
      <c r="A2295" s="1">
        <v>41742</v>
      </c>
      <c r="B2295">
        <v>1</v>
      </c>
      <c r="C2295">
        <v>2</v>
      </c>
      <c r="D2295">
        <v>73</v>
      </c>
    </row>
    <row r="2296" spans="1:4" x14ac:dyDescent="0.25">
      <c r="A2296" s="1">
        <v>41743</v>
      </c>
      <c r="B2296">
        <v>1</v>
      </c>
      <c r="C2296">
        <v>2</v>
      </c>
      <c r="D2296">
        <v>47</v>
      </c>
    </row>
    <row r="2297" spans="1:4" x14ac:dyDescent="0.25">
      <c r="A2297" s="1">
        <v>41744</v>
      </c>
      <c r="B2297">
        <v>1</v>
      </c>
      <c r="C2297">
        <v>2</v>
      </c>
      <c r="D2297">
        <v>42</v>
      </c>
    </row>
    <row r="2298" spans="1:4" x14ac:dyDescent="0.25">
      <c r="A2298" s="1">
        <v>41745</v>
      </c>
      <c r="B2298">
        <v>1</v>
      </c>
      <c r="C2298">
        <v>2</v>
      </c>
      <c r="D2298">
        <v>52</v>
      </c>
    </row>
    <row r="2299" spans="1:4" x14ac:dyDescent="0.25">
      <c r="A2299" s="1">
        <v>41746</v>
      </c>
      <c r="B2299">
        <v>1</v>
      </c>
      <c r="C2299">
        <v>2</v>
      </c>
      <c r="D2299">
        <v>41</v>
      </c>
    </row>
    <row r="2300" spans="1:4" x14ac:dyDescent="0.25">
      <c r="A2300" s="1">
        <v>41747</v>
      </c>
      <c r="B2300">
        <v>1</v>
      </c>
      <c r="C2300">
        <v>2</v>
      </c>
      <c r="D2300">
        <v>50</v>
      </c>
    </row>
    <row r="2301" spans="1:4" x14ac:dyDescent="0.25">
      <c r="A2301" s="1">
        <v>41748</v>
      </c>
      <c r="B2301">
        <v>1</v>
      </c>
      <c r="C2301">
        <v>2</v>
      </c>
      <c r="D2301">
        <v>63</v>
      </c>
    </row>
    <row r="2302" spans="1:4" x14ac:dyDescent="0.25">
      <c r="A2302" s="1">
        <v>41749</v>
      </c>
      <c r="B2302">
        <v>1</v>
      </c>
      <c r="C2302">
        <v>2</v>
      </c>
      <c r="D2302">
        <v>87</v>
      </c>
    </row>
    <row r="2303" spans="1:4" x14ac:dyDescent="0.25">
      <c r="A2303" s="1">
        <v>41750</v>
      </c>
      <c r="B2303">
        <v>1</v>
      </c>
      <c r="C2303">
        <v>2</v>
      </c>
      <c r="D2303">
        <v>36</v>
      </c>
    </row>
    <row r="2304" spans="1:4" x14ac:dyDescent="0.25">
      <c r="A2304" s="1">
        <v>41751</v>
      </c>
      <c r="B2304">
        <v>1</v>
      </c>
      <c r="C2304">
        <v>2</v>
      </c>
      <c r="D2304">
        <v>59</v>
      </c>
    </row>
    <row r="2305" spans="1:4" x14ac:dyDescent="0.25">
      <c r="A2305" s="1">
        <v>41752</v>
      </c>
      <c r="B2305">
        <v>1</v>
      </c>
      <c r="C2305">
        <v>2</v>
      </c>
      <c r="D2305">
        <v>59</v>
      </c>
    </row>
    <row r="2306" spans="1:4" x14ac:dyDescent="0.25">
      <c r="A2306" s="1">
        <v>41753</v>
      </c>
      <c r="B2306">
        <v>1</v>
      </c>
      <c r="C2306">
        <v>2</v>
      </c>
      <c r="D2306">
        <v>46</v>
      </c>
    </row>
    <row r="2307" spans="1:4" x14ac:dyDescent="0.25">
      <c r="A2307" s="1">
        <v>41754</v>
      </c>
      <c r="B2307">
        <v>1</v>
      </c>
      <c r="C2307">
        <v>2</v>
      </c>
      <c r="D2307">
        <v>67</v>
      </c>
    </row>
    <row r="2308" spans="1:4" x14ac:dyDescent="0.25">
      <c r="A2308" s="1">
        <v>41755</v>
      </c>
      <c r="B2308">
        <v>1</v>
      </c>
      <c r="C2308">
        <v>2</v>
      </c>
      <c r="D2308">
        <v>61</v>
      </c>
    </row>
    <row r="2309" spans="1:4" x14ac:dyDescent="0.25">
      <c r="A2309" s="1">
        <v>41756</v>
      </c>
      <c r="B2309">
        <v>1</v>
      </c>
      <c r="C2309">
        <v>2</v>
      </c>
      <c r="D2309">
        <v>69</v>
      </c>
    </row>
    <row r="2310" spans="1:4" x14ac:dyDescent="0.25">
      <c r="A2310" s="1">
        <v>41757</v>
      </c>
      <c r="B2310">
        <v>1</v>
      </c>
      <c r="C2310">
        <v>2</v>
      </c>
      <c r="D2310">
        <v>29</v>
      </c>
    </row>
    <row r="2311" spans="1:4" x14ac:dyDescent="0.25">
      <c r="A2311" s="1">
        <v>41758</v>
      </c>
      <c r="B2311">
        <v>1</v>
      </c>
      <c r="C2311">
        <v>2</v>
      </c>
      <c r="D2311">
        <v>48</v>
      </c>
    </row>
    <row r="2312" spans="1:4" x14ac:dyDescent="0.25">
      <c r="A2312" s="1">
        <v>41759</v>
      </c>
      <c r="B2312">
        <v>1</v>
      </c>
      <c r="C2312">
        <v>2</v>
      </c>
      <c r="D2312">
        <v>46</v>
      </c>
    </row>
    <row r="2313" spans="1:4" x14ac:dyDescent="0.25">
      <c r="A2313" s="1">
        <v>41760</v>
      </c>
      <c r="B2313">
        <v>1</v>
      </c>
      <c r="C2313">
        <v>2</v>
      </c>
      <c r="D2313">
        <v>46</v>
      </c>
    </row>
    <row r="2314" spans="1:4" x14ac:dyDescent="0.25">
      <c r="A2314" s="1">
        <v>41761</v>
      </c>
      <c r="B2314">
        <v>1</v>
      </c>
      <c r="C2314">
        <v>2</v>
      </c>
      <c r="D2314">
        <v>74</v>
      </c>
    </row>
    <row r="2315" spans="1:4" x14ac:dyDescent="0.25">
      <c r="A2315" s="1">
        <v>41762</v>
      </c>
      <c r="B2315">
        <v>1</v>
      </c>
      <c r="C2315">
        <v>2</v>
      </c>
      <c r="D2315">
        <v>65</v>
      </c>
    </row>
    <row r="2316" spans="1:4" x14ac:dyDescent="0.25">
      <c r="A2316" s="1">
        <v>41763</v>
      </c>
      <c r="B2316">
        <v>1</v>
      </c>
      <c r="C2316">
        <v>2</v>
      </c>
      <c r="D2316">
        <v>82</v>
      </c>
    </row>
    <row r="2317" spans="1:4" x14ac:dyDescent="0.25">
      <c r="A2317" s="1">
        <v>41764</v>
      </c>
      <c r="B2317">
        <v>1</v>
      </c>
      <c r="C2317">
        <v>2</v>
      </c>
      <c r="D2317">
        <v>39</v>
      </c>
    </row>
    <row r="2318" spans="1:4" x14ac:dyDescent="0.25">
      <c r="A2318" s="1">
        <v>41765</v>
      </c>
      <c r="B2318">
        <v>1</v>
      </c>
      <c r="C2318">
        <v>2</v>
      </c>
      <c r="D2318">
        <v>63</v>
      </c>
    </row>
    <row r="2319" spans="1:4" x14ac:dyDescent="0.25">
      <c r="A2319" s="1">
        <v>41766</v>
      </c>
      <c r="B2319">
        <v>1</v>
      </c>
      <c r="C2319">
        <v>2</v>
      </c>
      <c r="D2319">
        <v>61</v>
      </c>
    </row>
    <row r="2320" spans="1:4" x14ac:dyDescent="0.25">
      <c r="A2320" s="1">
        <v>41767</v>
      </c>
      <c r="B2320">
        <v>1</v>
      </c>
      <c r="C2320">
        <v>2</v>
      </c>
      <c r="D2320">
        <v>60</v>
      </c>
    </row>
    <row r="2321" spans="1:4" x14ac:dyDescent="0.25">
      <c r="A2321" s="1">
        <v>41768</v>
      </c>
      <c r="B2321">
        <v>1</v>
      </c>
      <c r="C2321">
        <v>2</v>
      </c>
      <c r="D2321">
        <v>66</v>
      </c>
    </row>
    <row r="2322" spans="1:4" x14ac:dyDescent="0.25">
      <c r="A2322" s="1">
        <v>41769</v>
      </c>
      <c r="B2322">
        <v>1</v>
      </c>
      <c r="C2322">
        <v>2</v>
      </c>
      <c r="D2322">
        <v>67</v>
      </c>
    </row>
    <row r="2323" spans="1:4" x14ac:dyDescent="0.25">
      <c r="A2323" s="1">
        <v>41770</v>
      </c>
      <c r="B2323">
        <v>1</v>
      </c>
      <c r="C2323">
        <v>2</v>
      </c>
      <c r="D2323">
        <v>78</v>
      </c>
    </row>
    <row r="2324" spans="1:4" x14ac:dyDescent="0.25">
      <c r="A2324" s="1">
        <v>41771</v>
      </c>
      <c r="B2324">
        <v>1</v>
      </c>
      <c r="C2324">
        <v>2</v>
      </c>
      <c r="D2324">
        <v>47</v>
      </c>
    </row>
    <row r="2325" spans="1:4" x14ac:dyDescent="0.25">
      <c r="A2325" s="1">
        <v>41772</v>
      </c>
      <c r="B2325">
        <v>1</v>
      </c>
      <c r="C2325">
        <v>2</v>
      </c>
      <c r="D2325">
        <v>53</v>
      </c>
    </row>
    <row r="2326" spans="1:4" x14ac:dyDescent="0.25">
      <c r="A2326" s="1">
        <v>41773</v>
      </c>
      <c r="B2326">
        <v>1</v>
      </c>
      <c r="C2326">
        <v>2</v>
      </c>
      <c r="D2326">
        <v>52</v>
      </c>
    </row>
    <row r="2327" spans="1:4" x14ac:dyDescent="0.25">
      <c r="A2327" s="1">
        <v>41774</v>
      </c>
      <c r="B2327">
        <v>1</v>
      </c>
      <c r="C2327">
        <v>2</v>
      </c>
      <c r="D2327">
        <v>50</v>
      </c>
    </row>
    <row r="2328" spans="1:4" x14ac:dyDescent="0.25">
      <c r="A2328" s="1">
        <v>41775</v>
      </c>
      <c r="B2328">
        <v>1</v>
      </c>
      <c r="C2328">
        <v>2</v>
      </c>
      <c r="D2328">
        <v>56</v>
      </c>
    </row>
    <row r="2329" spans="1:4" x14ac:dyDescent="0.25">
      <c r="A2329" s="1">
        <v>41776</v>
      </c>
      <c r="B2329">
        <v>1</v>
      </c>
      <c r="C2329">
        <v>2</v>
      </c>
      <c r="D2329">
        <v>71</v>
      </c>
    </row>
    <row r="2330" spans="1:4" x14ac:dyDescent="0.25">
      <c r="A2330" s="1">
        <v>41777</v>
      </c>
      <c r="B2330">
        <v>1</v>
      </c>
      <c r="C2330">
        <v>2</v>
      </c>
      <c r="D2330">
        <v>77</v>
      </c>
    </row>
    <row r="2331" spans="1:4" x14ac:dyDescent="0.25">
      <c r="A2331" s="1">
        <v>41778</v>
      </c>
      <c r="B2331">
        <v>1</v>
      </c>
      <c r="C2331">
        <v>2</v>
      </c>
      <c r="D2331">
        <v>49</v>
      </c>
    </row>
    <row r="2332" spans="1:4" x14ac:dyDescent="0.25">
      <c r="A2332" s="1">
        <v>41779</v>
      </c>
      <c r="B2332">
        <v>1</v>
      </c>
      <c r="C2332">
        <v>2</v>
      </c>
      <c r="D2332">
        <v>62</v>
      </c>
    </row>
    <row r="2333" spans="1:4" x14ac:dyDescent="0.25">
      <c r="A2333" s="1">
        <v>41780</v>
      </c>
      <c r="B2333">
        <v>1</v>
      </c>
      <c r="C2333">
        <v>2</v>
      </c>
      <c r="D2333">
        <v>55</v>
      </c>
    </row>
    <row r="2334" spans="1:4" x14ac:dyDescent="0.25">
      <c r="A2334" s="1">
        <v>41781</v>
      </c>
      <c r="B2334">
        <v>1</v>
      </c>
      <c r="C2334">
        <v>2</v>
      </c>
      <c r="D2334">
        <v>59</v>
      </c>
    </row>
    <row r="2335" spans="1:4" x14ac:dyDescent="0.25">
      <c r="A2335" s="1">
        <v>41782</v>
      </c>
      <c r="B2335">
        <v>1</v>
      </c>
      <c r="C2335">
        <v>2</v>
      </c>
      <c r="D2335">
        <v>57</v>
      </c>
    </row>
    <row r="2336" spans="1:4" x14ac:dyDescent="0.25">
      <c r="A2336" s="1">
        <v>41783</v>
      </c>
      <c r="B2336">
        <v>1</v>
      </c>
      <c r="C2336">
        <v>2</v>
      </c>
      <c r="D2336">
        <v>61</v>
      </c>
    </row>
    <row r="2337" spans="1:4" x14ac:dyDescent="0.25">
      <c r="A2337" s="1">
        <v>41784</v>
      </c>
      <c r="B2337">
        <v>1</v>
      </c>
      <c r="C2337">
        <v>2</v>
      </c>
      <c r="D2337">
        <v>88</v>
      </c>
    </row>
    <row r="2338" spans="1:4" x14ac:dyDescent="0.25">
      <c r="A2338" s="1">
        <v>41785</v>
      </c>
      <c r="B2338">
        <v>1</v>
      </c>
      <c r="C2338">
        <v>2</v>
      </c>
      <c r="D2338">
        <v>43</v>
      </c>
    </row>
    <row r="2339" spans="1:4" x14ac:dyDescent="0.25">
      <c r="A2339" s="1">
        <v>41786</v>
      </c>
      <c r="B2339">
        <v>1</v>
      </c>
      <c r="C2339">
        <v>2</v>
      </c>
      <c r="D2339">
        <v>51</v>
      </c>
    </row>
    <row r="2340" spans="1:4" x14ac:dyDescent="0.25">
      <c r="A2340" s="1">
        <v>41787</v>
      </c>
      <c r="B2340">
        <v>1</v>
      </c>
      <c r="C2340">
        <v>2</v>
      </c>
      <c r="D2340">
        <v>60</v>
      </c>
    </row>
    <row r="2341" spans="1:4" x14ac:dyDescent="0.25">
      <c r="A2341" s="1">
        <v>41788</v>
      </c>
      <c r="B2341">
        <v>1</v>
      </c>
      <c r="C2341">
        <v>2</v>
      </c>
      <c r="D2341">
        <v>51</v>
      </c>
    </row>
    <row r="2342" spans="1:4" x14ac:dyDescent="0.25">
      <c r="A2342" s="1">
        <v>41789</v>
      </c>
      <c r="B2342">
        <v>1</v>
      </c>
      <c r="C2342">
        <v>2</v>
      </c>
      <c r="D2342">
        <v>67</v>
      </c>
    </row>
    <row r="2343" spans="1:4" x14ac:dyDescent="0.25">
      <c r="A2343" s="1">
        <v>41790</v>
      </c>
      <c r="B2343">
        <v>1</v>
      </c>
      <c r="C2343">
        <v>2</v>
      </c>
      <c r="D2343">
        <v>60</v>
      </c>
    </row>
    <row r="2344" spans="1:4" x14ac:dyDescent="0.25">
      <c r="A2344" s="1">
        <v>41791</v>
      </c>
      <c r="B2344">
        <v>1</v>
      </c>
      <c r="C2344">
        <v>2</v>
      </c>
      <c r="D2344">
        <v>76</v>
      </c>
    </row>
    <row r="2345" spans="1:4" x14ac:dyDescent="0.25">
      <c r="A2345" s="1">
        <v>41792</v>
      </c>
      <c r="B2345">
        <v>1</v>
      </c>
      <c r="C2345">
        <v>2</v>
      </c>
      <c r="D2345">
        <v>48</v>
      </c>
    </row>
    <row r="2346" spans="1:4" x14ac:dyDescent="0.25">
      <c r="A2346" s="1">
        <v>41793</v>
      </c>
      <c r="B2346">
        <v>1</v>
      </c>
      <c r="C2346">
        <v>2</v>
      </c>
      <c r="D2346">
        <v>53</v>
      </c>
    </row>
    <row r="2347" spans="1:4" x14ac:dyDescent="0.25">
      <c r="A2347" s="1">
        <v>41794</v>
      </c>
      <c r="B2347">
        <v>1</v>
      </c>
      <c r="C2347">
        <v>2</v>
      </c>
      <c r="D2347">
        <v>63</v>
      </c>
    </row>
    <row r="2348" spans="1:4" x14ac:dyDescent="0.25">
      <c r="A2348" s="1">
        <v>41795</v>
      </c>
      <c r="B2348">
        <v>1</v>
      </c>
      <c r="C2348">
        <v>2</v>
      </c>
      <c r="D2348">
        <v>55</v>
      </c>
    </row>
    <row r="2349" spans="1:4" x14ac:dyDescent="0.25">
      <c r="A2349" s="1">
        <v>41796</v>
      </c>
      <c r="B2349">
        <v>1</v>
      </c>
      <c r="C2349">
        <v>2</v>
      </c>
      <c r="D2349">
        <v>77</v>
      </c>
    </row>
    <row r="2350" spans="1:4" x14ac:dyDescent="0.25">
      <c r="A2350" s="1">
        <v>41797</v>
      </c>
      <c r="B2350">
        <v>1</v>
      </c>
      <c r="C2350">
        <v>2</v>
      </c>
      <c r="D2350">
        <v>62</v>
      </c>
    </row>
    <row r="2351" spans="1:4" x14ac:dyDescent="0.25">
      <c r="A2351" s="1">
        <v>41798</v>
      </c>
      <c r="B2351">
        <v>1</v>
      </c>
      <c r="C2351">
        <v>2</v>
      </c>
      <c r="D2351">
        <v>75</v>
      </c>
    </row>
    <row r="2352" spans="1:4" x14ac:dyDescent="0.25">
      <c r="A2352" s="1">
        <v>41799</v>
      </c>
      <c r="B2352">
        <v>1</v>
      </c>
      <c r="C2352">
        <v>2</v>
      </c>
      <c r="D2352">
        <v>50</v>
      </c>
    </row>
    <row r="2353" spans="1:4" x14ac:dyDescent="0.25">
      <c r="A2353" s="1">
        <v>41800</v>
      </c>
      <c r="B2353">
        <v>1</v>
      </c>
      <c r="C2353">
        <v>2</v>
      </c>
      <c r="D2353">
        <v>57</v>
      </c>
    </row>
    <row r="2354" spans="1:4" x14ac:dyDescent="0.25">
      <c r="A2354" s="1">
        <v>41801</v>
      </c>
      <c r="B2354">
        <v>1</v>
      </c>
      <c r="C2354">
        <v>2</v>
      </c>
      <c r="D2354">
        <v>55</v>
      </c>
    </row>
    <row r="2355" spans="1:4" x14ac:dyDescent="0.25">
      <c r="A2355" s="1">
        <v>41802</v>
      </c>
      <c r="B2355">
        <v>1</v>
      </c>
      <c r="C2355">
        <v>2</v>
      </c>
      <c r="D2355">
        <v>69</v>
      </c>
    </row>
    <row r="2356" spans="1:4" x14ac:dyDescent="0.25">
      <c r="A2356" s="1">
        <v>41803</v>
      </c>
      <c r="B2356">
        <v>1</v>
      </c>
      <c r="C2356">
        <v>2</v>
      </c>
      <c r="D2356">
        <v>69</v>
      </c>
    </row>
    <row r="2357" spans="1:4" x14ac:dyDescent="0.25">
      <c r="A2357" s="1">
        <v>41804</v>
      </c>
      <c r="B2357">
        <v>1</v>
      </c>
      <c r="C2357">
        <v>2</v>
      </c>
      <c r="D2357">
        <v>61</v>
      </c>
    </row>
    <row r="2358" spans="1:4" x14ac:dyDescent="0.25">
      <c r="A2358" s="1">
        <v>41805</v>
      </c>
      <c r="B2358">
        <v>1</v>
      </c>
      <c r="C2358">
        <v>2</v>
      </c>
      <c r="D2358">
        <v>64</v>
      </c>
    </row>
    <row r="2359" spans="1:4" x14ac:dyDescent="0.25">
      <c r="A2359" s="1">
        <v>41806</v>
      </c>
      <c r="B2359">
        <v>1</v>
      </c>
      <c r="C2359">
        <v>2</v>
      </c>
      <c r="D2359">
        <v>48</v>
      </c>
    </row>
    <row r="2360" spans="1:4" x14ac:dyDescent="0.25">
      <c r="A2360" s="1">
        <v>41807</v>
      </c>
      <c r="B2360">
        <v>1</v>
      </c>
      <c r="C2360">
        <v>2</v>
      </c>
      <c r="D2360">
        <v>69</v>
      </c>
    </row>
    <row r="2361" spans="1:4" x14ac:dyDescent="0.25">
      <c r="A2361" s="1">
        <v>41808</v>
      </c>
      <c r="B2361">
        <v>1</v>
      </c>
      <c r="C2361">
        <v>2</v>
      </c>
      <c r="D2361">
        <v>61</v>
      </c>
    </row>
    <row r="2362" spans="1:4" x14ac:dyDescent="0.25">
      <c r="A2362" s="1">
        <v>41809</v>
      </c>
      <c r="B2362">
        <v>1</v>
      </c>
      <c r="C2362">
        <v>2</v>
      </c>
      <c r="D2362">
        <v>48</v>
      </c>
    </row>
    <row r="2363" spans="1:4" x14ac:dyDescent="0.25">
      <c r="A2363" s="1">
        <v>41810</v>
      </c>
      <c r="B2363">
        <v>1</v>
      </c>
      <c r="C2363">
        <v>2</v>
      </c>
      <c r="D2363">
        <v>55</v>
      </c>
    </row>
    <row r="2364" spans="1:4" x14ac:dyDescent="0.25">
      <c r="A2364" s="1">
        <v>41811</v>
      </c>
      <c r="B2364">
        <v>1</v>
      </c>
      <c r="C2364">
        <v>2</v>
      </c>
      <c r="D2364">
        <v>70</v>
      </c>
    </row>
    <row r="2365" spans="1:4" x14ac:dyDescent="0.25">
      <c r="A2365" s="1">
        <v>41812</v>
      </c>
      <c r="B2365">
        <v>1</v>
      </c>
      <c r="C2365">
        <v>2</v>
      </c>
      <c r="D2365">
        <v>59</v>
      </c>
    </row>
    <row r="2366" spans="1:4" x14ac:dyDescent="0.25">
      <c r="A2366" s="1">
        <v>41813</v>
      </c>
      <c r="B2366">
        <v>1</v>
      </c>
      <c r="C2366">
        <v>2</v>
      </c>
      <c r="D2366">
        <v>58</v>
      </c>
    </row>
    <row r="2367" spans="1:4" x14ac:dyDescent="0.25">
      <c r="A2367" s="1">
        <v>41814</v>
      </c>
      <c r="B2367">
        <v>1</v>
      </c>
      <c r="C2367">
        <v>2</v>
      </c>
      <c r="D2367">
        <v>66</v>
      </c>
    </row>
    <row r="2368" spans="1:4" x14ac:dyDescent="0.25">
      <c r="A2368" s="1">
        <v>41815</v>
      </c>
      <c r="B2368">
        <v>1</v>
      </c>
      <c r="C2368">
        <v>2</v>
      </c>
      <c r="D2368">
        <v>58</v>
      </c>
    </row>
    <row r="2369" spans="1:4" x14ac:dyDescent="0.25">
      <c r="A2369" s="1">
        <v>41816</v>
      </c>
      <c r="B2369">
        <v>1</v>
      </c>
      <c r="C2369">
        <v>2</v>
      </c>
      <c r="D2369">
        <v>64</v>
      </c>
    </row>
    <row r="2370" spans="1:4" x14ac:dyDescent="0.25">
      <c r="A2370" s="1">
        <v>41817</v>
      </c>
      <c r="B2370">
        <v>1</v>
      </c>
      <c r="C2370">
        <v>2</v>
      </c>
      <c r="D2370">
        <v>74</v>
      </c>
    </row>
    <row r="2371" spans="1:4" x14ac:dyDescent="0.25">
      <c r="A2371" s="1">
        <v>41818</v>
      </c>
      <c r="B2371">
        <v>1</v>
      </c>
      <c r="C2371">
        <v>2</v>
      </c>
      <c r="D2371">
        <v>70</v>
      </c>
    </row>
    <row r="2372" spans="1:4" x14ac:dyDescent="0.25">
      <c r="A2372" s="1">
        <v>41819</v>
      </c>
      <c r="B2372">
        <v>1</v>
      </c>
      <c r="C2372">
        <v>2</v>
      </c>
      <c r="D2372">
        <v>64</v>
      </c>
    </row>
    <row r="2373" spans="1:4" x14ac:dyDescent="0.25">
      <c r="A2373" s="1">
        <v>41820</v>
      </c>
      <c r="B2373">
        <v>1</v>
      </c>
      <c r="C2373">
        <v>2</v>
      </c>
      <c r="D2373">
        <v>51</v>
      </c>
    </row>
    <row r="2374" spans="1:4" x14ac:dyDescent="0.25">
      <c r="A2374" s="1">
        <v>41821</v>
      </c>
      <c r="B2374">
        <v>1</v>
      </c>
      <c r="C2374">
        <v>2</v>
      </c>
      <c r="D2374">
        <v>61</v>
      </c>
    </row>
    <row r="2375" spans="1:4" x14ac:dyDescent="0.25">
      <c r="A2375" s="1">
        <v>41822</v>
      </c>
      <c r="B2375">
        <v>1</v>
      </c>
      <c r="C2375">
        <v>2</v>
      </c>
      <c r="D2375">
        <v>59</v>
      </c>
    </row>
    <row r="2376" spans="1:4" x14ac:dyDescent="0.25">
      <c r="A2376" s="1">
        <v>41823</v>
      </c>
      <c r="B2376">
        <v>1</v>
      </c>
      <c r="C2376">
        <v>2</v>
      </c>
      <c r="D2376">
        <v>68</v>
      </c>
    </row>
    <row r="2377" spans="1:4" x14ac:dyDescent="0.25">
      <c r="A2377" s="1">
        <v>41824</v>
      </c>
      <c r="B2377">
        <v>1</v>
      </c>
      <c r="C2377">
        <v>2</v>
      </c>
      <c r="D2377">
        <v>56</v>
      </c>
    </row>
    <row r="2378" spans="1:4" x14ac:dyDescent="0.25">
      <c r="A2378" s="1">
        <v>41825</v>
      </c>
      <c r="B2378">
        <v>1</v>
      </c>
      <c r="C2378">
        <v>2</v>
      </c>
      <c r="D2378">
        <v>58</v>
      </c>
    </row>
    <row r="2379" spans="1:4" x14ac:dyDescent="0.25">
      <c r="A2379" s="1">
        <v>41826</v>
      </c>
      <c r="B2379">
        <v>1</v>
      </c>
      <c r="C2379">
        <v>2</v>
      </c>
      <c r="D2379">
        <v>77</v>
      </c>
    </row>
    <row r="2380" spans="1:4" x14ac:dyDescent="0.25">
      <c r="A2380" s="1">
        <v>41827</v>
      </c>
      <c r="B2380">
        <v>1</v>
      </c>
      <c r="C2380">
        <v>2</v>
      </c>
      <c r="D2380">
        <v>38</v>
      </c>
    </row>
    <row r="2381" spans="1:4" x14ac:dyDescent="0.25">
      <c r="A2381" s="1">
        <v>41828</v>
      </c>
      <c r="B2381">
        <v>1</v>
      </c>
      <c r="C2381">
        <v>2</v>
      </c>
      <c r="D2381">
        <v>56</v>
      </c>
    </row>
    <row r="2382" spans="1:4" x14ac:dyDescent="0.25">
      <c r="A2382" s="1">
        <v>41829</v>
      </c>
      <c r="B2382">
        <v>1</v>
      </c>
      <c r="C2382">
        <v>2</v>
      </c>
      <c r="D2382">
        <v>58</v>
      </c>
    </row>
    <row r="2383" spans="1:4" x14ac:dyDescent="0.25">
      <c r="A2383" s="1">
        <v>41830</v>
      </c>
      <c r="B2383">
        <v>1</v>
      </c>
      <c r="C2383">
        <v>2</v>
      </c>
      <c r="D2383">
        <v>55</v>
      </c>
    </row>
    <row r="2384" spans="1:4" x14ac:dyDescent="0.25">
      <c r="A2384" s="1">
        <v>41831</v>
      </c>
      <c r="B2384">
        <v>1</v>
      </c>
      <c r="C2384">
        <v>2</v>
      </c>
      <c r="D2384">
        <v>58</v>
      </c>
    </row>
    <row r="2385" spans="1:4" x14ac:dyDescent="0.25">
      <c r="A2385" s="1">
        <v>41832</v>
      </c>
      <c r="B2385">
        <v>1</v>
      </c>
      <c r="C2385">
        <v>2</v>
      </c>
      <c r="D2385">
        <v>73</v>
      </c>
    </row>
    <row r="2386" spans="1:4" x14ac:dyDescent="0.25">
      <c r="A2386" s="1">
        <v>41833</v>
      </c>
      <c r="B2386">
        <v>1</v>
      </c>
      <c r="C2386">
        <v>2</v>
      </c>
      <c r="D2386">
        <v>102</v>
      </c>
    </row>
    <row r="2387" spans="1:4" x14ac:dyDescent="0.25">
      <c r="A2387" s="1">
        <v>41834</v>
      </c>
      <c r="B2387">
        <v>1</v>
      </c>
      <c r="C2387">
        <v>2</v>
      </c>
      <c r="D2387">
        <v>52</v>
      </c>
    </row>
    <row r="2388" spans="1:4" x14ac:dyDescent="0.25">
      <c r="A2388" s="1">
        <v>41835</v>
      </c>
      <c r="B2388">
        <v>1</v>
      </c>
      <c r="C2388">
        <v>2</v>
      </c>
      <c r="D2388">
        <v>61</v>
      </c>
    </row>
    <row r="2389" spans="1:4" x14ac:dyDescent="0.25">
      <c r="A2389" s="1">
        <v>41836</v>
      </c>
      <c r="B2389">
        <v>1</v>
      </c>
      <c r="C2389">
        <v>2</v>
      </c>
      <c r="D2389">
        <v>53</v>
      </c>
    </row>
    <row r="2390" spans="1:4" x14ac:dyDescent="0.25">
      <c r="A2390" s="1">
        <v>41837</v>
      </c>
      <c r="B2390">
        <v>1</v>
      </c>
      <c r="C2390">
        <v>2</v>
      </c>
      <c r="D2390">
        <v>73</v>
      </c>
    </row>
    <row r="2391" spans="1:4" x14ac:dyDescent="0.25">
      <c r="A2391" s="1">
        <v>41838</v>
      </c>
      <c r="B2391">
        <v>1</v>
      </c>
      <c r="C2391">
        <v>2</v>
      </c>
      <c r="D2391">
        <v>71</v>
      </c>
    </row>
    <row r="2392" spans="1:4" x14ac:dyDescent="0.25">
      <c r="A2392" s="1">
        <v>41839</v>
      </c>
      <c r="B2392">
        <v>1</v>
      </c>
      <c r="C2392">
        <v>2</v>
      </c>
      <c r="D2392">
        <v>72</v>
      </c>
    </row>
    <row r="2393" spans="1:4" x14ac:dyDescent="0.25">
      <c r="A2393" s="1">
        <v>41840</v>
      </c>
      <c r="B2393">
        <v>1</v>
      </c>
      <c r="C2393">
        <v>2</v>
      </c>
      <c r="D2393">
        <v>75</v>
      </c>
    </row>
    <row r="2394" spans="1:4" x14ac:dyDescent="0.25">
      <c r="A2394" s="1">
        <v>41841</v>
      </c>
      <c r="B2394">
        <v>1</v>
      </c>
      <c r="C2394">
        <v>2</v>
      </c>
      <c r="D2394">
        <v>70</v>
      </c>
    </row>
    <row r="2395" spans="1:4" x14ac:dyDescent="0.25">
      <c r="A2395" s="1">
        <v>41842</v>
      </c>
      <c r="B2395">
        <v>1</v>
      </c>
      <c r="C2395">
        <v>2</v>
      </c>
      <c r="D2395">
        <v>71</v>
      </c>
    </row>
    <row r="2396" spans="1:4" x14ac:dyDescent="0.25">
      <c r="A2396" s="1">
        <v>41843</v>
      </c>
      <c r="B2396">
        <v>1</v>
      </c>
      <c r="C2396">
        <v>2</v>
      </c>
      <c r="D2396">
        <v>66</v>
      </c>
    </row>
    <row r="2397" spans="1:4" x14ac:dyDescent="0.25">
      <c r="A2397" s="1">
        <v>41844</v>
      </c>
      <c r="B2397">
        <v>1</v>
      </c>
      <c r="C2397">
        <v>2</v>
      </c>
      <c r="D2397">
        <v>65</v>
      </c>
    </row>
    <row r="2398" spans="1:4" x14ac:dyDescent="0.25">
      <c r="A2398" s="1">
        <v>41845</v>
      </c>
      <c r="B2398">
        <v>1</v>
      </c>
      <c r="C2398">
        <v>2</v>
      </c>
      <c r="D2398">
        <v>74</v>
      </c>
    </row>
    <row r="2399" spans="1:4" x14ac:dyDescent="0.25">
      <c r="A2399" s="1">
        <v>41846</v>
      </c>
      <c r="B2399">
        <v>1</v>
      </c>
      <c r="C2399">
        <v>2</v>
      </c>
      <c r="D2399">
        <v>73</v>
      </c>
    </row>
    <row r="2400" spans="1:4" x14ac:dyDescent="0.25">
      <c r="A2400" s="1">
        <v>41847</v>
      </c>
      <c r="B2400">
        <v>1</v>
      </c>
      <c r="C2400">
        <v>2</v>
      </c>
      <c r="D2400">
        <v>92</v>
      </c>
    </row>
    <row r="2401" spans="1:4" x14ac:dyDescent="0.25">
      <c r="A2401" s="1">
        <v>41848</v>
      </c>
      <c r="B2401">
        <v>1</v>
      </c>
      <c r="C2401">
        <v>2</v>
      </c>
      <c r="D2401">
        <v>48</v>
      </c>
    </row>
    <row r="2402" spans="1:4" x14ac:dyDescent="0.25">
      <c r="A2402" s="1">
        <v>41849</v>
      </c>
      <c r="B2402">
        <v>1</v>
      </c>
      <c r="C2402">
        <v>2</v>
      </c>
      <c r="D2402">
        <v>71</v>
      </c>
    </row>
    <row r="2403" spans="1:4" x14ac:dyDescent="0.25">
      <c r="A2403" s="1">
        <v>41850</v>
      </c>
      <c r="B2403">
        <v>1</v>
      </c>
      <c r="C2403">
        <v>2</v>
      </c>
      <c r="D2403">
        <v>64</v>
      </c>
    </row>
    <row r="2404" spans="1:4" x14ac:dyDescent="0.25">
      <c r="A2404" s="1">
        <v>41851</v>
      </c>
      <c r="B2404">
        <v>1</v>
      </c>
      <c r="C2404">
        <v>2</v>
      </c>
      <c r="D2404">
        <v>69</v>
      </c>
    </row>
    <row r="2405" spans="1:4" x14ac:dyDescent="0.25">
      <c r="A2405" s="1">
        <v>41852</v>
      </c>
      <c r="B2405">
        <v>1</v>
      </c>
      <c r="C2405">
        <v>2</v>
      </c>
      <c r="D2405">
        <v>66</v>
      </c>
    </row>
    <row r="2406" spans="1:4" x14ac:dyDescent="0.25">
      <c r="A2406" s="1">
        <v>41853</v>
      </c>
      <c r="B2406">
        <v>1</v>
      </c>
      <c r="C2406">
        <v>2</v>
      </c>
      <c r="D2406">
        <v>71</v>
      </c>
    </row>
    <row r="2407" spans="1:4" x14ac:dyDescent="0.25">
      <c r="A2407" s="1">
        <v>41854</v>
      </c>
      <c r="B2407">
        <v>1</v>
      </c>
      <c r="C2407">
        <v>2</v>
      </c>
      <c r="D2407">
        <v>86</v>
      </c>
    </row>
    <row r="2408" spans="1:4" x14ac:dyDescent="0.25">
      <c r="A2408" s="1">
        <v>41855</v>
      </c>
      <c r="B2408">
        <v>1</v>
      </c>
      <c r="C2408">
        <v>2</v>
      </c>
      <c r="D2408">
        <v>50</v>
      </c>
    </row>
    <row r="2409" spans="1:4" x14ac:dyDescent="0.25">
      <c r="A2409" s="1">
        <v>41856</v>
      </c>
      <c r="B2409">
        <v>1</v>
      </c>
      <c r="C2409">
        <v>2</v>
      </c>
      <c r="D2409">
        <v>48</v>
      </c>
    </row>
    <row r="2410" spans="1:4" x14ac:dyDescent="0.25">
      <c r="A2410" s="1">
        <v>41857</v>
      </c>
      <c r="B2410">
        <v>1</v>
      </c>
      <c r="C2410">
        <v>2</v>
      </c>
      <c r="D2410">
        <v>48</v>
      </c>
    </row>
    <row r="2411" spans="1:4" x14ac:dyDescent="0.25">
      <c r="A2411" s="1">
        <v>41858</v>
      </c>
      <c r="B2411">
        <v>1</v>
      </c>
      <c r="C2411">
        <v>2</v>
      </c>
      <c r="D2411">
        <v>63</v>
      </c>
    </row>
    <row r="2412" spans="1:4" x14ac:dyDescent="0.25">
      <c r="A2412" s="1">
        <v>41859</v>
      </c>
      <c r="B2412">
        <v>1</v>
      </c>
      <c r="C2412">
        <v>2</v>
      </c>
      <c r="D2412">
        <v>49</v>
      </c>
    </row>
    <row r="2413" spans="1:4" x14ac:dyDescent="0.25">
      <c r="A2413" s="1">
        <v>41860</v>
      </c>
      <c r="B2413">
        <v>1</v>
      </c>
      <c r="C2413">
        <v>2</v>
      </c>
      <c r="D2413">
        <v>63</v>
      </c>
    </row>
    <row r="2414" spans="1:4" x14ac:dyDescent="0.25">
      <c r="A2414" s="1">
        <v>41861</v>
      </c>
      <c r="B2414">
        <v>1</v>
      </c>
      <c r="C2414">
        <v>2</v>
      </c>
      <c r="D2414">
        <v>64</v>
      </c>
    </row>
    <row r="2415" spans="1:4" x14ac:dyDescent="0.25">
      <c r="A2415" s="1">
        <v>41862</v>
      </c>
      <c r="B2415">
        <v>1</v>
      </c>
      <c r="C2415">
        <v>2</v>
      </c>
      <c r="D2415">
        <v>56</v>
      </c>
    </row>
    <row r="2416" spans="1:4" x14ac:dyDescent="0.25">
      <c r="A2416" s="1">
        <v>41863</v>
      </c>
      <c r="B2416">
        <v>1</v>
      </c>
      <c r="C2416">
        <v>2</v>
      </c>
      <c r="D2416">
        <v>57</v>
      </c>
    </row>
    <row r="2417" spans="1:4" x14ac:dyDescent="0.25">
      <c r="A2417" s="1">
        <v>41864</v>
      </c>
      <c r="B2417">
        <v>1</v>
      </c>
      <c r="C2417">
        <v>2</v>
      </c>
      <c r="D2417">
        <v>47</v>
      </c>
    </row>
    <row r="2418" spans="1:4" x14ac:dyDescent="0.25">
      <c r="A2418" s="1">
        <v>41865</v>
      </c>
      <c r="B2418">
        <v>1</v>
      </c>
      <c r="C2418">
        <v>2</v>
      </c>
      <c r="D2418">
        <v>47</v>
      </c>
    </row>
    <row r="2419" spans="1:4" x14ac:dyDescent="0.25">
      <c r="A2419" s="1">
        <v>41866</v>
      </c>
      <c r="B2419">
        <v>1</v>
      </c>
      <c r="C2419">
        <v>2</v>
      </c>
      <c r="D2419">
        <v>62</v>
      </c>
    </row>
    <row r="2420" spans="1:4" x14ac:dyDescent="0.25">
      <c r="A2420" s="1">
        <v>41867</v>
      </c>
      <c r="B2420">
        <v>1</v>
      </c>
      <c r="C2420">
        <v>2</v>
      </c>
      <c r="D2420">
        <v>52</v>
      </c>
    </row>
    <row r="2421" spans="1:4" x14ac:dyDescent="0.25">
      <c r="A2421" s="1">
        <v>41868</v>
      </c>
      <c r="B2421">
        <v>1</v>
      </c>
      <c r="C2421">
        <v>2</v>
      </c>
      <c r="D2421">
        <v>57</v>
      </c>
    </row>
    <row r="2422" spans="1:4" x14ac:dyDescent="0.25">
      <c r="A2422" s="1">
        <v>41869</v>
      </c>
      <c r="B2422">
        <v>1</v>
      </c>
      <c r="C2422">
        <v>2</v>
      </c>
      <c r="D2422">
        <v>53</v>
      </c>
    </row>
    <row r="2423" spans="1:4" x14ac:dyDescent="0.25">
      <c r="A2423" s="1">
        <v>41870</v>
      </c>
      <c r="B2423">
        <v>1</v>
      </c>
      <c r="C2423">
        <v>2</v>
      </c>
      <c r="D2423">
        <v>56</v>
      </c>
    </row>
    <row r="2424" spans="1:4" x14ac:dyDescent="0.25">
      <c r="A2424" s="1">
        <v>41871</v>
      </c>
      <c r="B2424">
        <v>1</v>
      </c>
      <c r="C2424">
        <v>2</v>
      </c>
      <c r="D2424">
        <v>51</v>
      </c>
    </row>
    <row r="2425" spans="1:4" x14ac:dyDescent="0.25">
      <c r="A2425" s="1">
        <v>41872</v>
      </c>
      <c r="B2425">
        <v>1</v>
      </c>
      <c r="C2425">
        <v>2</v>
      </c>
      <c r="D2425">
        <v>55</v>
      </c>
    </row>
    <row r="2426" spans="1:4" x14ac:dyDescent="0.25">
      <c r="A2426" s="1">
        <v>41873</v>
      </c>
      <c r="B2426">
        <v>1</v>
      </c>
      <c r="C2426">
        <v>2</v>
      </c>
      <c r="D2426">
        <v>63</v>
      </c>
    </row>
    <row r="2427" spans="1:4" x14ac:dyDescent="0.25">
      <c r="A2427" s="1">
        <v>41874</v>
      </c>
      <c r="B2427">
        <v>1</v>
      </c>
      <c r="C2427">
        <v>2</v>
      </c>
      <c r="D2427">
        <v>71</v>
      </c>
    </row>
    <row r="2428" spans="1:4" x14ac:dyDescent="0.25">
      <c r="A2428" s="1">
        <v>41875</v>
      </c>
      <c r="B2428">
        <v>1</v>
      </c>
      <c r="C2428">
        <v>2</v>
      </c>
      <c r="D2428">
        <v>75</v>
      </c>
    </row>
    <row r="2429" spans="1:4" x14ac:dyDescent="0.25">
      <c r="A2429" s="1">
        <v>41876</v>
      </c>
      <c r="B2429">
        <v>1</v>
      </c>
      <c r="C2429">
        <v>2</v>
      </c>
      <c r="D2429">
        <v>38</v>
      </c>
    </row>
    <row r="2430" spans="1:4" x14ac:dyDescent="0.25">
      <c r="A2430" s="1">
        <v>41877</v>
      </c>
      <c r="B2430">
        <v>1</v>
      </c>
      <c r="C2430">
        <v>2</v>
      </c>
      <c r="D2430">
        <v>56</v>
      </c>
    </row>
    <row r="2431" spans="1:4" x14ac:dyDescent="0.25">
      <c r="A2431" s="1">
        <v>41878</v>
      </c>
      <c r="B2431">
        <v>1</v>
      </c>
      <c r="C2431">
        <v>2</v>
      </c>
      <c r="D2431">
        <v>70</v>
      </c>
    </row>
    <row r="2432" spans="1:4" x14ac:dyDescent="0.25">
      <c r="A2432" s="1">
        <v>41879</v>
      </c>
      <c r="B2432">
        <v>1</v>
      </c>
      <c r="C2432">
        <v>2</v>
      </c>
      <c r="D2432">
        <v>53</v>
      </c>
    </row>
    <row r="2433" spans="1:4" x14ac:dyDescent="0.25">
      <c r="A2433" s="1">
        <v>41880</v>
      </c>
      <c r="B2433">
        <v>1</v>
      </c>
      <c r="C2433">
        <v>2</v>
      </c>
      <c r="D2433">
        <v>67</v>
      </c>
    </row>
    <row r="2434" spans="1:4" x14ac:dyDescent="0.25">
      <c r="A2434" s="1">
        <v>41881</v>
      </c>
      <c r="B2434">
        <v>1</v>
      </c>
      <c r="C2434">
        <v>2</v>
      </c>
      <c r="D2434">
        <v>58</v>
      </c>
    </row>
    <row r="2435" spans="1:4" x14ac:dyDescent="0.25">
      <c r="A2435" s="1">
        <v>41882</v>
      </c>
      <c r="B2435">
        <v>1</v>
      </c>
      <c r="C2435">
        <v>2</v>
      </c>
      <c r="D2435">
        <v>71</v>
      </c>
    </row>
    <row r="2436" spans="1:4" x14ac:dyDescent="0.25">
      <c r="A2436" s="1">
        <v>41883</v>
      </c>
      <c r="B2436">
        <v>1</v>
      </c>
      <c r="C2436">
        <v>2</v>
      </c>
      <c r="D2436">
        <v>43</v>
      </c>
    </row>
    <row r="2437" spans="1:4" x14ac:dyDescent="0.25">
      <c r="A2437" s="1">
        <v>41884</v>
      </c>
      <c r="B2437">
        <v>1</v>
      </c>
      <c r="C2437">
        <v>2</v>
      </c>
      <c r="D2437">
        <v>49</v>
      </c>
    </row>
    <row r="2438" spans="1:4" x14ac:dyDescent="0.25">
      <c r="A2438" s="1">
        <v>41885</v>
      </c>
      <c r="B2438">
        <v>1</v>
      </c>
      <c r="C2438">
        <v>2</v>
      </c>
      <c r="D2438">
        <v>46</v>
      </c>
    </row>
    <row r="2439" spans="1:4" x14ac:dyDescent="0.25">
      <c r="A2439" s="1">
        <v>41886</v>
      </c>
      <c r="B2439">
        <v>1</v>
      </c>
      <c r="C2439">
        <v>2</v>
      </c>
      <c r="D2439">
        <v>45</v>
      </c>
    </row>
    <row r="2440" spans="1:4" x14ac:dyDescent="0.25">
      <c r="A2440" s="1">
        <v>41887</v>
      </c>
      <c r="B2440">
        <v>1</v>
      </c>
      <c r="C2440">
        <v>2</v>
      </c>
      <c r="D2440">
        <v>57</v>
      </c>
    </row>
    <row r="2441" spans="1:4" x14ac:dyDescent="0.25">
      <c r="A2441" s="1">
        <v>41888</v>
      </c>
      <c r="B2441">
        <v>1</v>
      </c>
      <c r="C2441">
        <v>2</v>
      </c>
      <c r="D2441">
        <v>59</v>
      </c>
    </row>
    <row r="2442" spans="1:4" x14ac:dyDescent="0.25">
      <c r="A2442" s="1">
        <v>41889</v>
      </c>
      <c r="B2442">
        <v>1</v>
      </c>
      <c r="C2442">
        <v>2</v>
      </c>
      <c r="D2442">
        <v>63</v>
      </c>
    </row>
    <row r="2443" spans="1:4" x14ac:dyDescent="0.25">
      <c r="A2443" s="1">
        <v>41890</v>
      </c>
      <c r="B2443">
        <v>1</v>
      </c>
      <c r="C2443">
        <v>2</v>
      </c>
      <c r="D2443">
        <v>49</v>
      </c>
    </row>
    <row r="2444" spans="1:4" x14ac:dyDescent="0.25">
      <c r="A2444" s="1">
        <v>41891</v>
      </c>
      <c r="B2444">
        <v>1</v>
      </c>
      <c r="C2444">
        <v>2</v>
      </c>
      <c r="D2444">
        <v>41</v>
      </c>
    </row>
    <row r="2445" spans="1:4" x14ac:dyDescent="0.25">
      <c r="A2445" s="1">
        <v>41892</v>
      </c>
      <c r="B2445">
        <v>1</v>
      </c>
      <c r="C2445">
        <v>2</v>
      </c>
      <c r="D2445">
        <v>46</v>
      </c>
    </row>
    <row r="2446" spans="1:4" x14ac:dyDescent="0.25">
      <c r="A2446" s="1">
        <v>41893</v>
      </c>
      <c r="B2446">
        <v>1</v>
      </c>
      <c r="C2446">
        <v>2</v>
      </c>
      <c r="D2446">
        <v>56</v>
      </c>
    </row>
    <row r="2447" spans="1:4" x14ac:dyDescent="0.25">
      <c r="A2447" s="1">
        <v>41894</v>
      </c>
      <c r="B2447">
        <v>1</v>
      </c>
      <c r="C2447">
        <v>2</v>
      </c>
      <c r="D2447">
        <v>42</v>
      </c>
    </row>
    <row r="2448" spans="1:4" x14ac:dyDescent="0.25">
      <c r="A2448" s="1">
        <v>41895</v>
      </c>
      <c r="B2448">
        <v>1</v>
      </c>
      <c r="C2448">
        <v>2</v>
      </c>
      <c r="D2448">
        <v>57</v>
      </c>
    </row>
    <row r="2449" spans="1:4" x14ac:dyDescent="0.25">
      <c r="A2449" s="1">
        <v>41896</v>
      </c>
      <c r="B2449">
        <v>1</v>
      </c>
      <c r="C2449">
        <v>2</v>
      </c>
      <c r="D2449">
        <v>61</v>
      </c>
    </row>
    <row r="2450" spans="1:4" x14ac:dyDescent="0.25">
      <c r="A2450" s="1">
        <v>41897</v>
      </c>
      <c r="B2450">
        <v>1</v>
      </c>
      <c r="C2450">
        <v>2</v>
      </c>
      <c r="D2450">
        <v>32</v>
      </c>
    </row>
    <row r="2451" spans="1:4" x14ac:dyDescent="0.25">
      <c r="A2451" s="1">
        <v>41898</v>
      </c>
      <c r="B2451">
        <v>1</v>
      </c>
      <c r="C2451">
        <v>2</v>
      </c>
      <c r="D2451">
        <v>51</v>
      </c>
    </row>
    <row r="2452" spans="1:4" x14ac:dyDescent="0.25">
      <c r="A2452" s="1">
        <v>41899</v>
      </c>
      <c r="B2452">
        <v>1</v>
      </c>
      <c r="C2452">
        <v>2</v>
      </c>
      <c r="D2452">
        <v>54</v>
      </c>
    </row>
    <row r="2453" spans="1:4" x14ac:dyDescent="0.25">
      <c r="A2453" s="1">
        <v>41900</v>
      </c>
      <c r="B2453">
        <v>1</v>
      </c>
      <c r="C2453">
        <v>2</v>
      </c>
      <c r="D2453">
        <v>46</v>
      </c>
    </row>
    <row r="2454" spans="1:4" x14ac:dyDescent="0.25">
      <c r="A2454" s="1">
        <v>41901</v>
      </c>
      <c r="B2454">
        <v>1</v>
      </c>
      <c r="C2454">
        <v>2</v>
      </c>
      <c r="D2454">
        <v>71</v>
      </c>
    </row>
    <row r="2455" spans="1:4" x14ac:dyDescent="0.25">
      <c r="A2455" s="1">
        <v>41902</v>
      </c>
      <c r="B2455">
        <v>1</v>
      </c>
      <c r="C2455">
        <v>2</v>
      </c>
      <c r="D2455">
        <v>58</v>
      </c>
    </row>
    <row r="2456" spans="1:4" x14ac:dyDescent="0.25">
      <c r="A2456" s="1">
        <v>41903</v>
      </c>
      <c r="B2456">
        <v>1</v>
      </c>
      <c r="C2456">
        <v>2</v>
      </c>
      <c r="D2456">
        <v>50</v>
      </c>
    </row>
    <row r="2457" spans="1:4" x14ac:dyDescent="0.25">
      <c r="A2457" s="1">
        <v>41904</v>
      </c>
      <c r="B2457">
        <v>1</v>
      </c>
      <c r="C2457">
        <v>2</v>
      </c>
      <c r="D2457">
        <v>40</v>
      </c>
    </row>
    <row r="2458" spans="1:4" x14ac:dyDescent="0.25">
      <c r="A2458" s="1">
        <v>41905</v>
      </c>
      <c r="B2458">
        <v>1</v>
      </c>
      <c r="C2458">
        <v>2</v>
      </c>
      <c r="D2458">
        <v>35</v>
      </c>
    </row>
    <row r="2459" spans="1:4" x14ac:dyDescent="0.25">
      <c r="A2459" s="1">
        <v>41906</v>
      </c>
      <c r="B2459">
        <v>1</v>
      </c>
      <c r="C2459">
        <v>2</v>
      </c>
      <c r="D2459">
        <v>54</v>
      </c>
    </row>
    <row r="2460" spans="1:4" x14ac:dyDescent="0.25">
      <c r="A2460" s="1">
        <v>41907</v>
      </c>
      <c r="B2460">
        <v>1</v>
      </c>
      <c r="C2460">
        <v>2</v>
      </c>
      <c r="D2460">
        <v>58</v>
      </c>
    </row>
    <row r="2461" spans="1:4" x14ac:dyDescent="0.25">
      <c r="A2461" s="1">
        <v>41908</v>
      </c>
      <c r="B2461">
        <v>1</v>
      </c>
      <c r="C2461">
        <v>2</v>
      </c>
      <c r="D2461">
        <v>63</v>
      </c>
    </row>
    <row r="2462" spans="1:4" x14ac:dyDescent="0.25">
      <c r="A2462" s="1">
        <v>41909</v>
      </c>
      <c r="B2462">
        <v>1</v>
      </c>
      <c r="C2462">
        <v>2</v>
      </c>
      <c r="D2462">
        <v>64</v>
      </c>
    </row>
    <row r="2463" spans="1:4" x14ac:dyDescent="0.25">
      <c r="A2463" s="1">
        <v>41910</v>
      </c>
      <c r="B2463">
        <v>1</v>
      </c>
      <c r="C2463">
        <v>2</v>
      </c>
      <c r="D2463">
        <v>51</v>
      </c>
    </row>
    <row r="2464" spans="1:4" x14ac:dyDescent="0.25">
      <c r="A2464" s="1">
        <v>41911</v>
      </c>
      <c r="B2464">
        <v>1</v>
      </c>
      <c r="C2464">
        <v>2</v>
      </c>
      <c r="D2464">
        <v>51</v>
      </c>
    </row>
    <row r="2465" spans="1:4" x14ac:dyDescent="0.25">
      <c r="A2465" s="1">
        <v>41912</v>
      </c>
      <c r="B2465">
        <v>1</v>
      </c>
      <c r="C2465">
        <v>2</v>
      </c>
      <c r="D2465">
        <v>47</v>
      </c>
    </row>
    <row r="2466" spans="1:4" x14ac:dyDescent="0.25">
      <c r="A2466" s="1">
        <v>41913</v>
      </c>
      <c r="B2466">
        <v>1</v>
      </c>
      <c r="C2466">
        <v>2</v>
      </c>
      <c r="D2466">
        <v>37</v>
      </c>
    </row>
    <row r="2467" spans="1:4" x14ac:dyDescent="0.25">
      <c r="A2467" s="1">
        <v>41914</v>
      </c>
      <c r="B2467">
        <v>1</v>
      </c>
      <c r="C2467">
        <v>2</v>
      </c>
      <c r="D2467">
        <v>46</v>
      </c>
    </row>
    <row r="2468" spans="1:4" x14ac:dyDescent="0.25">
      <c r="A2468" s="1">
        <v>41915</v>
      </c>
      <c r="B2468">
        <v>1</v>
      </c>
      <c r="C2468">
        <v>2</v>
      </c>
      <c r="D2468">
        <v>55</v>
      </c>
    </row>
    <row r="2469" spans="1:4" x14ac:dyDescent="0.25">
      <c r="A2469" s="1">
        <v>41916</v>
      </c>
      <c r="B2469">
        <v>1</v>
      </c>
      <c r="C2469">
        <v>2</v>
      </c>
      <c r="D2469">
        <v>59</v>
      </c>
    </row>
    <row r="2470" spans="1:4" x14ac:dyDescent="0.25">
      <c r="A2470" s="1">
        <v>41917</v>
      </c>
      <c r="B2470">
        <v>1</v>
      </c>
      <c r="C2470">
        <v>2</v>
      </c>
      <c r="D2470">
        <v>70</v>
      </c>
    </row>
    <row r="2471" spans="1:4" x14ac:dyDescent="0.25">
      <c r="A2471" s="1">
        <v>41918</v>
      </c>
      <c r="B2471">
        <v>1</v>
      </c>
      <c r="C2471">
        <v>2</v>
      </c>
      <c r="D2471">
        <v>40</v>
      </c>
    </row>
    <row r="2472" spans="1:4" x14ac:dyDescent="0.25">
      <c r="A2472" s="1">
        <v>41919</v>
      </c>
      <c r="B2472">
        <v>1</v>
      </c>
      <c r="C2472">
        <v>2</v>
      </c>
      <c r="D2472">
        <v>45</v>
      </c>
    </row>
    <row r="2473" spans="1:4" x14ac:dyDescent="0.25">
      <c r="A2473" s="1">
        <v>41920</v>
      </c>
      <c r="B2473">
        <v>1</v>
      </c>
      <c r="C2473">
        <v>2</v>
      </c>
      <c r="D2473">
        <v>45</v>
      </c>
    </row>
    <row r="2474" spans="1:4" x14ac:dyDescent="0.25">
      <c r="A2474" s="1">
        <v>41921</v>
      </c>
      <c r="B2474">
        <v>1</v>
      </c>
      <c r="C2474">
        <v>2</v>
      </c>
      <c r="D2474">
        <v>43</v>
      </c>
    </row>
    <row r="2475" spans="1:4" x14ac:dyDescent="0.25">
      <c r="A2475" s="1">
        <v>41922</v>
      </c>
      <c r="B2475">
        <v>1</v>
      </c>
      <c r="C2475">
        <v>2</v>
      </c>
      <c r="D2475">
        <v>51</v>
      </c>
    </row>
    <row r="2476" spans="1:4" x14ac:dyDescent="0.25">
      <c r="A2476" s="1">
        <v>41923</v>
      </c>
      <c r="B2476">
        <v>1</v>
      </c>
      <c r="C2476">
        <v>2</v>
      </c>
      <c r="D2476">
        <v>61</v>
      </c>
    </row>
    <row r="2477" spans="1:4" x14ac:dyDescent="0.25">
      <c r="A2477" s="1">
        <v>41924</v>
      </c>
      <c r="B2477">
        <v>1</v>
      </c>
      <c r="C2477">
        <v>2</v>
      </c>
      <c r="D2477">
        <v>52</v>
      </c>
    </row>
    <row r="2478" spans="1:4" x14ac:dyDescent="0.25">
      <c r="A2478" s="1">
        <v>41925</v>
      </c>
      <c r="B2478">
        <v>1</v>
      </c>
      <c r="C2478">
        <v>2</v>
      </c>
      <c r="D2478">
        <v>34</v>
      </c>
    </row>
    <row r="2479" spans="1:4" x14ac:dyDescent="0.25">
      <c r="A2479" s="1">
        <v>41926</v>
      </c>
      <c r="B2479">
        <v>1</v>
      </c>
      <c r="C2479">
        <v>2</v>
      </c>
      <c r="D2479">
        <v>43</v>
      </c>
    </row>
    <row r="2480" spans="1:4" x14ac:dyDescent="0.25">
      <c r="A2480" s="1">
        <v>41927</v>
      </c>
      <c r="B2480">
        <v>1</v>
      </c>
      <c r="C2480">
        <v>2</v>
      </c>
      <c r="D2480">
        <v>35</v>
      </c>
    </row>
    <row r="2481" spans="1:4" x14ac:dyDescent="0.25">
      <c r="A2481" s="1">
        <v>41928</v>
      </c>
      <c r="B2481">
        <v>1</v>
      </c>
      <c r="C2481">
        <v>2</v>
      </c>
      <c r="D2481">
        <v>44</v>
      </c>
    </row>
    <row r="2482" spans="1:4" x14ac:dyDescent="0.25">
      <c r="A2482" s="1">
        <v>41929</v>
      </c>
      <c r="B2482">
        <v>1</v>
      </c>
      <c r="C2482">
        <v>2</v>
      </c>
      <c r="D2482">
        <v>43</v>
      </c>
    </row>
    <row r="2483" spans="1:4" x14ac:dyDescent="0.25">
      <c r="A2483" s="1">
        <v>41930</v>
      </c>
      <c r="B2483">
        <v>1</v>
      </c>
      <c r="C2483">
        <v>2</v>
      </c>
      <c r="D2483">
        <v>46</v>
      </c>
    </row>
    <row r="2484" spans="1:4" x14ac:dyDescent="0.25">
      <c r="A2484" s="1">
        <v>41931</v>
      </c>
      <c r="B2484">
        <v>1</v>
      </c>
      <c r="C2484">
        <v>2</v>
      </c>
      <c r="D2484">
        <v>49</v>
      </c>
    </row>
    <row r="2485" spans="1:4" x14ac:dyDescent="0.25">
      <c r="A2485" s="1">
        <v>41932</v>
      </c>
      <c r="B2485">
        <v>1</v>
      </c>
      <c r="C2485">
        <v>2</v>
      </c>
      <c r="D2485">
        <v>42</v>
      </c>
    </row>
    <row r="2486" spans="1:4" x14ac:dyDescent="0.25">
      <c r="A2486" s="1">
        <v>41933</v>
      </c>
      <c r="B2486">
        <v>1</v>
      </c>
      <c r="C2486">
        <v>2</v>
      </c>
      <c r="D2486">
        <v>55</v>
      </c>
    </row>
    <row r="2487" spans="1:4" x14ac:dyDescent="0.25">
      <c r="A2487" s="1">
        <v>41934</v>
      </c>
      <c r="B2487">
        <v>1</v>
      </c>
      <c r="C2487">
        <v>2</v>
      </c>
      <c r="D2487">
        <v>43</v>
      </c>
    </row>
    <row r="2488" spans="1:4" x14ac:dyDescent="0.25">
      <c r="A2488" s="1">
        <v>41935</v>
      </c>
      <c r="B2488">
        <v>1</v>
      </c>
      <c r="C2488">
        <v>2</v>
      </c>
      <c r="D2488">
        <v>34</v>
      </c>
    </row>
    <row r="2489" spans="1:4" x14ac:dyDescent="0.25">
      <c r="A2489" s="1">
        <v>41936</v>
      </c>
      <c r="B2489">
        <v>1</v>
      </c>
      <c r="C2489">
        <v>2</v>
      </c>
      <c r="D2489">
        <v>63</v>
      </c>
    </row>
    <row r="2490" spans="1:4" x14ac:dyDescent="0.25">
      <c r="A2490" s="1">
        <v>41937</v>
      </c>
      <c r="B2490">
        <v>1</v>
      </c>
      <c r="C2490">
        <v>2</v>
      </c>
      <c r="D2490">
        <v>69</v>
      </c>
    </row>
    <row r="2491" spans="1:4" x14ac:dyDescent="0.25">
      <c r="A2491" s="1">
        <v>41938</v>
      </c>
      <c r="B2491">
        <v>1</v>
      </c>
      <c r="C2491">
        <v>2</v>
      </c>
      <c r="D2491">
        <v>70</v>
      </c>
    </row>
    <row r="2492" spans="1:4" x14ac:dyDescent="0.25">
      <c r="A2492" s="1">
        <v>41939</v>
      </c>
      <c r="B2492">
        <v>1</v>
      </c>
      <c r="C2492">
        <v>2</v>
      </c>
      <c r="D2492">
        <v>41</v>
      </c>
    </row>
    <row r="2493" spans="1:4" x14ac:dyDescent="0.25">
      <c r="A2493" s="1">
        <v>41940</v>
      </c>
      <c r="B2493">
        <v>1</v>
      </c>
      <c r="C2493">
        <v>2</v>
      </c>
      <c r="D2493">
        <v>41</v>
      </c>
    </row>
    <row r="2494" spans="1:4" x14ac:dyDescent="0.25">
      <c r="A2494" s="1">
        <v>41941</v>
      </c>
      <c r="B2494">
        <v>1</v>
      </c>
      <c r="C2494">
        <v>2</v>
      </c>
      <c r="D2494">
        <v>43</v>
      </c>
    </row>
    <row r="2495" spans="1:4" x14ac:dyDescent="0.25">
      <c r="A2495" s="1">
        <v>41942</v>
      </c>
      <c r="B2495">
        <v>1</v>
      </c>
      <c r="C2495">
        <v>2</v>
      </c>
      <c r="D2495">
        <v>46</v>
      </c>
    </row>
    <row r="2496" spans="1:4" x14ac:dyDescent="0.25">
      <c r="A2496" s="1">
        <v>41943</v>
      </c>
      <c r="B2496">
        <v>1</v>
      </c>
      <c r="C2496">
        <v>2</v>
      </c>
      <c r="D2496">
        <v>61</v>
      </c>
    </row>
    <row r="2497" spans="1:4" x14ac:dyDescent="0.25">
      <c r="A2497" s="1">
        <v>41944</v>
      </c>
      <c r="B2497">
        <v>1</v>
      </c>
      <c r="C2497">
        <v>2</v>
      </c>
      <c r="D2497">
        <v>50</v>
      </c>
    </row>
    <row r="2498" spans="1:4" x14ac:dyDescent="0.25">
      <c r="A2498" s="1">
        <v>41945</v>
      </c>
      <c r="B2498">
        <v>1</v>
      </c>
      <c r="C2498">
        <v>2</v>
      </c>
      <c r="D2498">
        <v>63</v>
      </c>
    </row>
    <row r="2499" spans="1:4" x14ac:dyDescent="0.25">
      <c r="A2499" s="1">
        <v>41946</v>
      </c>
      <c r="B2499">
        <v>1</v>
      </c>
      <c r="C2499">
        <v>2</v>
      </c>
      <c r="D2499">
        <v>38</v>
      </c>
    </row>
    <row r="2500" spans="1:4" x14ac:dyDescent="0.25">
      <c r="A2500" s="1">
        <v>41947</v>
      </c>
      <c r="B2500">
        <v>1</v>
      </c>
      <c r="C2500">
        <v>2</v>
      </c>
      <c r="D2500">
        <v>58</v>
      </c>
    </row>
    <row r="2501" spans="1:4" x14ac:dyDescent="0.25">
      <c r="A2501" s="1">
        <v>41948</v>
      </c>
      <c r="B2501">
        <v>1</v>
      </c>
      <c r="C2501">
        <v>2</v>
      </c>
      <c r="D2501">
        <v>62</v>
      </c>
    </row>
    <row r="2502" spans="1:4" x14ac:dyDescent="0.25">
      <c r="A2502" s="1">
        <v>41949</v>
      </c>
      <c r="B2502">
        <v>1</v>
      </c>
      <c r="C2502">
        <v>2</v>
      </c>
      <c r="D2502">
        <v>51</v>
      </c>
    </row>
    <row r="2503" spans="1:4" x14ac:dyDescent="0.25">
      <c r="A2503" s="1">
        <v>41950</v>
      </c>
      <c r="B2503">
        <v>1</v>
      </c>
      <c r="C2503">
        <v>2</v>
      </c>
      <c r="D2503">
        <v>48</v>
      </c>
    </row>
    <row r="2504" spans="1:4" x14ac:dyDescent="0.25">
      <c r="A2504" s="1">
        <v>41951</v>
      </c>
      <c r="B2504">
        <v>1</v>
      </c>
      <c r="C2504">
        <v>2</v>
      </c>
      <c r="D2504">
        <v>65</v>
      </c>
    </row>
    <row r="2505" spans="1:4" x14ac:dyDescent="0.25">
      <c r="A2505" s="1">
        <v>41952</v>
      </c>
      <c r="B2505">
        <v>1</v>
      </c>
      <c r="C2505">
        <v>2</v>
      </c>
      <c r="D2505">
        <v>59</v>
      </c>
    </row>
    <row r="2506" spans="1:4" x14ac:dyDescent="0.25">
      <c r="A2506" s="1">
        <v>41953</v>
      </c>
      <c r="B2506">
        <v>1</v>
      </c>
      <c r="C2506">
        <v>2</v>
      </c>
      <c r="D2506">
        <v>46</v>
      </c>
    </row>
    <row r="2507" spans="1:4" x14ac:dyDescent="0.25">
      <c r="A2507" s="1">
        <v>41954</v>
      </c>
      <c r="B2507">
        <v>1</v>
      </c>
      <c r="C2507">
        <v>2</v>
      </c>
      <c r="D2507">
        <v>47</v>
      </c>
    </row>
    <row r="2508" spans="1:4" x14ac:dyDescent="0.25">
      <c r="A2508" s="1">
        <v>41955</v>
      </c>
      <c r="B2508">
        <v>1</v>
      </c>
      <c r="C2508">
        <v>2</v>
      </c>
      <c r="D2508">
        <v>50</v>
      </c>
    </row>
    <row r="2509" spans="1:4" x14ac:dyDescent="0.25">
      <c r="A2509" s="1">
        <v>41956</v>
      </c>
      <c r="B2509">
        <v>1</v>
      </c>
      <c r="C2509">
        <v>2</v>
      </c>
      <c r="D2509">
        <v>53</v>
      </c>
    </row>
    <row r="2510" spans="1:4" x14ac:dyDescent="0.25">
      <c r="A2510" s="1">
        <v>41957</v>
      </c>
      <c r="B2510">
        <v>1</v>
      </c>
      <c r="C2510">
        <v>2</v>
      </c>
      <c r="D2510">
        <v>51</v>
      </c>
    </row>
    <row r="2511" spans="1:4" x14ac:dyDescent="0.25">
      <c r="A2511" s="1">
        <v>41958</v>
      </c>
      <c r="B2511">
        <v>1</v>
      </c>
      <c r="C2511">
        <v>2</v>
      </c>
      <c r="D2511">
        <v>53</v>
      </c>
    </row>
    <row r="2512" spans="1:4" x14ac:dyDescent="0.25">
      <c r="A2512" s="1">
        <v>41959</v>
      </c>
      <c r="B2512">
        <v>1</v>
      </c>
      <c r="C2512">
        <v>2</v>
      </c>
      <c r="D2512">
        <v>76</v>
      </c>
    </row>
    <row r="2513" spans="1:4" x14ac:dyDescent="0.25">
      <c r="A2513" s="1">
        <v>41960</v>
      </c>
      <c r="B2513">
        <v>1</v>
      </c>
      <c r="C2513">
        <v>2</v>
      </c>
      <c r="D2513">
        <v>43</v>
      </c>
    </row>
    <row r="2514" spans="1:4" x14ac:dyDescent="0.25">
      <c r="A2514" s="1">
        <v>41961</v>
      </c>
      <c r="B2514">
        <v>1</v>
      </c>
      <c r="C2514">
        <v>2</v>
      </c>
      <c r="D2514">
        <v>61</v>
      </c>
    </row>
    <row r="2515" spans="1:4" x14ac:dyDescent="0.25">
      <c r="A2515" s="1">
        <v>41962</v>
      </c>
      <c r="B2515">
        <v>1</v>
      </c>
      <c r="C2515">
        <v>2</v>
      </c>
      <c r="D2515">
        <v>50</v>
      </c>
    </row>
    <row r="2516" spans="1:4" x14ac:dyDescent="0.25">
      <c r="A2516" s="1">
        <v>41963</v>
      </c>
      <c r="B2516">
        <v>1</v>
      </c>
      <c r="C2516">
        <v>2</v>
      </c>
      <c r="D2516">
        <v>56</v>
      </c>
    </row>
    <row r="2517" spans="1:4" x14ac:dyDescent="0.25">
      <c r="A2517" s="1">
        <v>41964</v>
      </c>
      <c r="B2517">
        <v>1</v>
      </c>
      <c r="C2517">
        <v>2</v>
      </c>
      <c r="D2517">
        <v>53</v>
      </c>
    </row>
    <row r="2518" spans="1:4" x14ac:dyDescent="0.25">
      <c r="A2518" s="1">
        <v>41965</v>
      </c>
      <c r="B2518">
        <v>1</v>
      </c>
      <c r="C2518">
        <v>2</v>
      </c>
      <c r="D2518">
        <v>60</v>
      </c>
    </row>
    <row r="2519" spans="1:4" x14ac:dyDescent="0.25">
      <c r="A2519" s="1">
        <v>41966</v>
      </c>
      <c r="B2519">
        <v>1</v>
      </c>
      <c r="C2519">
        <v>2</v>
      </c>
      <c r="D2519">
        <v>57</v>
      </c>
    </row>
    <row r="2520" spans="1:4" x14ac:dyDescent="0.25">
      <c r="A2520" s="1">
        <v>41967</v>
      </c>
      <c r="B2520">
        <v>1</v>
      </c>
      <c r="C2520">
        <v>2</v>
      </c>
      <c r="D2520">
        <v>42</v>
      </c>
    </row>
    <row r="2521" spans="1:4" x14ac:dyDescent="0.25">
      <c r="A2521" s="1">
        <v>41968</v>
      </c>
      <c r="B2521">
        <v>1</v>
      </c>
      <c r="C2521">
        <v>2</v>
      </c>
      <c r="D2521">
        <v>48</v>
      </c>
    </row>
    <row r="2522" spans="1:4" x14ac:dyDescent="0.25">
      <c r="A2522" s="1">
        <v>41969</v>
      </c>
      <c r="B2522">
        <v>1</v>
      </c>
      <c r="C2522">
        <v>2</v>
      </c>
      <c r="D2522">
        <v>48</v>
      </c>
    </row>
    <row r="2523" spans="1:4" x14ac:dyDescent="0.25">
      <c r="A2523" s="1">
        <v>41970</v>
      </c>
      <c r="B2523">
        <v>1</v>
      </c>
      <c r="C2523">
        <v>2</v>
      </c>
      <c r="D2523">
        <v>53</v>
      </c>
    </row>
    <row r="2524" spans="1:4" x14ac:dyDescent="0.25">
      <c r="A2524" s="1">
        <v>41971</v>
      </c>
      <c r="B2524">
        <v>1</v>
      </c>
      <c r="C2524">
        <v>2</v>
      </c>
      <c r="D2524">
        <v>52</v>
      </c>
    </row>
    <row r="2525" spans="1:4" x14ac:dyDescent="0.25">
      <c r="A2525" s="1">
        <v>41972</v>
      </c>
      <c r="B2525">
        <v>1</v>
      </c>
      <c r="C2525">
        <v>2</v>
      </c>
      <c r="D2525">
        <v>50</v>
      </c>
    </row>
    <row r="2526" spans="1:4" x14ac:dyDescent="0.25">
      <c r="A2526" s="1">
        <v>41973</v>
      </c>
      <c r="B2526">
        <v>1</v>
      </c>
      <c r="C2526">
        <v>2</v>
      </c>
      <c r="D2526">
        <v>52</v>
      </c>
    </row>
    <row r="2527" spans="1:4" x14ac:dyDescent="0.25">
      <c r="A2527" s="1">
        <v>41974</v>
      </c>
      <c r="B2527">
        <v>1</v>
      </c>
      <c r="C2527">
        <v>2</v>
      </c>
      <c r="D2527">
        <v>36</v>
      </c>
    </row>
    <row r="2528" spans="1:4" x14ac:dyDescent="0.25">
      <c r="A2528" s="1">
        <v>41975</v>
      </c>
      <c r="B2528">
        <v>1</v>
      </c>
      <c r="C2528">
        <v>2</v>
      </c>
      <c r="D2528">
        <v>42</v>
      </c>
    </row>
    <row r="2529" spans="1:4" x14ac:dyDescent="0.25">
      <c r="A2529" s="1">
        <v>41976</v>
      </c>
      <c r="B2529">
        <v>1</v>
      </c>
      <c r="C2529">
        <v>2</v>
      </c>
      <c r="D2529">
        <v>37</v>
      </c>
    </row>
    <row r="2530" spans="1:4" x14ac:dyDescent="0.25">
      <c r="A2530" s="1">
        <v>41977</v>
      </c>
      <c r="B2530">
        <v>1</v>
      </c>
      <c r="C2530">
        <v>2</v>
      </c>
      <c r="D2530">
        <v>47</v>
      </c>
    </row>
    <row r="2531" spans="1:4" x14ac:dyDescent="0.25">
      <c r="A2531" s="1">
        <v>41978</v>
      </c>
      <c r="B2531">
        <v>1</v>
      </c>
      <c r="C2531">
        <v>2</v>
      </c>
      <c r="D2531">
        <v>45</v>
      </c>
    </row>
    <row r="2532" spans="1:4" x14ac:dyDescent="0.25">
      <c r="A2532" s="1">
        <v>41979</v>
      </c>
      <c r="B2532">
        <v>1</v>
      </c>
      <c r="C2532">
        <v>2</v>
      </c>
      <c r="D2532">
        <v>44</v>
      </c>
    </row>
    <row r="2533" spans="1:4" x14ac:dyDescent="0.25">
      <c r="A2533" s="1">
        <v>41980</v>
      </c>
      <c r="B2533">
        <v>1</v>
      </c>
      <c r="C2533">
        <v>2</v>
      </c>
      <c r="D2533">
        <v>49</v>
      </c>
    </row>
    <row r="2534" spans="1:4" x14ac:dyDescent="0.25">
      <c r="A2534" s="1">
        <v>41981</v>
      </c>
      <c r="B2534">
        <v>1</v>
      </c>
      <c r="C2534">
        <v>2</v>
      </c>
      <c r="D2534">
        <v>34</v>
      </c>
    </row>
    <row r="2535" spans="1:4" x14ac:dyDescent="0.25">
      <c r="A2535" s="1">
        <v>41982</v>
      </c>
      <c r="B2535">
        <v>1</v>
      </c>
      <c r="C2535">
        <v>2</v>
      </c>
      <c r="D2535">
        <v>38</v>
      </c>
    </row>
    <row r="2536" spans="1:4" x14ac:dyDescent="0.25">
      <c r="A2536" s="1">
        <v>41983</v>
      </c>
      <c r="B2536">
        <v>1</v>
      </c>
      <c r="C2536">
        <v>2</v>
      </c>
      <c r="D2536">
        <v>33</v>
      </c>
    </row>
    <row r="2537" spans="1:4" x14ac:dyDescent="0.25">
      <c r="A2537" s="1">
        <v>41984</v>
      </c>
      <c r="B2537">
        <v>1</v>
      </c>
      <c r="C2537">
        <v>2</v>
      </c>
      <c r="D2537">
        <v>44</v>
      </c>
    </row>
    <row r="2538" spans="1:4" x14ac:dyDescent="0.25">
      <c r="A2538" s="1">
        <v>41985</v>
      </c>
      <c r="B2538">
        <v>1</v>
      </c>
      <c r="C2538">
        <v>2</v>
      </c>
      <c r="D2538">
        <v>28</v>
      </c>
    </row>
    <row r="2539" spans="1:4" x14ac:dyDescent="0.25">
      <c r="A2539" s="1">
        <v>41986</v>
      </c>
      <c r="B2539">
        <v>1</v>
      </c>
      <c r="C2539">
        <v>2</v>
      </c>
      <c r="D2539">
        <v>34</v>
      </c>
    </row>
    <row r="2540" spans="1:4" x14ac:dyDescent="0.25">
      <c r="A2540" s="1">
        <v>41987</v>
      </c>
      <c r="B2540">
        <v>1</v>
      </c>
      <c r="C2540">
        <v>2</v>
      </c>
      <c r="D2540">
        <v>50</v>
      </c>
    </row>
    <row r="2541" spans="1:4" x14ac:dyDescent="0.25">
      <c r="A2541" s="1">
        <v>41988</v>
      </c>
      <c r="B2541">
        <v>1</v>
      </c>
      <c r="C2541">
        <v>2</v>
      </c>
      <c r="D2541">
        <v>28</v>
      </c>
    </row>
    <row r="2542" spans="1:4" x14ac:dyDescent="0.25">
      <c r="A2542" s="1">
        <v>41989</v>
      </c>
      <c r="B2542">
        <v>1</v>
      </c>
      <c r="C2542">
        <v>2</v>
      </c>
      <c r="D2542">
        <v>43</v>
      </c>
    </row>
    <row r="2543" spans="1:4" x14ac:dyDescent="0.25">
      <c r="A2543" s="1">
        <v>41990</v>
      </c>
      <c r="B2543">
        <v>1</v>
      </c>
      <c r="C2543">
        <v>2</v>
      </c>
      <c r="D2543">
        <v>32</v>
      </c>
    </row>
    <row r="2544" spans="1:4" x14ac:dyDescent="0.25">
      <c r="A2544" s="1">
        <v>41991</v>
      </c>
      <c r="B2544">
        <v>1</v>
      </c>
      <c r="C2544">
        <v>2</v>
      </c>
      <c r="D2544">
        <v>32</v>
      </c>
    </row>
    <row r="2545" spans="1:4" x14ac:dyDescent="0.25">
      <c r="A2545" s="1">
        <v>41992</v>
      </c>
      <c r="B2545">
        <v>1</v>
      </c>
      <c r="C2545">
        <v>2</v>
      </c>
      <c r="D2545">
        <v>38</v>
      </c>
    </row>
    <row r="2546" spans="1:4" x14ac:dyDescent="0.25">
      <c r="A2546" s="1">
        <v>41993</v>
      </c>
      <c r="B2546">
        <v>1</v>
      </c>
      <c r="C2546">
        <v>2</v>
      </c>
      <c r="D2546">
        <v>44</v>
      </c>
    </row>
    <row r="2547" spans="1:4" x14ac:dyDescent="0.25">
      <c r="A2547" s="1">
        <v>41994</v>
      </c>
      <c r="B2547">
        <v>1</v>
      </c>
      <c r="C2547">
        <v>2</v>
      </c>
      <c r="D2547">
        <v>40</v>
      </c>
    </row>
    <row r="2548" spans="1:4" x14ac:dyDescent="0.25">
      <c r="A2548" s="1">
        <v>41995</v>
      </c>
      <c r="B2548">
        <v>1</v>
      </c>
      <c r="C2548">
        <v>2</v>
      </c>
      <c r="D2548">
        <v>27</v>
      </c>
    </row>
    <row r="2549" spans="1:4" x14ac:dyDescent="0.25">
      <c r="A2549" s="1">
        <v>41996</v>
      </c>
      <c r="B2549">
        <v>1</v>
      </c>
      <c r="C2549">
        <v>2</v>
      </c>
      <c r="D2549">
        <v>44</v>
      </c>
    </row>
    <row r="2550" spans="1:4" x14ac:dyDescent="0.25">
      <c r="A2550" s="1">
        <v>41997</v>
      </c>
      <c r="B2550">
        <v>1</v>
      </c>
      <c r="C2550">
        <v>2</v>
      </c>
      <c r="D2550">
        <v>36</v>
      </c>
    </row>
    <row r="2551" spans="1:4" x14ac:dyDescent="0.25">
      <c r="A2551" s="1">
        <v>41998</v>
      </c>
      <c r="B2551">
        <v>1</v>
      </c>
      <c r="C2551">
        <v>2</v>
      </c>
      <c r="D2551">
        <v>36</v>
      </c>
    </row>
    <row r="2552" spans="1:4" x14ac:dyDescent="0.25">
      <c r="A2552" s="1">
        <v>41999</v>
      </c>
      <c r="B2552">
        <v>1</v>
      </c>
      <c r="C2552">
        <v>2</v>
      </c>
      <c r="D2552">
        <v>41</v>
      </c>
    </row>
    <row r="2553" spans="1:4" x14ac:dyDescent="0.25">
      <c r="A2553" s="1">
        <v>42000</v>
      </c>
      <c r="B2553">
        <v>1</v>
      </c>
      <c r="C2553">
        <v>2</v>
      </c>
      <c r="D2553">
        <v>52</v>
      </c>
    </row>
    <row r="2554" spans="1:4" x14ac:dyDescent="0.25">
      <c r="A2554" s="1">
        <v>42001</v>
      </c>
      <c r="B2554">
        <v>1</v>
      </c>
      <c r="C2554">
        <v>2</v>
      </c>
      <c r="D2554">
        <v>42</v>
      </c>
    </row>
    <row r="2555" spans="1:4" x14ac:dyDescent="0.25">
      <c r="A2555" s="1">
        <v>42002</v>
      </c>
      <c r="B2555">
        <v>1</v>
      </c>
      <c r="C2555">
        <v>2</v>
      </c>
      <c r="D2555">
        <v>32</v>
      </c>
    </row>
    <row r="2556" spans="1:4" x14ac:dyDescent="0.25">
      <c r="A2556" s="1">
        <v>42003</v>
      </c>
      <c r="B2556">
        <v>1</v>
      </c>
      <c r="C2556">
        <v>2</v>
      </c>
      <c r="D2556">
        <v>37</v>
      </c>
    </row>
    <row r="2557" spans="1:4" x14ac:dyDescent="0.25">
      <c r="A2557" s="1">
        <v>42004</v>
      </c>
      <c r="B2557">
        <v>1</v>
      </c>
      <c r="C2557">
        <v>2</v>
      </c>
      <c r="D2557">
        <v>46</v>
      </c>
    </row>
    <row r="2558" spans="1:4" x14ac:dyDescent="0.25">
      <c r="A2558" s="1">
        <v>42005</v>
      </c>
      <c r="B2558">
        <v>1</v>
      </c>
      <c r="C2558">
        <v>2</v>
      </c>
      <c r="D2558">
        <v>36</v>
      </c>
    </row>
    <row r="2559" spans="1:4" x14ac:dyDescent="0.25">
      <c r="A2559" s="1">
        <v>42006</v>
      </c>
      <c r="B2559">
        <v>1</v>
      </c>
      <c r="C2559">
        <v>2</v>
      </c>
      <c r="D2559">
        <v>45</v>
      </c>
    </row>
    <row r="2560" spans="1:4" x14ac:dyDescent="0.25">
      <c r="A2560" s="1">
        <v>42007</v>
      </c>
      <c r="B2560">
        <v>1</v>
      </c>
      <c r="C2560">
        <v>2</v>
      </c>
      <c r="D2560">
        <v>41</v>
      </c>
    </row>
    <row r="2561" spans="1:4" x14ac:dyDescent="0.25">
      <c r="A2561" s="1">
        <v>42008</v>
      </c>
      <c r="B2561">
        <v>1</v>
      </c>
      <c r="C2561">
        <v>2</v>
      </c>
      <c r="D2561">
        <v>49</v>
      </c>
    </row>
    <row r="2562" spans="1:4" x14ac:dyDescent="0.25">
      <c r="A2562" s="1">
        <v>42009</v>
      </c>
      <c r="B2562">
        <v>1</v>
      </c>
      <c r="C2562">
        <v>2</v>
      </c>
      <c r="D2562">
        <v>25</v>
      </c>
    </row>
    <row r="2563" spans="1:4" x14ac:dyDescent="0.25">
      <c r="A2563" s="1">
        <v>42010</v>
      </c>
      <c r="B2563">
        <v>1</v>
      </c>
      <c r="C2563">
        <v>2</v>
      </c>
      <c r="D2563">
        <v>27</v>
      </c>
    </row>
    <row r="2564" spans="1:4" x14ac:dyDescent="0.25">
      <c r="A2564" s="1">
        <v>42011</v>
      </c>
      <c r="B2564">
        <v>1</v>
      </c>
      <c r="C2564">
        <v>2</v>
      </c>
      <c r="D2564">
        <v>26</v>
      </c>
    </row>
    <row r="2565" spans="1:4" x14ac:dyDescent="0.25">
      <c r="A2565" s="1">
        <v>42012</v>
      </c>
      <c r="B2565">
        <v>1</v>
      </c>
      <c r="C2565">
        <v>2</v>
      </c>
      <c r="D2565">
        <v>42</v>
      </c>
    </row>
    <row r="2566" spans="1:4" x14ac:dyDescent="0.25">
      <c r="A2566" s="1">
        <v>42013</v>
      </c>
      <c r="B2566">
        <v>1</v>
      </c>
      <c r="C2566">
        <v>2</v>
      </c>
      <c r="D2566">
        <v>39</v>
      </c>
    </row>
    <row r="2567" spans="1:4" x14ac:dyDescent="0.25">
      <c r="A2567" s="1">
        <v>42014</v>
      </c>
      <c r="B2567">
        <v>1</v>
      </c>
      <c r="C2567">
        <v>2</v>
      </c>
      <c r="D2567">
        <v>32</v>
      </c>
    </row>
    <row r="2568" spans="1:4" x14ac:dyDescent="0.25">
      <c r="A2568" s="1">
        <v>42015</v>
      </c>
      <c r="B2568">
        <v>1</v>
      </c>
      <c r="C2568">
        <v>2</v>
      </c>
      <c r="D2568">
        <v>43</v>
      </c>
    </row>
    <row r="2569" spans="1:4" x14ac:dyDescent="0.25">
      <c r="A2569" s="1">
        <v>42016</v>
      </c>
      <c r="B2569">
        <v>1</v>
      </c>
      <c r="C2569">
        <v>2</v>
      </c>
      <c r="D2569">
        <v>17</v>
      </c>
    </row>
    <row r="2570" spans="1:4" x14ac:dyDescent="0.25">
      <c r="A2570" s="1">
        <v>42017</v>
      </c>
      <c r="B2570">
        <v>1</v>
      </c>
      <c r="C2570">
        <v>2</v>
      </c>
      <c r="D2570">
        <v>32</v>
      </c>
    </row>
    <row r="2571" spans="1:4" x14ac:dyDescent="0.25">
      <c r="A2571" s="1">
        <v>42018</v>
      </c>
      <c r="B2571">
        <v>1</v>
      </c>
      <c r="C2571">
        <v>2</v>
      </c>
      <c r="D2571">
        <v>27</v>
      </c>
    </row>
    <row r="2572" spans="1:4" x14ac:dyDescent="0.25">
      <c r="A2572" s="1">
        <v>42019</v>
      </c>
      <c r="B2572">
        <v>1</v>
      </c>
      <c r="C2572">
        <v>2</v>
      </c>
      <c r="D2572">
        <v>34</v>
      </c>
    </row>
    <row r="2573" spans="1:4" x14ac:dyDescent="0.25">
      <c r="A2573" s="1">
        <v>42020</v>
      </c>
      <c r="B2573">
        <v>1</v>
      </c>
      <c r="C2573">
        <v>2</v>
      </c>
      <c r="D2573">
        <v>39</v>
      </c>
    </row>
    <row r="2574" spans="1:4" x14ac:dyDescent="0.25">
      <c r="A2574" s="1">
        <v>42021</v>
      </c>
      <c r="B2574">
        <v>1</v>
      </c>
      <c r="C2574">
        <v>2</v>
      </c>
      <c r="D2574">
        <v>44</v>
      </c>
    </row>
    <row r="2575" spans="1:4" x14ac:dyDescent="0.25">
      <c r="A2575" s="1">
        <v>42022</v>
      </c>
      <c r="B2575">
        <v>1</v>
      </c>
      <c r="C2575">
        <v>2</v>
      </c>
      <c r="D2575">
        <v>33</v>
      </c>
    </row>
    <row r="2576" spans="1:4" x14ac:dyDescent="0.25">
      <c r="A2576" s="1">
        <v>42023</v>
      </c>
      <c r="B2576">
        <v>1</v>
      </c>
      <c r="C2576">
        <v>2</v>
      </c>
      <c r="D2576">
        <v>30</v>
      </c>
    </row>
    <row r="2577" spans="1:4" x14ac:dyDescent="0.25">
      <c r="A2577" s="1">
        <v>42024</v>
      </c>
      <c r="B2577">
        <v>1</v>
      </c>
      <c r="C2577">
        <v>2</v>
      </c>
      <c r="D2577">
        <v>39</v>
      </c>
    </row>
    <row r="2578" spans="1:4" x14ac:dyDescent="0.25">
      <c r="A2578" s="1">
        <v>42025</v>
      </c>
      <c r="B2578">
        <v>1</v>
      </c>
      <c r="C2578">
        <v>2</v>
      </c>
      <c r="D2578">
        <v>41</v>
      </c>
    </row>
    <row r="2579" spans="1:4" x14ac:dyDescent="0.25">
      <c r="A2579" s="1">
        <v>42026</v>
      </c>
      <c r="B2579">
        <v>1</v>
      </c>
      <c r="C2579">
        <v>2</v>
      </c>
      <c r="D2579">
        <v>34</v>
      </c>
    </row>
    <row r="2580" spans="1:4" x14ac:dyDescent="0.25">
      <c r="A2580" s="1">
        <v>42027</v>
      </c>
      <c r="B2580">
        <v>1</v>
      </c>
      <c r="C2580">
        <v>2</v>
      </c>
      <c r="D2580">
        <v>36</v>
      </c>
    </row>
    <row r="2581" spans="1:4" x14ac:dyDescent="0.25">
      <c r="A2581" s="1">
        <v>42028</v>
      </c>
      <c r="B2581">
        <v>1</v>
      </c>
      <c r="C2581">
        <v>2</v>
      </c>
      <c r="D2581">
        <v>47</v>
      </c>
    </row>
    <row r="2582" spans="1:4" x14ac:dyDescent="0.25">
      <c r="A2582" s="1">
        <v>42029</v>
      </c>
      <c r="B2582">
        <v>1</v>
      </c>
      <c r="C2582">
        <v>2</v>
      </c>
      <c r="D2582">
        <v>49</v>
      </c>
    </row>
    <row r="2583" spans="1:4" x14ac:dyDescent="0.25">
      <c r="A2583" s="1">
        <v>42030</v>
      </c>
      <c r="B2583">
        <v>1</v>
      </c>
      <c r="C2583">
        <v>2</v>
      </c>
      <c r="D2583">
        <v>30</v>
      </c>
    </row>
    <row r="2584" spans="1:4" x14ac:dyDescent="0.25">
      <c r="A2584" s="1">
        <v>42031</v>
      </c>
      <c r="B2584">
        <v>1</v>
      </c>
      <c r="C2584">
        <v>2</v>
      </c>
      <c r="D2584">
        <v>36</v>
      </c>
    </row>
    <row r="2585" spans="1:4" x14ac:dyDescent="0.25">
      <c r="A2585" s="1">
        <v>42032</v>
      </c>
      <c r="B2585">
        <v>1</v>
      </c>
      <c r="C2585">
        <v>2</v>
      </c>
      <c r="D2585">
        <v>29</v>
      </c>
    </row>
    <row r="2586" spans="1:4" x14ac:dyDescent="0.25">
      <c r="A2586" s="1">
        <v>42033</v>
      </c>
      <c r="B2586">
        <v>1</v>
      </c>
      <c r="C2586">
        <v>2</v>
      </c>
      <c r="D2586">
        <v>38</v>
      </c>
    </row>
    <row r="2587" spans="1:4" x14ac:dyDescent="0.25">
      <c r="A2587" s="1">
        <v>42034</v>
      </c>
      <c r="B2587">
        <v>1</v>
      </c>
      <c r="C2587">
        <v>2</v>
      </c>
      <c r="D2587">
        <v>34</v>
      </c>
    </row>
    <row r="2588" spans="1:4" x14ac:dyDescent="0.25">
      <c r="A2588" s="1">
        <v>42035</v>
      </c>
      <c r="B2588">
        <v>1</v>
      </c>
      <c r="C2588">
        <v>2</v>
      </c>
      <c r="D2588">
        <v>40</v>
      </c>
    </row>
    <row r="2589" spans="1:4" x14ac:dyDescent="0.25">
      <c r="A2589" s="1">
        <v>42036</v>
      </c>
      <c r="B2589">
        <v>1</v>
      </c>
      <c r="C2589">
        <v>2</v>
      </c>
      <c r="D2589">
        <v>55</v>
      </c>
    </row>
    <row r="2590" spans="1:4" x14ac:dyDescent="0.25">
      <c r="A2590" s="1">
        <v>42037</v>
      </c>
      <c r="B2590">
        <v>1</v>
      </c>
      <c r="C2590">
        <v>2</v>
      </c>
      <c r="D2590">
        <v>33</v>
      </c>
    </row>
    <row r="2591" spans="1:4" x14ac:dyDescent="0.25">
      <c r="A2591" s="1">
        <v>42038</v>
      </c>
      <c r="B2591">
        <v>1</v>
      </c>
      <c r="C2591">
        <v>2</v>
      </c>
      <c r="D2591">
        <v>36</v>
      </c>
    </row>
    <row r="2592" spans="1:4" x14ac:dyDescent="0.25">
      <c r="A2592" s="1">
        <v>42039</v>
      </c>
      <c r="B2592">
        <v>1</v>
      </c>
      <c r="C2592">
        <v>2</v>
      </c>
      <c r="D2592">
        <v>28</v>
      </c>
    </row>
    <row r="2593" spans="1:4" x14ac:dyDescent="0.25">
      <c r="A2593" s="1">
        <v>42040</v>
      </c>
      <c r="B2593">
        <v>1</v>
      </c>
      <c r="C2593">
        <v>2</v>
      </c>
      <c r="D2593">
        <v>38</v>
      </c>
    </row>
    <row r="2594" spans="1:4" x14ac:dyDescent="0.25">
      <c r="A2594" s="1">
        <v>42041</v>
      </c>
      <c r="B2594">
        <v>1</v>
      </c>
      <c r="C2594">
        <v>2</v>
      </c>
      <c r="D2594">
        <v>44</v>
      </c>
    </row>
    <row r="2595" spans="1:4" x14ac:dyDescent="0.25">
      <c r="A2595" s="1">
        <v>42042</v>
      </c>
      <c r="B2595">
        <v>1</v>
      </c>
      <c r="C2595">
        <v>2</v>
      </c>
      <c r="D2595">
        <v>40</v>
      </c>
    </row>
    <row r="2596" spans="1:4" x14ac:dyDescent="0.25">
      <c r="A2596" s="1">
        <v>42043</v>
      </c>
      <c r="B2596">
        <v>1</v>
      </c>
      <c r="C2596">
        <v>2</v>
      </c>
      <c r="D2596">
        <v>50</v>
      </c>
    </row>
    <row r="2597" spans="1:4" x14ac:dyDescent="0.25">
      <c r="A2597" s="1">
        <v>42044</v>
      </c>
      <c r="B2597">
        <v>1</v>
      </c>
      <c r="C2597">
        <v>2</v>
      </c>
      <c r="D2597">
        <v>37</v>
      </c>
    </row>
    <row r="2598" spans="1:4" x14ac:dyDescent="0.25">
      <c r="A2598" s="1">
        <v>42045</v>
      </c>
      <c r="B2598">
        <v>1</v>
      </c>
      <c r="C2598">
        <v>2</v>
      </c>
      <c r="D2598">
        <v>46</v>
      </c>
    </row>
    <row r="2599" spans="1:4" x14ac:dyDescent="0.25">
      <c r="A2599" s="1">
        <v>42046</v>
      </c>
      <c r="B2599">
        <v>1</v>
      </c>
      <c r="C2599">
        <v>2</v>
      </c>
      <c r="D2599">
        <v>34</v>
      </c>
    </row>
    <row r="2600" spans="1:4" x14ac:dyDescent="0.25">
      <c r="A2600" s="1">
        <v>42047</v>
      </c>
      <c r="B2600">
        <v>1</v>
      </c>
      <c r="C2600">
        <v>2</v>
      </c>
      <c r="D2600">
        <v>43</v>
      </c>
    </row>
    <row r="2601" spans="1:4" x14ac:dyDescent="0.25">
      <c r="A2601" s="1">
        <v>42048</v>
      </c>
      <c r="B2601">
        <v>1</v>
      </c>
      <c r="C2601">
        <v>2</v>
      </c>
      <c r="D2601">
        <v>47</v>
      </c>
    </row>
    <row r="2602" spans="1:4" x14ac:dyDescent="0.25">
      <c r="A2602" s="1">
        <v>42049</v>
      </c>
      <c r="B2602">
        <v>1</v>
      </c>
      <c r="C2602">
        <v>2</v>
      </c>
      <c r="D2602">
        <v>45</v>
      </c>
    </row>
    <row r="2603" spans="1:4" x14ac:dyDescent="0.25">
      <c r="A2603" s="1">
        <v>42050</v>
      </c>
      <c r="B2603">
        <v>1</v>
      </c>
      <c r="C2603">
        <v>2</v>
      </c>
      <c r="D2603">
        <v>53</v>
      </c>
    </row>
    <row r="2604" spans="1:4" x14ac:dyDescent="0.25">
      <c r="A2604" s="1">
        <v>42051</v>
      </c>
      <c r="B2604">
        <v>1</v>
      </c>
      <c r="C2604">
        <v>2</v>
      </c>
      <c r="D2604">
        <v>26</v>
      </c>
    </row>
    <row r="2605" spans="1:4" x14ac:dyDescent="0.25">
      <c r="A2605" s="1">
        <v>42052</v>
      </c>
      <c r="B2605">
        <v>1</v>
      </c>
      <c r="C2605">
        <v>2</v>
      </c>
      <c r="D2605">
        <v>47</v>
      </c>
    </row>
    <row r="2606" spans="1:4" x14ac:dyDescent="0.25">
      <c r="A2606" s="1">
        <v>42053</v>
      </c>
      <c r="B2606">
        <v>1</v>
      </c>
      <c r="C2606">
        <v>2</v>
      </c>
      <c r="D2606">
        <v>39</v>
      </c>
    </row>
    <row r="2607" spans="1:4" x14ac:dyDescent="0.25">
      <c r="A2607" s="1">
        <v>42054</v>
      </c>
      <c r="B2607">
        <v>1</v>
      </c>
      <c r="C2607">
        <v>2</v>
      </c>
      <c r="D2607">
        <v>43</v>
      </c>
    </row>
    <row r="2608" spans="1:4" x14ac:dyDescent="0.25">
      <c r="A2608" s="1">
        <v>42055</v>
      </c>
      <c r="B2608">
        <v>1</v>
      </c>
      <c r="C2608">
        <v>2</v>
      </c>
      <c r="D2608">
        <v>30</v>
      </c>
    </row>
    <row r="2609" spans="1:4" x14ac:dyDescent="0.25">
      <c r="A2609" s="1">
        <v>42056</v>
      </c>
      <c r="B2609">
        <v>1</v>
      </c>
      <c r="C2609">
        <v>2</v>
      </c>
      <c r="D2609">
        <v>50</v>
      </c>
    </row>
    <row r="2610" spans="1:4" x14ac:dyDescent="0.25">
      <c r="A2610" s="1">
        <v>42057</v>
      </c>
      <c r="B2610">
        <v>1</v>
      </c>
      <c r="C2610">
        <v>2</v>
      </c>
      <c r="D2610">
        <v>53</v>
      </c>
    </row>
    <row r="2611" spans="1:4" x14ac:dyDescent="0.25">
      <c r="A2611" s="1">
        <v>42058</v>
      </c>
      <c r="B2611">
        <v>1</v>
      </c>
      <c r="C2611">
        <v>2</v>
      </c>
      <c r="D2611">
        <v>33</v>
      </c>
    </row>
    <row r="2612" spans="1:4" x14ac:dyDescent="0.25">
      <c r="A2612" s="1">
        <v>42059</v>
      </c>
      <c r="B2612">
        <v>1</v>
      </c>
      <c r="C2612">
        <v>2</v>
      </c>
      <c r="D2612">
        <v>41</v>
      </c>
    </row>
    <row r="2613" spans="1:4" x14ac:dyDescent="0.25">
      <c r="A2613" s="1">
        <v>42060</v>
      </c>
      <c r="B2613">
        <v>1</v>
      </c>
      <c r="C2613">
        <v>2</v>
      </c>
      <c r="D2613">
        <v>32</v>
      </c>
    </row>
    <row r="2614" spans="1:4" x14ac:dyDescent="0.25">
      <c r="A2614" s="1">
        <v>42061</v>
      </c>
      <c r="B2614">
        <v>1</v>
      </c>
      <c r="C2614">
        <v>2</v>
      </c>
      <c r="D2614">
        <v>39</v>
      </c>
    </row>
    <row r="2615" spans="1:4" x14ac:dyDescent="0.25">
      <c r="A2615" s="1">
        <v>42062</v>
      </c>
      <c r="B2615">
        <v>1</v>
      </c>
      <c r="C2615">
        <v>2</v>
      </c>
      <c r="D2615">
        <v>54</v>
      </c>
    </row>
    <row r="2616" spans="1:4" x14ac:dyDescent="0.25">
      <c r="A2616" s="1">
        <v>42063</v>
      </c>
      <c r="B2616">
        <v>1</v>
      </c>
      <c r="C2616">
        <v>2</v>
      </c>
      <c r="D2616">
        <v>41</v>
      </c>
    </row>
    <row r="2617" spans="1:4" x14ac:dyDescent="0.25">
      <c r="A2617" s="1">
        <v>42064</v>
      </c>
      <c r="B2617">
        <v>1</v>
      </c>
      <c r="C2617">
        <v>2</v>
      </c>
      <c r="D2617">
        <v>57</v>
      </c>
    </row>
    <row r="2618" spans="1:4" x14ac:dyDescent="0.25">
      <c r="A2618" s="1">
        <v>42065</v>
      </c>
      <c r="B2618">
        <v>1</v>
      </c>
      <c r="C2618">
        <v>2</v>
      </c>
      <c r="D2618">
        <v>33</v>
      </c>
    </row>
    <row r="2619" spans="1:4" x14ac:dyDescent="0.25">
      <c r="A2619" s="1">
        <v>42066</v>
      </c>
      <c r="B2619">
        <v>1</v>
      </c>
      <c r="C2619">
        <v>2</v>
      </c>
      <c r="D2619">
        <v>32</v>
      </c>
    </row>
    <row r="2620" spans="1:4" x14ac:dyDescent="0.25">
      <c r="A2620" s="1">
        <v>42067</v>
      </c>
      <c r="B2620">
        <v>1</v>
      </c>
      <c r="C2620">
        <v>2</v>
      </c>
      <c r="D2620">
        <v>39</v>
      </c>
    </row>
    <row r="2621" spans="1:4" x14ac:dyDescent="0.25">
      <c r="A2621" s="1">
        <v>42068</v>
      </c>
      <c r="B2621">
        <v>1</v>
      </c>
      <c r="C2621">
        <v>2</v>
      </c>
      <c r="D2621">
        <v>61</v>
      </c>
    </row>
    <row r="2622" spans="1:4" x14ac:dyDescent="0.25">
      <c r="A2622" s="1">
        <v>42069</v>
      </c>
      <c r="B2622">
        <v>1</v>
      </c>
      <c r="C2622">
        <v>2</v>
      </c>
      <c r="D2622">
        <v>64</v>
      </c>
    </row>
    <row r="2623" spans="1:4" x14ac:dyDescent="0.25">
      <c r="A2623" s="1">
        <v>42070</v>
      </c>
      <c r="B2623">
        <v>1</v>
      </c>
      <c r="C2623">
        <v>2</v>
      </c>
      <c r="D2623">
        <v>65</v>
      </c>
    </row>
    <row r="2624" spans="1:4" x14ac:dyDescent="0.25">
      <c r="A2624" s="1">
        <v>42071</v>
      </c>
      <c r="B2624">
        <v>1</v>
      </c>
      <c r="C2624">
        <v>2</v>
      </c>
      <c r="D2624">
        <v>61</v>
      </c>
    </row>
    <row r="2625" spans="1:4" x14ac:dyDescent="0.25">
      <c r="A2625" s="1">
        <v>42072</v>
      </c>
      <c r="B2625">
        <v>1</v>
      </c>
      <c r="C2625">
        <v>2</v>
      </c>
      <c r="D2625">
        <v>50</v>
      </c>
    </row>
    <row r="2626" spans="1:4" x14ac:dyDescent="0.25">
      <c r="A2626" s="1">
        <v>42073</v>
      </c>
      <c r="B2626">
        <v>1</v>
      </c>
      <c r="C2626">
        <v>2</v>
      </c>
      <c r="D2626">
        <v>55</v>
      </c>
    </row>
    <row r="2627" spans="1:4" x14ac:dyDescent="0.25">
      <c r="A2627" s="1">
        <v>42074</v>
      </c>
      <c r="B2627">
        <v>1</v>
      </c>
      <c r="C2627">
        <v>2</v>
      </c>
      <c r="D2627">
        <v>45</v>
      </c>
    </row>
    <row r="2628" spans="1:4" x14ac:dyDescent="0.25">
      <c r="A2628" s="1">
        <v>42075</v>
      </c>
      <c r="B2628">
        <v>1</v>
      </c>
      <c r="C2628">
        <v>2</v>
      </c>
      <c r="D2628">
        <v>46</v>
      </c>
    </row>
    <row r="2629" spans="1:4" x14ac:dyDescent="0.25">
      <c r="A2629" s="1">
        <v>42076</v>
      </c>
      <c r="B2629">
        <v>1</v>
      </c>
      <c r="C2629">
        <v>2</v>
      </c>
      <c r="D2629">
        <v>50</v>
      </c>
    </row>
    <row r="2630" spans="1:4" x14ac:dyDescent="0.25">
      <c r="A2630" s="1">
        <v>42077</v>
      </c>
      <c r="B2630">
        <v>1</v>
      </c>
      <c r="C2630">
        <v>2</v>
      </c>
      <c r="D2630">
        <v>63</v>
      </c>
    </row>
    <row r="2631" spans="1:4" x14ac:dyDescent="0.25">
      <c r="A2631" s="1">
        <v>42078</v>
      </c>
      <c r="B2631">
        <v>1</v>
      </c>
      <c r="C2631">
        <v>2</v>
      </c>
      <c r="D2631">
        <v>58</v>
      </c>
    </row>
    <row r="2632" spans="1:4" x14ac:dyDescent="0.25">
      <c r="A2632" s="1">
        <v>42079</v>
      </c>
      <c r="B2632">
        <v>1</v>
      </c>
      <c r="C2632">
        <v>2</v>
      </c>
      <c r="D2632">
        <v>48</v>
      </c>
    </row>
    <row r="2633" spans="1:4" x14ac:dyDescent="0.25">
      <c r="A2633" s="1">
        <v>42080</v>
      </c>
      <c r="B2633">
        <v>1</v>
      </c>
      <c r="C2633">
        <v>2</v>
      </c>
      <c r="D2633">
        <v>39</v>
      </c>
    </row>
    <row r="2634" spans="1:4" x14ac:dyDescent="0.25">
      <c r="A2634" s="1">
        <v>42081</v>
      </c>
      <c r="B2634">
        <v>1</v>
      </c>
      <c r="C2634">
        <v>2</v>
      </c>
      <c r="D2634">
        <v>44</v>
      </c>
    </row>
    <row r="2635" spans="1:4" x14ac:dyDescent="0.25">
      <c r="A2635" s="1">
        <v>42082</v>
      </c>
      <c r="B2635">
        <v>1</v>
      </c>
      <c r="C2635">
        <v>2</v>
      </c>
      <c r="D2635">
        <v>33</v>
      </c>
    </row>
    <row r="2636" spans="1:4" x14ac:dyDescent="0.25">
      <c r="A2636" s="1">
        <v>42083</v>
      </c>
      <c r="B2636">
        <v>1</v>
      </c>
      <c r="C2636">
        <v>2</v>
      </c>
      <c r="D2636">
        <v>61</v>
      </c>
    </row>
    <row r="2637" spans="1:4" x14ac:dyDescent="0.25">
      <c r="A2637" s="1">
        <v>42084</v>
      </c>
      <c r="B2637">
        <v>1</v>
      </c>
      <c r="C2637">
        <v>2</v>
      </c>
      <c r="D2637">
        <v>41</v>
      </c>
    </row>
    <row r="2638" spans="1:4" x14ac:dyDescent="0.25">
      <c r="A2638" s="1">
        <v>42085</v>
      </c>
      <c r="B2638">
        <v>1</v>
      </c>
      <c r="C2638">
        <v>2</v>
      </c>
      <c r="D2638">
        <v>60</v>
      </c>
    </row>
    <row r="2639" spans="1:4" x14ac:dyDescent="0.25">
      <c r="A2639" s="1">
        <v>42086</v>
      </c>
      <c r="B2639">
        <v>1</v>
      </c>
      <c r="C2639">
        <v>2</v>
      </c>
      <c r="D2639">
        <v>45</v>
      </c>
    </row>
    <row r="2640" spans="1:4" x14ac:dyDescent="0.25">
      <c r="A2640" s="1">
        <v>42087</v>
      </c>
      <c r="B2640">
        <v>1</v>
      </c>
      <c r="C2640">
        <v>2</v>
      </c>
      <c r="D2640">
        <v>42</v>
      </c>
    </row>
    <row r="2641" spans="1:4" x14ac:dyDescent="0.25">
      <c r="A2641" s="1">
        <v>42088</v>
      </c>
      <c r="B2641">
        <v>1</v>
      </c>
      <c r="C2641">
        <v>2</v>
      </c>
      <c r="D2641">
        <v>46</v>
      </c>
    </row>
    <row r="2642" spans="1:4" x14ac:dyDescent="0.25">
      <c r="A2642" s="1">
        <v>42089</v>
      </c>
      <c r="B2642">
        <v>1</v>
      </c>
      <c r="C2642">
        <v>2</v>
      </c>
      <c r="D2642">
        <v>42</v>
      </c>
    </row>
    <row r="2643" spans="1:4" x14ac:dyDescent="0.25">
      <c r="A2643" s="1">
        <v>42090</v>
      </c>
      <c r="B2643">
        <v>1</v>
      </c>
      <c r="C2643">
        <v>2</v>
      </c>
      <c r="D2643">
        <v>61</v>
      </c>
    </row>
    <row r="2644" spans="1:4" x14ac:dyDescent="0.25">
      <c r="A2644" s="1">
        <v>42091</v>
      </c>
      <c r="B2644">
        <v>1</v>
      </c>
      <c r="C2644">
        <v>2</v>
      </c>
      <c r="D2644">
        <v>65</v>
      </c>
    </row>
    <row r="2645" spans="1:4" x14ac:dyDescent="0.25">
      <c r="A2645" s="1">
        <v>42092</v>
      </c>
      <c r="B2645">
        <v>1</v>
      </c>
      <c r="C2645">
        <v>2</v>
      </c>
      <c r="D2645">
        <v>55</v>
      </c>
    </row>
    <row r="2646" spans="1:4" x14ac:dyDescent="0.25">
      <c r="A2646" s="1">
        <v>42093</v>
      </c>
      <c r="B2646">
        <v>1</v>
      </c>
      <c r="C2646">
        <v>2</v>
      </c>
      <c r="D2646">
        <v>32</v>
      </c>
    </row>
    <row r="2647" spans="1:4" x14ac:dyDescent="0.25">
      <c r="A2647" s="1">
        <v>42094</v>
      </c>
      <c r="B2647">
        <v>1</v>
      </c>
      <c r="C2647">
        <v>2</v>
      </c>
      <c r="D2647">
        <v>43</v>
      </c>
    </row>
    <row r="2648" spans="1:4" x14ac:dyDescent="0.25">
      <c r="A2648" s="1">
        <v>42095</v>
      </c>
      <c r="B2648">
        <v>1</v>
      </c>
      <c r="C2648">
        <v>2</v>
      </c>
      <c r="D2648">
        <v>48</v>
      </c>
    </row>
    <row r="2649" spans="1:4" x14ac:dyDescent="0.25">
      <c r="A2649" s="1">
        <v>42096</v>
      </c>
      <c r="B2649">
        <v>1</v>
      </c>
      <c r="C2649">
        <v>2</v>
      </c>
      <c r="D2649">
        <v>60</v>
      </c>
    </row>
    <row r="2650" spans="1:4" x14ac:dyDescent="0.25">
      <c r="A2650" s="1">
        <v>42097</v>
      </c>
      <c r="B2650">
        <v>1</v>
      </c>
      <c r="C2650">
        <v>2</v>
      </c>
      <c r="D2650">
        <v>47</v>
      </c>
    </row>
    <row r="2651" spans="1:4" x14ac:dyDescent="0.25">
      <c r="A2651" s="1">
        <v>42098</v>
      </c>
      <c r="B2651">
        <v>1</v>
      </c>
      <c r="C2651">
        <v>2</v>
      </c>
      <c r="D2651">
        <v>64</v>
      </c>
    </row>
    <row r="2652" spans="1:4" x14ac:dyDescent="0.25">
      <c r="A2652" s="1">
        <v>42099</v>
      </c>
      <c r="B2652">
        <v>1</v>
      </c>
      <c r="C2652">
        <v>2</v>
      </c>
      <c r="D2652">
        <v>79</v>
      </c>
    </row>
    <row r="2653" spans="1:4" x14ac:dyDescent="0.25">
      <c r="A2653" s="1">
        <v>42100</v>
      </c>
      <c r="B2653">
        <v>1</v>
      </c>
      <c r="C2653">
        <v>2</v>
      </c>
      <c r="D2653">
        <v>55</v>
      </c>
    </row>
    <row r="2654" spans="1:4" x14ac:dyDescent="0.25">
      <c r="A2654" s="1">
        <v>42101</v>
      </c>
      <c r="B2654">
        <v>1</v>
      </c>
      <c r="C2654">
        <v>2</v>
      </c>
      <c r="D2654">
        <v>51</v>
      </c>
    </row>
    <row r="2655" spans="1:4" x14ac:dyDescent="0.25">
      <c r="A2655" s="1">
        <v>42102</v>
      </c>
      <c r="B2655">
        <v>1</v>
      </c>
      <c r="C2655">
        <v>2</v>
      </c>
      <c r="D2655">
        <v>53</v>
      </c>
    </row>
    <row r="2656" spans="1:4" x14ac:dyDescent="0.25">
      <c r="A2656" s="1">
        <v>42103</v>
      </c>
      <c r="B2656">
        <v>1</v>
      </c>
      <c r="C2656">
        <v>2</v>
      </c>
      <c r="D2656">
        <v>61</v>
      </c>
    </row>
    <row r="2657" spans="1:4" x14ac:dyDescent="0.25">
      <c r="A2657" s="1">
        <v>42104</v>
      </c>
      <c r="B2657">
        <v>1</v>
      </c>
      <c r="C2657">
        <v>2</v>
      </c>
      <c r="D2657">
        <v>53</v>
      </c>
    </row>
    <row r="2658" spans="1:4" x14ac:dyDescent="0.25">
      <c r="A2658" s="1">
        <v>42105</v>
      </c>
      <c r="B2658">
        <v>1</v>
      </c>
      <c r="C2658">
        <v>2</v>
      </c>
      <c r="D2658">
        <v>69</v>
      </c>
    </row>
    <row r="2659" spans="1:4" x14ac:dyDescent="0.25">
      <c r="A2659" s="1">
        <v>42106</v>
      </c>
      <c r="B2659">
        <v>1</v>
      </c>
      <c r="C2659">
        <v>2</v>
      </c>
      <c r="D2659">
        <v>61</v>
      </c>
    </row>
    <row r="2660" spans="1:4" x14ac:dyDescent="0.25">
      <c r="A2660" s="1">
        <v>42107</v>
      </c>
      <c r="B2660">
        <v>1</v>
      </c>
      <c r="C2660">
        <v>2</v>
      </c>
      <c r="D2660">
        <v>39</v>
      </c>
    </row>
    <row r="2661" spans="1:4" x14ac:dyDescent="0.25">
      <c r="A2661" s="1">
        <v>42108</v>
      </c>
      <c r="B2661">
        <v>1</v>
      </c>
      <c r="C2661">
        <v>2</v>
      </c>
      <c r="D2661">
        <v>43</v>
      </c>
    </row>
    <row r="2662" spans="1:4" x14ac:dyDescent="0.25">
      <c r="A2662" s="1">
        <v>42109</v>
      </c>
      <c r="B2662">
        <v>1</v>
      </c>
      <c r="C2662">
        <v>2</v>
      </c>
      <c r="D2662">
        <v>41</v>
      </c>
    </row>
    <row r="2663" spans="1:4" x14ac:dyDescent="0.25">
      <c r="A2663" s="1">
        <v>42110</v>
      </c>
      <c r="B2663">
        <v>1</v>
      </c>
      <c r="C2663">
        <v>2</v>
      </c>
      <c r="D2663">
        <v>69</v>
      </c>
    </row>
    <row r="2664" spans="1:4" x14ac:dyDescent="0.25">
      <c r="A2664" s="1">
        <v>42111</v>
      </c>
      <c r="B2664">
        <v>1</v>
      </c>
      <c r="C2664">
        <v>2</v>
      </c>
      <c r="D2664">
        <v>58</v>
      </c>
    </row>
    <row r="2665" spans="1:4" x14ac:dyDescent="0.25">
      <c r="A2665" s="1">
        <v>42112</v>
      </c>
      <c r="B2665">
        <v>1</v>
      </c>
      <c r="C2665">
        <v>2</v>
      </c>
      <c r="D2665">
        <v>60</v>
      </c>
    </row>
    <row r="2666" spans="1:4" x14ac:dyDescent="0.25">
      <c r="A2666" s="1">
        <v>42113</v>
      </c>
      <c r="B2666">
        <v>1</v>
      </c>
      <c r="C2666">
        <v>2</v>
      </c>
      <c r="D2666">
        <v>65</v>
      </c>
    </row>
    <row r="2667" spans="1:4" x14ac:dyDescent="0.25">
      <c r="A2667" s="1">
        <v>42114</v>
      </c>
      <c r="B2667">
        <v>1</v>
      </c>
      <c r="C2667">
        <v>2</v>
      </c>
      <c r="D2667">
        <v>41</v>
      </c>
    </row>
    <row r="2668" spans="1:4" x14ac:dyDescent="0.25">
      <c r="A2668" s="1">
        <v>42115</v>
      </c>
      <c r="B2668">
        <v>1</v>
      </c>
      <c r="C2668">
        <v>2</v>
      </c>
      <c r="D2668">
        <v>56</v>
      </c>
    </row>
    <row r="2669" spans="1:4" x14ac:dyDescent="0.25">
      <c r="A2669" s="1">
        <v>42116</v>
      </c>
      <c r="B2669">
        <v>1</v>
      </c>
      <c r="C2669">
        <v>2</v>
      </c>
      <c r="D2669">
        <v>49</v>
      </c>
    </row>
    <row r="2670" spans="1:4" x14ac:dyDescent="0.25">
      <c r="A2670" s="1">
        <v>42117</v>
      </c>
      <c r="B2670">
        <v>1</v>
      </c>
      <c r="C2670">
        <v>2</v>
      </c>
      <c r="D2670">
        <v>67</v>
      </c>
    </row>
    <row r="2671" spans="1:4" x14ac:dyDescent="0.25">
      <c r="A2671" s="1">
        <v>42118</v>
      </c>
      <c r="B2671">
        <v>1</v>
      </c>
      <c r="C2671">
        <v>2</v>
      </c>
      <c r="D2671">
        <v>61</v>
      </c>
    </row>
    <row r="2672" spans="1:4" x14ac:dyDescent="0.25">
      <c r="A2672" s="1">
        <v>42119</v>
      </c>
      <c r="B2672">
        <v>1</v>
      </c>
      <c r="C2672">
        <v>2</v>
      </c>
      <c r="D2672">
        <v>70</v>
      </c>
    </row>
    <row r="2673" spans="1:4" x14ac:dyDescent="0.25">
      <c r="A2673" s="1">
        <v>42120</v>
      </c>
      <c r="B2673">
        <v>1</v>
      </c>
      <c r="C2673">
        <v>2</v>
      </c>
      <c r="D2673">
        <v>66</v>
      </c>
    </row>
    <row r="2674" spans="1:4" x14ac:dyDescent="0.25">
      <c r="A2674" s="1">
        <v>42121</v>
      </c>
      <c r="B2674">
        <v>1</v>
      </c>
      <c r="C2674">
        <v>2</v>
      </c>
      <c r="D2674">
        <v>40</v>
      </c>
    </row>
    <row r="2675" spans="1:4" x14ac:dyDescent="0.25">
      <c r="A2675" s="1">
        <v>42122</v>
      </c>
      <c r="B2675">
        <v>1</v>
      </c>
      <c r="C2675">
        <v>2</v>
      </c>
      <c r="D2675">
        <v>57</v>
      </c>
    </row>
    <row r="2676" spans="1:4" x14ac:dyDescent="0.25">
      <c r="A2676" s="1">
        <v>42123</v>
      </c>
      <c r="B2676">
        <v>1</v>
      </c>
      <c r="C2676">
        <v>2</v>
      </c>
      <c r="D2676">
        <v>53</v>
      </c>
    </row>
    <row r="2677" spans="1:4" x14ac:dyDescent="0.25">
      <c r="A2677" s="1">
        <v>42124</v>
      </c>
      <c r="B2677">
        <v>1</v>
      </c>
      <c r="C2677">
        <v>2</v>
      </c>
      <c r="D2677">
        <v>64</v>
      </c>
    </row>
    <row r="2678" spans="1:4" x14ac:dyDescent="0.25">
      <c r="A2678" s="1">
        <v>42125</v>
      </c>
      <c r="B2678">
        <v>1</v>
      </c>
      <c r="C2678">
        <v>2</v>
      </c>
      <c r="D2678">
        <v>62</v>
      </c>
    </row>
    <row r="2679" spans="1:4" x14ac:dyDescent="0.25">
      <c r="A2679" s="1">
        <v>42126</v>
      </c>
      <c r="B2679">
        <v>1</v>
      </c>
      <c r="C2679">
        <v>2</v>
      </c>
      <c r="D2679">
        <v>77</v>
      </c>
    </row>
    <row r="2680" spans="1:4" x14ac:dyDescent="0.25">
      <c r="A2680" s="1">
        <v>42127</v>
      </c>
      <c r="B2680">
        <v>1</v>
      </c>
      <c r="C2680">
        <v>2</v>
      </c>
      <c r="D2680">
        <v>85</v>
      </c>
    </row>
    <row r="2681" spans="1:4" x14ac:dyDescent="0.25">
      <c r="A2681" s="1">
        <v>42128</v>
      </c>
      <c r="B2681">
        <v>1</v>
      </c>
      <c r="C2681">
        <v>2</v>
      </c>
      <c r="D2681">
        <v>51</v>
      </c>
    </row>
    <row r="2682" spans="1:4" x14ac:dyDescent="0.25">
      <c r="A2682" s="1">
        <v>42129</v>
      </c>
      <c r="B2682">
        <v>1</v>
      </c>
      <c r="C2682">
        <v>2</v>
      </c>
      <c r="D2682">
        <v>50</v>
      </c>
    </row>
    <row r="2683" spans="1:4" x14ac:dyDescent="0.25">
      <c r="A2683" s="1">
        <v>42130</v>
      </c>
      <c r="B2683">
        <v>1</v>
      </c>
      <c r="C2683">
        <v>2</v>
      </c>
      <c r="D2683">
        <v>60</v>
      </c>
    </row>
    <row r="2684" spans="1:4" x14ac:dyDescent="0.25">
      <c r="A2684" s="1">
        <v>42131</v>
      </c>
      <c r="B2684">
        <v>1</v>
      </c>
      <c r="C2684">
        <v>2</v>
      </c>
      <c r="D2684">
        <v>69</v>
      </c>
    </row>
    <row r="2685" spans="1:4" x14ac:dyDescent="0.25">
      <c r="A2685" s="1">
        <v>42132</v>
      </c>
      <c r="B2685">
        <v>1</v>
      </c>
      <c r="C2685">
        <v>2</v>
      </c>
      <c r="D2685">
        <v>60</v>
      </c>
    </row>
    <row r="2686" spans="1:4" x14ac:dyDescent="0.25">
      <c r="A2686" s="1">
        <v>42133</v>
      </c>
      <c r="B2686">
        <v>1</v>
      </c>
      <c r="C2686">
        <v>2</v>
      </c>
      <c r="D2686">
        <v>61</v>
      </c>
    </row>
    <row r="2687" spans="1:4" x14ac:dyDescent="0.25">
      <c r="A2687" s="1">
        <v>42134</v>
      </c>
      <c r="B2687">
        <v>1</v>
      </c>
      <c r="C2687">
        <v>2</v>
      </c>
      <c r="D2687">
        <v>78</v>
      </c>
    </row>
    <row r="2688" spans="1:4" x14ac:dyDescent="0.25">
      <c r="A2688" s="1">
        <v>42135</v>
      </c>
      <c r="B2688">
        <v>1</v>
      </c>
      <c r="C2688">
        <v>2</v>
      </c>
      <c r="D2688">
        <v>57</v>
      </c>
    </row>
    <row r="2689" spans="1:4" x14ac:dyDescent="0.25">
      <c r="A2689" s="1">
        <v>42136</v>
      </c>
      <c r="B2689">
        <v>1</v>
      </c>
      <c r="C2689">
        <v>2</v>
      </c>
      <c r="D2689">
        <v>57</v>
      </c>
    </row>
    <row r="2690" spans="1:4" x14ac:dyDescent="0.25">
      <c r="A2690" s="1">
        <v>42137</v>
      </c>
      <c r="B2690">
        <v>1</v>
      </c>
      <c r="C2690">
        <v>2</v>
      </c>
      <c r="D2690">
        <v>58</v>
      </c>
    </row>
    <row r="2691" spans="1:4" x14ac:dyDescent="0.25">
      <c r="A2691" s="1">
        <v>42138</v>
      </c>
      <c r="B2691">
        <v>1</v>
      </c>
      <c r="C2691">
        <v>2</v>
      </c>
      <c r="D2691">
        <v>61</v>
      </c>
    </row>
    <row r="2692" spans="1:4" x14ac:dyDescent="0.25">
      <c r="A2692" s="1">
        <v>42139</v>
      </c>
      <c r="B2692">
        <v>1</v>
      </c>
      <c r="C2692">
        <v>2</v>
      </c>
      <c r="D2692">
        <v>59</v>
      </c>
    </row>
    <row r="2693" spans="1:4" x14ac:dyDescent="0.25">
      <c r="A2693" s="1">
        <v>42140</v>
      </c>
      <c r="B2693">
        <v>1</v>
      </c>
      <c r="C2693">
        <v>2</v>
      </c>
      <c r="D2693">
        <v>77</v>
      </c>
    </row>
    <row r="2694" spans="1:4" x14ac:dyDescent="0.25">
      <c r="A2694" s="1">
        <v>42141</v>
      </c>
      <c r="B2694">
        <v>1</v>
      </c>
      <c r="C2694">
        <v>2</v>
      </c>
      <c r="D2694">
        <v>61</v>
      </c>
    </row>
    <row r="2695" spans="1:4" x14ac:dyDescent="0.25">
      <c r="A2695" s="1">
        <v>42142</v>
      </c>
      <c r="B2695">
        <v>1</v>
      </c>
      <c r="C2695">
        <v>2</v>
      </c>
      <c r="D2695">
        <v>50</v>
      </c>
    </row>
    <row r="2696" spans="1:4" x14ac:dyDescent="0.25">
      <c r="A2696" s="1">
        <v>42143</v>
      </c>
      <c r="B2696">
        <v>1</v>
      </c>
      <c r="C2696">
        <v>2</v>
      </c>
      <c r="D2696">
        <v>58</v>
      </c>
    </row>
    <row r="2697" spans="1:4" x14ac:dyDescent="0.25">
      <c r="A2697" s="1">
        <v>42144</v>
      </c>
      <c r="B2697">
        <v>1</v>
      </c>
      <c r="C2697">
        <v>2</v>
      </c>
      <c r="D2697">
        <v>48</v>
      </c>
    </row>
    <row r="2698" spans="1:4" x14ac:dyDescent="0.25">
      <c r="A2698" s="1">
        <v>42145</v>
      </c>
      <c r="B2698">
        <v>1</v>
      </c>
      <c r="C2698">
        <v>2</v>
      </c>
      <c r="D2698">
        <v>60</v>
      </c>
    </row>
    <row r="2699" spans="1:4" x14ac:dyDescent="0.25">
      <c r="A2699" s="1">
        <v>42146</v>
      </c>
      <c r="B2699">
        <v>1</v>
      </c>
      <c r="C2699">
        <v>2</v>
      </c>
      <c r="D2699">
        <v>68</v>
      </c>
    </row>
    <row r="2700" spans="1:4" x14ac:dyDescent="0.25">
      <c r="A2700" s="1">
        <v>42147</v>
      </c>
      <c r="B2700">
        <v>1</v>
      </c>
      <c r="C2700">
        <v>2</v>
      </c>
      <c r="D2700">
        <v>65</v>
      </c>
    </row>
    <row r="2701" spans="1:4" x14ac:dyDescent="0.25">
      <c r="A2701" s="1">
        <v>42148</v>
      </c>
      <c r="B2701">
        <v>1</v>
      </c>
      <c r="C2701">
        <v>2</v>
      </c>
      <c r="D2701">
        <v>81</v>
      </c>
    </row>
    <row r="2702" spans="1:4" x14ac:dyDescent="0.25">
      <c r="A2702" s="1">
        <v>42149</v>
      </c>
      <c r="B2702">
        <v>1</v>
      </c>
      <c r="C2702">
        <v>2</v>
      </c>
      <c r="D2702">
        <v>44</v>
      </c>
    </row>
    <row r="2703" spans="1:4" x14ac:dyDescent="0.25">
      <c r="A2703" s="1">
        <v>42150</v>
      </c>
      <c r="B2703">
        <v>1</v>
      </c>
      <c r="C2703">
        <v>2</v>
      </c>
      <c r="D2703">
        <v>66</v>
      </c>
    </row>
    <row r="2704" spans="1:4" x14ac:dyDescent="0.25">
      <c r="A2704" s="1">
        <v>42151</v>
      </c>
      <c r="B2704">
        <v>1</v>
      </c>
      <c r="C2704">
        <v>2</v>
      </c>
      <c r="D2704">
        <v>57</v>
      </c>
    </row>
    <row r="2705" spans="1:4" x14ac:dyDescent="0.25">
      <c r="A2705" s="1">
        <v>42152</v>
      </c>
      <c r="B2705">
        <v>1</v>
      </c>
      <c r="C2705">
        <v>2</v>
      </c>
      <c r="D2705">
        <v>72</v>
      </c>
    </row>
    <row r="2706" spans="1:4" x14ac:dyDescent="0.25">
      <c r="A2706" s="1">
        <v>42153</v>
      </c>
      <c r="B2706">
        <v>1</v>
      </c>
      <c r="C2706">
        <v>2</v>
      </c>
      <c r="D2706">
        <v>45</v>
      </c>
    </row>
    <row r="2707" spans="1:4" x14ac:dyDescent="0.25">
      <c r="A2707" s="1">
        <v>42154</v>
      </c>
      <c r="B2707">
        <v>1</v>
      </c>
      <c r="C2707">
        <v>2</v>
      </c>
      <c r="D2707">
        <v>65</v>
      </c>
    </row>
    <row r="2708" spans="1:4" x14ac:dyDescent="0.25">
      <c r="A2708" s="1">
        <v>42155</v>
      </c>
      <c r="B2708">
        <v>1</v>
      </c>
      <c r="C2708">
        <v>2</v>
      </c>
      <c r="D2708">
        <v>79</v>
      </c>
    </row>
    <row r="2709" spans="1:4" x14ac:dyDescent="0.25">
      <c r="A2709" s="1">
        <v>42156</v>
      </c>
      <c r="B2709">
        <v>1</v>
      </c>
      <c r="C2709">
        <v>2</v>
      </c>
      <c r="D2709">
        <v>49</v>
      </c>
    </row>
    <row r="2710" spans="1:4" x14ac:dyDescent="0.25">
      <c r="A2710" s="1">
        <v>42157</v>
      </c>
      <c r="B2710">
        <v>1</v>
      </c>
      <c r="C2710">
        <v>2</v>
      </c>
      <c r="D2710">
        <v>55</v>
      </c>
    </row>
    <row r="2711" spans="1:4" x14ac:dyDescent="0.25">
      <c r="A2711" s="1">
        <v>42158</v>
      </c>
      <c r="B2711">
        <v>1</v>
      </c>
      <c r="C2711">
        <v>2</v>
      </c>
      <c r="D2711">
        <v>56</v>
      </c>
    </row>
    <row r="2712" spans="1:4" x14ac:dyDescent="0.25">
      <c r="A2712" s="1">
        <v>42159</v>
      </c>
      <c r="B2712">
        <v>1</v>
      </c>
      <c r="C2712">
        <v>2</v>
      </c>
      <c r="D2712">
        <v>66</v>
      </c>
    </row>
    <row r="2713" spans="1:4" x14ac:dyDescent="0.25">
      <c r="A2713" s="1">
        <v>42160</v>
      </c>
      <c r="B2713">
        <v>1</v>
      </c>
      <c r="C2713">
        <v>2</v>
      </c>
      <c r="D2713">
        <v>65</v>
      </c>
    </row>
    <row r="2714" spans="1:4" x14ac:dyDescent="0.25">
      <c r="A2714" s="1">
        <v>42161</v>
      </c>
      <c r="B2714">
        <v>1</v>
      </c>
      <c r="C2714">
        <v>2</v>
      </c>
      <c r="D2714">
        <v>82</v>
      </c>
    </row>
    <row r="2715" spans="1:4" x14ac:dyDescent="0.25">
      <c r="A2715" s="1">
        <v>42162</v>
      </c>
      <c r="B2715">
        <v>1</v>
      </c>
      <c r="C2715">
        <v>2</v>
      </c>
      <c r="D2715">
        <v>76</v>
      </c>
    </row>
    <row r="2716" spans="1:4" x14ac:dyDescent="0.25">
      <c r="A2716" s="1">
        <v>42163</v>
      </c>
      <c r="B2716">
        <v>1</v>
      </c>
      <c r="C2716">
        <v>2</v>
      </c>
      <c r="D2716">
        <v>44</v>
      </c>
    </row>
    <row r="2717" spans="1:4" x14ac:dyDescent="0.25">
      <c r="A2717" s="1">
        <v>42164</v>
      </c>
      <c r="B2717">
        <v>1</v>
      </c>
      <c r="C2717">
        <v>2</v>
      </c>
      <c r="D2717">
        <v>62</v>
      </c>
    </row>
    <row r="2718" spans="1:4" x14ac:dyDescent="0.25">
      <c r="A2718" s="1">
        <v>42165</v>
      </c>
      <c r="B2718">
        <v>1</v>
      </c>
      <c r="C2718">
        <v>2</v>
      </c>
      <c r="D2718">
        <v>61</v>
      </c>
    </row>
    <row r="2719" spans="1:4" x14ac:dyDescent="0.25">
      <c r="A2719" s="1">
        <v>42166</v>
      </c>
      <c r="B2719">
        <v>1</v>
      </c>
      <c r="C2719">
        <v>2</v>
      </c>
      <c r="D2719">
        <v>38</v>
      </c>
    </row>
    <row r="2720" spans="1:4" x14ac:dyDescent="0.25">
      <c r="A2720" s="1">
        <v>42167</v>
      </c>
      <c r="B2720">
        <v>1</v>
      </c>
      <c r="C2720">
        <v>2</v>
      </c>
      <c r="D2720">
        <v>55</v>
      </c>
    </row>
    <row r="2721" spans="1:4" x14ac:dyDescent="0.25">
      <c r="A2721" s="1">
        <v>42168</v>
      </c>
      <c r="B2721">
        <v>1</v>
      </c>
      <c r="C2721">
        <v>2</v>
      </c>
      <c r="D2721">
        <v>71</v>
      </c>
    </row>
    <row r="2722" spans="1:4" x14ac:dyDescent="0.25">
      <c r="A2722" s="1">
        <v>42169</v>
      </c>
      <c r="B2722">
        <v>1</v>
      </c>
      <c r="C2722">
        <v>2</v>
      </c>
      <c r="D2722">
        <v>76</v>
      </c>
    </row>
    <row r="2723" spans="1:4" x14ac:dyDescent="0.25">
      <c r="A2723" s="1">
        <v>42170</v>
      </c>
      <c r="B2723">
        <v>1</v>
      </c>
      <c r="C2723">
        <v>2</v>
      </c>
      <c r="D2723">
        <v>45</v>
      </c>
    </row>
    <row r="2724" spans="1:4" x14ac:dyDescent="0.25">
      <c r="A2724" s="1">
        <v>42171</v>
      </c>
      <c r="B2724">
        <v>1</v>
      </c>
      <c r="C2724">
        <v>2</v>
      </c>
      <c r="D2724">
        <v>46</v>
      </c>
    </row>
    <row r="2725" spans="1:4" x14ac:dyDescent="0.25">
      <c r="A2725" s="1">
        <v>42172</v>
      </c>
      <c r="B2725">
        <v>1</v>
      </c>
      <c r="C2725">
        <v>2</v>
      </c>
      <c r="D2725">
        <v>78</v>
      </c>
    </row>
    <row r="2726" spans="1:4" x14ac:dyDescent="0.25">
      <c r="A2726" s="1">
        <v>42173</v>
      </c>
      <c r="B2726">
        <v>1</v>
      </c>
      <c r="C2726">
        <v>2</v>
      </c>
      <c r="D2726">
        <v>53</v>
      </c>
    </row>
    <row r="2727" spans="1:4" x14ac:dyDescent="0.25">
      <c r="A2727" s="1">
        <v>42174</v>
      </c>
      <c r="B2727">
        <v>1</v>
      </c>
      <c r="C2727">
        <v>2</v>
      </c>
      <c r="D2727">
        <v>68</v>
      </c>
    </row>
    <row r="2728" spans="1:4" x14ac:dyDescent="0.25">
      <c r="A2728" s="1">
        <v>42175</v>
      </c>
      <c r="B2728">
        <v>1</v>
      </c>
      <c r="C2728">
        <v>2</v>
      </c>
      <c r="D2728">
        <v>71</v>
      </c>
    </row>
    <row r="2729" spans="1:4" x14ac:dyDescent="0.25">
      <c r="A2729" s="1">
        <v>42176</v>
      </c>
      <c r="B2729">
        <v>1</v>
      </c>
      <c r="C2729">
        <v>2</v>
      </c>
      <c r="D2729">
        <v>69</v>
      </c>
    </row>
    <row r="2730" spans="1:4" x14ac:dyDescent="0.25">
      <c r="A2730" s="1">
        <v>42177</v>
      </c>
      <c r="B2730">
        <v>1</v>
      </c>
      <c r="C2730">
        <v>2</v>
      </c>
      <c r="D2730">
        <v>60</v>
      </c>
    </row>
    <row r="2731" spans="1:4" x14ac:dyDescent="0.25">
      <c r="A2731" s="1">
        <v>42178</v>
      </c>
      <c r="B2731">
        <v>1</v>
      </c>
      <c r="C2731">
        <v>2</v>
      </c>
      <c r="D2731">
        <v>50</v>
      </c>
    </row>
    <row r="2732" spans="1:4" x14ac:dyDescent="0.25">
      <c r="A2732" s="1">
        <v>42179</v>
      </c>
      <c r="B2732">
        <v>1</v>
      </c>
      <c r="C2732">
        <v>2</v>
      </c>
      <c r="D2732">
        <v>65</v>
      </c>
    </row>
    <row r="2733" spans="1:4" x14ac:dyDescent="0.25">
      <c r="A2733" s="1">
        <v>42180</v>
      </c>
      <c r="B2733">
        <v>1</v>
      </c>
      <c r="C2733">
        <v>2</v>
      </c>
      <c r="D2733">
        <v>52</v>
      </c>
    </row>
    <row r="2734" spans="1:4" x14ac:dyDescent="0.25">
      <c r="A2734" s="1">
        <v>42181</v>
      </c>
      <c r="B2734">
        <v>1</v>
      </c>
      <c r="C2734">
        <v>2</v>
      </c>
      <c r="D2734">
        <v>48</v>
      </c>
    </row>
    <row r="2735" spans="1:4" x14ac:dyDescent="0.25">
      <c r="A2735" s="1">
        <v>42182</v>
      </c>
      <c r="B2735">
        <v>1</v>
      </c>
      <c r="C2735">
        <v>2</v>
      </c>
      <c r="D2735">
        <v>55</v>
      </c>
    </row>
    <row r="2736" spans="1:4" x14ac:dyDescent="0.25">
      <c r="A2736" s="1">
        <v>42183</v>
      </c>
      <c r="B2736">
        <v>1</v>
      </c>
      <c r="C2736">
        <v>2</v>
      </c>
      <c r="D2736">
        <v>74</v>
      </c>
    </row>
    <row r="2737" spans="1:4" x14ac:dyDescent="0.25">
      <c r="A2737" s="1">
        <v>42184</v>
      </c>
      <c r="B2737">
        <v>1</v>
      </c>
      <c r="C2737">
        <v>2</v>
      </c>
      <c r="D2737">
        <v>67</v>
      </c>
    </row>
    <row r="2738" spans="1:4" x14ac:dyDescent="0.25">
      <c r="A2738" s="1">
        <v>42185</v>
      </c>
      <c r="B2738">
        <v>1</v>
      </c>
      <c r="C2738">
        <v>2</v>
      </c>
      <c r="D2738">
        <v>71</v>
      </c>
    </row>
    <row r="2739" spans="1:4" x14ac:dyDescent="0.25">
      <c r="A2739" s="1">
        <v>42186</v>
      </c>
      <c r="B2739">
        <v>1</v>
      </c>
      <c r="C2739">
        <v>2</v>
      </c>
      <c r="D2739">
        <v>48</v>
      </c>
    </row>
    <row r="2740" spans="1:4" x14ac:dyDescent="0.25">
      <c r="A2740" s="1">
        <v>42187</v>
      </c>
      <c r="B2740">
        <v>1</v>
      </c>
      <c r="C2740">
        <v>2</v>
      </c>
      <c r="D2740">
        <v>65</v>
      </c>
    </row>
    <row r="2741" spans="1:4" x14ac:dyDescent="0.25">
      <c r="A2741" s="1">
        <v>42188</v>
      </c>
      <c r="B2741">
        <v>1</v>
      </c>
      <c r="C2741">
        <v>2</v>
      </c>
      <c r="D2741">
        <v>62</v>
      </c>
    </row>
    <row r="2742" spans="1:4" x14ac:dyDescent="0.25">
      <c r="A2742" s="1">
        <v>42189</v>
      </c>
      <c r="B2742">
        <v>1</v>
      </c>
      <c r="C2742">
        <v>2</v>
      </c>
      <c r="D2742">
        <v>90</v>
      </c>
    </row>
    <row r="2743" spans="1:4" x14ac:dyDescent="0.25">
      <c r="A2743" s="1">
        <v>42190</v>
      </c>
      <c r="B2743">
        <v>1</v>
      </c>
      <c r="C2743">
        <v>2</v>
      </c>
      <c r="D2743">
        <v>84</v>
      </c>
    </row>
    <row r="2744" spans="1:4" x14ac:dyDescent="0.25">
      <c r="A2744" s="1">
        <v>42191</v>
      </c>
      <c r="B2744">
        <v>1</v>
      </c>
      <c r="C2744">
        <v>2</v>
      </c>
      <c r="D2744">
        <v>43</v>
      </c>
    </row>
    <row r="2745" spans="1:4" x14ac:dyDescent="0.25">
      <c r="A2745" s="1">
        <v>42192</v>
      </c>
      <c r="B2745">
        <v>1</v>
      </c>
      <c r="C2745">
        <v>2</v>
      </c>
      <c r="D2745">
        <v>62</v>
      </c>
    </row>
    <row r="2746" spans="1:4" x14ac:dyDescent="0.25">
      <c r="A2746" s="1">
        <v>42193</v>
      </c>
      <c r="B2746">
        <v>1</v>
      </c>
      <c r="C2746">
        <v>2</v>
      </c>
      <c r="D2746">
        <v>57</v>
      </c>
    </row>
    <row r="2747" spans="1:4" x14ac:dyDescent="0.25">
      <c r="A2747" s="1">
        <v>42194</v>
      </c>
      <c r="B2747">
        <v>1</v>
      </c>
      <c r="C2747">
        <v>2</v>
      </c>
      <c r="D2747">
        <v>74</v>
      </c>
    </row>
    <row r="2748" spans="1:4" x14ac:dyDescent="0.25">
      <c r="A2748" s="1">
        <v>42195</v>
      </c>
      <c r="B2748">
        <v>1</v>
      </c>
      <c r="C2748">
        <v>2</v>
      </c>
      <c r="D2748">
        <v>60</v>
      </c>
    </row>
    <row r="2749" spans="1:4" x14ac:dyDescent="0.25">
      <c r="A2749" s="1">
        <v>42196</v>
      </c>
      <c r="B2749">
        <v>1</v>
      </c>
      <c r="C2749">
        <v>2</v>
      </c>
      <c r="D2749">
        <v>67</v>
      </c>
    </row>
    <row r="2750" spans="1:4" x14ac:dyDescent="0.25">
      <c r="A2750" s="1">
        <v>42197</v>
      </c>
      <c r="B2750">
        <v>1</v>
      </c>
      <c r="C2750">
        <v>2</v>
      </c>
      <c r="D2750">
        <v>59</v>
      </c>
    </row>
    <row r="2751" spans="1:4" x14ac:dyDescent="0.25">
      <c r="A2751" s="1">
        <v>42198</v>
      </c>
      <c r="B2751">
        <v>1</v>
      </c>
      <c r="C2751">
        <v>2</v>
      </c>
      <c r="D2751">
        <v>53</v>
      </c>
    </row>
    <row r="2752" spans="1:4" x14ac:dyDescent="0.25">
      <c r="A2752" s="1">
        <v>42199</v>
      </c>
      <c r="B2752">
        <v>1</v>
      </c>
      <c r="C2752">
        <v>2</v>
      </c>
      <c r="D2752">
        <v>54</v>
      </c>
    </row>
    <row r="2753" spans="1:4" x14ac:dyDescent="0.25">
      <c r="A2753" s="1">
        <v>42200</v>
      </c>
      <c r="B2753">
        <v>1</v>
      </c>
      <c r="C2753">
        <v>2</v>
      </c>
      <c r="D2753">
        <v>72</v>
      </c>
    </row>
    <row r="2754" spans="1:4" x14ac:dyDescent="0.25">
      <c r="A2754" s="1">
        <v>42201</v>
      </c>
      <c r="B2754">
        <v>1</v>
      </c>
      <c r="C2754">
        <v>2</v>
      </c>
      <c r="D2754">
        <v>62</v>
      </c>
    </row>
    <row r="2755" spans="1:4" x14ac:dyDescent="0.25">
      <c r="A2755" s="1">
        <v>42202</v>
      </c>
      <c r="B2755">
        <v>1</v>
      </c>
      <c r="C2755">
        <v>2</v>
      </c>
      <c r="D2755">
        <v>76</v>
      </c>
    </row>
    <row r="2756" spans="1:4" x14ac:dyDescent="0.25">
      <c r="A2756" s="1">
        <v>42203</v>
      </c>
      <c r="B2756">
        <v>1</v>
      </c>
      <c r="C2756">
        <v>2</v>
      </c>
      <c r="D2756">
        <v>71</v>
      </c>
    </row>
    <row r="2757" spans="1:4" x14ac:dyDescent="0.25">
      <c r="A2757" s="1">
        <v>42204</v>
      </c>
      <c r="B2757">
        <v>1</v>
      </c>
      <c r="C2757">
        <v>2</v>
      </c>
      <c r="D2757">
        <v>76</v>
      </c>
    </row>
    <row r="2758" spans="1:4" x14ac:dyDescent="0.25">
      <c r="A2758" s="1">
        <v>42205</v>
      </c>
      <c r="B2758">
        <v>1</v>
      </c>
      <c r="C2758">
        <v>2</v>
      </c>
      <c r="D2758">
        <v>41</v>
      </c>
    </row>
    <row r="2759" spans="1:4" x14ac:dyDescent="0.25">
      <c r="A2759" s="1">
        <v>42206</v>
      </c>
      <c r="B2759">
        <v>1</v>
      </c>
      <c r="C2759">
        <v>2</v>
      </c>
      <c r="D2759">
        <v>60</v>
      </c>
    </row>
    <row r="2760" spans="1:4" x14ac:dyDescent="0.25">
      <c r="A2760" s="1">
        <v>42207</v>
      </c>
      <c r="B2760">
        <v>1</v>
      </c>
      <c r="C2760">
        <v>2</v>
      </c>
      <c r="D2760">
        <v>57</v>
      </c>
    </row>
    <row r="2761" spans="1:4" x14ac:dyDescent="0.25">
      <c r="A2761" s="1">
        <v>42208</v>
      </c>
      <c r="B2761">
        <v>1</v>
      </c>
      <c r="C2761">
        <v>2</v>
      </c>
      <c r="D2761">
        <v>44</v>
      </c>
    </row>
    <row r="2762" spans="1:4" x14ac:dyDescent="0.25">
      <c r="A2762" s="1">
        <v>42209</v>
      </c>
      <c r="B2762">
        <v>1</v>
      </c>
      <c r="C2762">
        <v>2</v>
      </c>
      <c r="D2762">
        <v>68</v>
      </c>
    </row>
    <row r="2763" spans="1:4" x14ac:dyDescent="0.25">
      <c r="A2763" s="1">
        <v>42210</v>
      </c>
      <c r="B2763">
        <v>1</v>
      </c>
      <c r="C2763">
        <v>2</v>
      </c>
      <c r="D2763">
        <v>72</v>
      </c>
    </row>
    <row r="2764" spans="1:4" x14ac:dyDescent="0.25">
      <c r="A2764" s="1">
        <v>42211</v>
      </c>
      <c r="B2764">
        <v>1</v>
      </c>
      <c r="C2764">
        <v>2</v>
      </c>
      <c r="D2764">
        <v>65</v>
      </c>
    </row>
    <row r="2765" spans="1:4" x14ac:dyDescent="0.25">
      <c r="A2765" s="1">
        <v>42212</v>
      </c>
      <c r="B2765">
        <v>1</v>
      </c>
      <c r="C2765">
        <v>2</v>
      </c>
      <c r="D2765">
        <v>47</v>
      </c>
    </row>
    <row r="2766" spans="1:4" x14ac:dyDescent="0.25">
      <c r="A2766" s="1">
        <v>42213</v>
      </c>
      <c r="B2766">
        <v>1</v>
      </c>
      <c r="C2766">
        <v>2</v>
      </c>
      <c r="D2766">
        <v>67</v>
      </c>
    </row>
    <row r="2767" spans="1:4" x14ac:dyDescent="0.25">
      <c r="A2767" s="1">
        <v>42214</v>
      </c>
      <c r="B2767">
        <v>1</v>
      </c>
      <c r="C2767">
        <v>2</v>
      </c>
      <c r="D2767">
        <v>53</v>
      </c>
    </row>
    <row r="2768" spans="1:4" x14ac:dyDescent="0.25">
      <c r="A2768" s="1">
        <v>42215</v>
      </c>
      <c r="B2768">
        <v>1</v>
      </c>
      <c r="C2768">
        <v>2</v>
      </c>
      <c r="D2768">
        <v>78</v>
      </c>
    </row>
    <row r="2769" spans="1:4" x14ac:dyDescent="0.25">
      <c r="A2769" s="1">
        <v>42216</v>
      </c>
      <c r="B2769">
        <v>1</v>
      </c>
      <c r="C2769">
        <v>2</v>
      </c>
      <c r="D2769">
        <v>80</v>
      </c>
    </row>
    <row r="2770" spans="1:4" x14ac:dyDescent="0.25">
      <c r="A2770" s="1">
        <v>42217</v>
      </c>
      <c r="B2770">
        <v>1</v>
      </c>
      <c r="C2770">
        <v>2</v>
      </c>
      <c r="D2770">
        <v>64</v>
      </c>
    </row>
    <row r="2771" spans="1:4" x14ac:dyDescent="0.25">
      <c r="A2771" s="1">
        <v>42218</v>
      </c>
      <c r="B2771">
        <v>1</v>
      </c>
      <c r="C2771">
        <v>2</v>
      </c>
      <c r="D2771">
        <v>82</v>
      </c>
    </row>
    <row r="2772" spans="1:4" x14ac:dyDescent="0.25">
      <c r="A2772" s="1">
        <v>42219</v>
      </c>
      <c r="B2772">
        <v>1</v>
      </c>
      <c r="C2772">
        <v>2</v>
      </c>
      <c r="D2772">
        <v>44</v>
      </c>
    </row>
    <row r="2773" spans="1:4" x14ac:dyDescent="0.25">
      <c r="A2773" s="1">
        <v>42220</v>
      </c>
      <c r="B2773">
        <v>1</v>
      </c>
      <c r="C2773">
        <v>2</v>
      </c>
      <c r="D2773">
        <v>58</v>
      </c>
    </row>
    <row r="2774" spans="1:4" x14ac:dyDescent="0.25">
      <c r="A2774" s="1">
        <v>42221</v>
      </c>
      <c r="B2774">
        <v>1</v>
      </c>
      <c r="C2774">
        <v>2</v>
      </c>
      <c r="D2774">
        <v>54</v>
      </c>
    </row>
    <row r="2775" spans="1:4" x14ac:dyDescent="0.25">
      <c r="A2775" s="1">
        <v>42222</v>
      </c>
      <c r="B2775">
        <v>1</v>
      </c>
      <c r="C2775">
        <v>2</v>
      </c>
      <c r="D2775">
        <v>65</v>
      </c>
    </row>
    <row r="2776" spans="1:4" x14ac:dyDescent="0.25">
      <c r="A2776" s="1">
        <v>42223</v>
      </c>
      <c r="B2776">
        <v>1</v>
      </c>
      <c r="C2776">
        <v>2</v>
      </c>
      <c r="D2776">
        <v>74</v>
      </c>
    </row>
    <row r="2777" spans="1:4" x14ac:dyDescent="0.25">
      <c r="A2777" s="1">
        <v>42224</v>
      </c>
      <c r="B2777">
        <v>1</v>
      </c>
      <c r="C2777">
        <v>2</v>
      </c>
      <c r="D2777">
        <v>58</v>
      </c>
    </row>
    <row r="2778" spans="1:4" x14ac:dyDescent="0.25">
      <c r="A2778" s="1">
        <v>42225</v>
      </c>
      <c r="B2778">
        <v>1</v>
      </c>
      <c r="C2778">
        <v>2</v>
      </c>
      <c r="D2778">
        <v>69</v>
      </c>
    </row>
    <row r="2779" spans="1:4" x14ac:dyDescent="0.25">
      <c r="A2779" s="1">
        <v>42226</v>
      </c>
      <c r="B2779">
        <v>1</v>
      </c>
      <c r="C2779">
        <v>2</v>
      </c>
      <c r="D2779">
        <v>45</v>
      </c>
    </row>
    <row r="2780" spans="1:4" x14ac:dyDescent="0.25">
      <c r="A2780" s="1">
        <v>42227</v>
      </c>
      <c r="B2780">
        <v>1</v>
      </c>
      <c r="C2780">
        <v>2</v>
      </c>
      <c r="D2780">
        <v>56</v>
      </c>
    </row>
    <row r="2781" spans="1:4" x14ac:dyDescent="0.25">
      <c r="A2781" s="1">
        <v>42228</v>
      </c>
      <c r="B2781">
        <v>1</v>
      </c>
      <c r="C2781">
        <v>2</v>
      </c>
      <c r="D2781">
        <v>59</v>
      </c>
    </row>
    <row r="2782" spans="1:4" x14ac:dyDescent="0.25">
      <c r="A2782" s="1">
        <v>42229</v>
      </c>
      <c r="B2782">
        <v>1</v>
      </c>
      <c r="C2782">
        <v>2</v>
      </c>
      <c r="D2782">
        <v>63</v>
      </c>
    </row>
    <row r="2783" spans="1:4" x14ac:dyDescent="0.25">
      <c r="A2783" s="1">
        <v>42230</v>
      </c>
      <c r="B2783">
        <v>1</v>
      </c>
      <c r="C2783">
        <v>2</v>
      </c>
      <c r="D2783">
        <v>70</v>
      </c>
    </row>
    <row r="2784" spans="1:4" x14ac:dyDescent="0.25">
      <c r="A2784" s="1">
        <v>42231</v>
      </c>
      <c r="B2784">
        <v>1</v>
      </c>
      <c r="C2784">
        <v>2</v>
      </c>
      <c r="D2784">
        <v>67</v>
      </c>
    </row>
    <row r="2785" spans="1:4" x14ac:dyDescent="0.25">
      <c r="A2785" s="1">
        <v>42232</v>
      </c>
      <c r="B2785">
        <v>1</v>
      </c>
      <c r="C2785">
        <v>2</v>
      </c>
      <c r="D2785">
        <v>66</v>
      </c>
    </row>
    <row r="2786" spans="1:4" x14ac:dyDescent="0.25">
      <c r="A2786" s="1">
        <v>42233</v>
      </c>
      <c r="B2786">
        <v>1</v>
      </c>
      <c r="C2786">
        <v>2</v>
      </c>
      <c r="D2786">
        <v>54</v>
      </c>
    </row>
    <row r="2787" spans="1:4" x14ac:dyDescent="0.25">
      <c r="A2787" s="1">
        <v>42234</v>
      </c>
      <c r="B2787">
        <v>1</v>
      </c>
      <c r="C2787">
        <v>2</v>
      </c>
      <c r="D2787">
        <v>50</v>
      </c>
    </row>
    <row r="2788" spans="1:4" x14ac:dyDescent="0.25">
      <c r="A2788" s="1">
        <v>42235</v>
      </c>
      <c r="B2788">
        <v>1</v>
      </c>
      <c r="C2788">
        <v>2</v>
      </c>
      <c r="D2788">
        <v>62</v>
      </c>
    </row>
    <row r="2789" spans="1:4" x14ac:dyDescent="0.25">
      <c r="A2789" s="1">
        <v>42236</v>
      </c>
      <c r="B2789">
        <v>1</v>
      </c>
      <c r="C2789">
        <v>2</v>
      </c>
      <c r="D2789">
        <v>48</v>
      </c>
    </row>
    <row r="2790" spans="1:4" x14ac:dyDescent="0.25">
      <c r="A2790" s="1">
        <v>42237</v>
      </c>
      <c r="B2790">
        <v>1</v>
      </c>
      <c r="C2790">
        <v>2</v>
      </c>
      <c r="D2790">
        <v>76</v>
      </c>
    </row>
    <row r="2791" spans="1:4" x14ac:dyDescent="0.25">
      <c r="A2791" s="1">
        <v>42238</v>
      </c>
      <c r="B2791">
        <v>1</v>
      </c>
      <c r="C2791">
        <v>2</v>
      </c>
      <c r="D2791">
        <v>75</v>
      </c>
    </row>
    <row r="2792" spans="1:4" x14ac:dyDescent="0.25">
      <c r="A2792" s="1">
        <v>42239</v>
      </c>
      <c r="B2792">
        <v>1</v>
      </c>
      <c r="C2792">
        <v>2</v>
      </c>
      <c r="D2792">
        <v>73</v>
      </c>
    </row>
    <row r="2793" spans="1:4" x14ac:dyDescent="0.25">
      <c r="A2793" s="1">
        <v>42240</v>
      </c>
      <c r="B2793">
        <v>1</v>
      </c>
      <c r="C2793">
        <v>2</v>
      </c>
      <c r="D2793">
        <v>46</v>
      </c>
    </row>
    <row r="2794" spans="1:4" x14ac:dyDescent="0.25">
      <c r="A2794" s="1">
        <v>42241</v>
      </c>
      <c r="B2794">
        <v>1</v>
      </c>
      <c r="C2794">
        <v>2</v>
      </c>
      <c r="D2794">
        <v>54</v>
      </c>
    </row>
    <row r="2795" spans="1:4" x14ac:dyDescent="0.25">
      <c r="A2795" s="1">
        <v>42242</v>
      </c>
      <c r="B2795">
        <v>1</v>
      </c>
      <c r="C2795">
        <v>2</v>
      </c>
      <c r="D2795">
        <v>66</v>
      </c>
    </row>
    <row r="2796" spans="1:4" x14ac:dyDescent="0.25">
      <c r="A2796" s="1">
        <v>42243</v>
      </c>
      <c r="B2796">
        <v>1</v>
      </c>
      <c r="C2796">
        <v>2</v>
      </c>
      <c r="D2796">
        <v>68</v>
      </c>
    </row>
    <row r="2797" spans="1:4" x14ac:dyDescent="0.25">
      <c r="A2797" s="1">
        <v>42244</v>
      </c>
      <c r="B2797">
        <v>1</v>
      </c>
      <c r="C2797">
        <v>2</v>
      </c>
      <c r="D2797">
        <v>73</v>
      </c>
    </row>
    <row r="2798" spans="1:4" x14ac:dyDescent="0.25">
      <c r="A2798" s="1">
        <v>42245</v>
      </c>
      <c r="B2798">
        <v>1</v>
      </c>
      <c r="C2798">
        <v>2</v>
      </c>
      <c r="D2798">
        <v>63</v>
      </c>
    </row>
    <row r="2799" spans="1:4" x14ac:dyDescent="0.25">
      <c r="A2799" s="1">
        <v>42246</v>
      </c>
      <c r="B2799">
        <v>1</v>
      </c>
      <c r="C2799">
        <v>2</v>
      </c>
      <c r="D2799">
        <v>66</v>
      </c>
    </row>
    <row r="2800" spans="1:4" x14ac:dyDescent="0.25">
      <c r="A2800" s="1">
        <v>42247</v>
      </c>
      <c r="B2800">
        <v>1</v>
      </c>
      <c r="C2800">
        <v>2</v>
      </c>
      <c r="D2800">
        <v>47</v>
      </c>
    </row>
    <row r="2801" spans="1:4" x14ac:dyDescent="0.25">
      <c r="A2801" s="1">
        <v>42248</v>
      </c>
      <c r="B2801">
        <v>1</v>
      </c>
      <c r="C2801">
        <v>2</v>
      </c>
      <c r="D2801">
        <v>54</v>
      </c>
    </row>
    <row r="2802" spans="1:4" x14ac:dyDescent="0.25">
      <c r="A2802" s="1">
        <v>42249</v>
      </c>
      <c r="B2802">
        <v>1</v>
      </c>
      <c r="C2802">
        <v>2</v>
      </c>
      <c r="D2802">
        <v>55</v>
      </c>
    </row>
    <row r="2803" spans="1:4" x14ac:dyDescent="0.25">
      <c r="A2803" s="1">
        <v>42250</v>
      </c>
      <c r="B2803">
        <v>1</v>
      </c>
      <c r="C2803">
        <v>2</v>
      </c>
      <c r="D2803">
        <v>49</v>
      </c>
    </row>
    <row r="2804" spans="1:4" x14ac:dyDescent="0.25">
      <c r="A2804" s="1">
        <v>42251</v>
      </c>
      <c r="B2804">
        <v>1</v>
      </c>
      <c r="C2804">
        <v>2</v>
      </c>
      <c r="D2804">
        <v>58</v>
      </c>
    </row>
    <row r="2805" spans="1:4" x14ac:dyDescent="0.25">
      <c r="A2805" s="1">
        <v>42252</v>
      </c>
      <c r="B2805">
        <v>1</v>
      </c>
      <c r="C2805">
        <v>2</v>
      </c>
      <c r="D2805">
        <v>65</v>
      </c>
    </row>
    <row r="2806" spans="1:4" x14ac:dyDescent="0.25">
      <c r="A2806" s="1">
        <v>42253</v>
      </c>
      <c r="B2806">
        <v>1</v>
      </c>
      <c r="C2806">
        <v>2</v>
      </c>
      <c r="D2806">
        <v>67</v>
      </c>
    </row>
    <row r="2807" spans="1:4" x14ac:dyDescent="0.25">
      <c r="A2807" s="1">
        <v>42254</v>
      </c>
      <c r="B2807">
        <v>1</v>
      </c>
      <c r="C2807">
        <v>2</v>
      </c>
      <c r="D2807">
        <v>46</v>
      </c>
    </row>
    <row r="2808" spans="1:4" x14ac:dyDescent="0.25">
      <c r="A2808" s="1">
        <v>42255</v>
      </c>
      <c r="B2808">
        <v>1</v>
      </c>
      <c r="C2808">
        <v>2</v>
      </c>
      <c r="D2808">
        <v>37</v>
      </c>
    </row>
    <row r="2809" spans="1:4" x14ac:dyDescent="0.25">
      <c r="A2809" s="1">
        <v>42256</v>
      </c>
      <c r="B2809">
        <v>1</v>
      </c>
      <c r="C2809">
        <v>2</v>
      </c>
      <c r="D2809">
        <v>44</v>
      </c>
    </row>
    <row r="2810" spans="1:4" x14ac:dyDescent="0.25">
      <c r="A2810" s="1">
        <v>42257</v>
      </c>
      <c r="B2810">
        <v>1</v>
      </c>
      <c r="C2810">
        <v>2</v>
      </c>
      <c r="D2810">
        <v>53</v>
      </c>
    </row>
    <row r="2811" spans="1:4" x14ac:dyDescent="0.25">
      <c r="A2811" s="1">
        <v>42258</v>
      </c>
      <c r="B2811">
        <v>1</v>
      </c>
      <c r="C2811">
        <v>2</v>
      </c>
      <c r="D2811">
        <v>63</v>
      </c>
    </row>
    <row r="2812" spans="1:4" x14ac:dyDescent="0.25">
      <c r="A2812" s="1">
        <v>42259</v>
      </c>
      <c r="B2812">
        <v>1</v>
      </c>
      <c r="C2812">
        <v>2</v>
      </c>
      <c r="D2812">
        <v>74</v>
      </c>
    </row>
    <row r="2813" spans="1:4" x14ac:dyDescent="0.25">
      <c r="A2813" s="1">
        <v>42260</v>
      </c>
      <c r="B2813">
        <v>1</v>
      </c>
      <c r="C2813">
        <v>2</v>
      </c>
      <c r="D2813">
        <v>64</v>
      </c>
    </row>
    <row r="2814" spans="1:4" x14ac:dyDescent="0.25">
      <c r="A2814" s="1">
        <v>42261</v>
      </c>
      <c r="B2814">
        <v>1</v>
      </c>
      <c r="C2814">
        <v>2</v>
      </c>
      <c r="D2814">
        <v>37</v>
      </c>
    </row>
    <row r="2815" spans="1:4" x14ac:dyDescent="0.25">
      <c r="A2815" s="1">
        <v>42262</v>
      </c>
      <c r="B2815">
        <v>1</v>
      </c>
      <c r="C2815">
        <v>2</v>
      </c>
      <c r="D2815">
        <v>42</v>
      </c>
    </row>
    <row r="2816" spans="1:4" x14ac:dyDescent="0.25">
      <c r="A2816" s="1">
        <v>42263</v>
      </c>
      <c r="B2816">
        <v>1</v>
      </c>
      <c r="C2816">
        <v>2</v>
      </c>
      <c r="D2816">
        <v>55</v>
      </c>
    </row>
    <row r="2817" spans="1:4" x14ac:dyDescent="0.25">
      <c r="A2817" s="1">
        <v>42264</v>
      </c>
      <c r="B2817">
        <v>1</v>
      </c>
      <c r="C2817">
        <v>2</v>
      </c>
      <c r="D2817">
        <v>47</v>
      </c>
    </row>
    <row r="2818" spans="1:4" x14ac:dyDescent="0.25">
      <c r="A2818" s="1">
        <v>42265</v>
      </c>
      <c r="B2818">
        <v>1</v>
      </c>
      <c r="C2818">
        <v>2</v>
      </c>
      <c r="D2818">
        <v>68</v>
      </c>
    </row>
    <row r="2819" spans="1:4" x14ac:dyDescent="0.25">
      <c r="A2819" s="1">
        <v>42266</v>
      </c>
      <c r="B2819">
        <v>1</v>
      </c>
      <c r="C2819">
        <v>2</v>
      </c>
      <c r="D2819">
        <v>61</v>
      </c>
    </row>
    <row r="2820" spans="1:4" x14ac:dyDescent="0.25">
      <c r="A2820" s="1">
        <v>42267</v>
      </c>
      <c r="B2820">
        <v>1</v>
      </c>
      <c r="C2820">
        <v>2</v>
      </c>
      <c r="D2820">
        <v>44</v>
      </c>
    </row>
    <row r="2821" spans="1:4" x14ac:dyDescent="0.25">
      <c r="A2821" s="1">
        <v>42268</v>
      </c>
      <c r="B2821">
        <v>1</v>
      </c>
      <c r="C2821">
        <v>2</v>
      </c>
      <c r="D2821">
        <v>43</v>
      </c>
    </row>
    <row r="2822" spans="1:4" x14ac:dyDescent="0.25">
      <c r="A2822" s="1">
        <v>42269</v>
      </c>
      <c r="B2822">
        <v>1</v>
      </c>
      <c r="C2822">
        <v>2</v>
      </c>
      <c r="D2822">
        <v>55</v>
      </c>
    </row>
    <row r="2823" spans="1:4" x14ac:dyDescent="0.25">
      <c r="A2823" s="1">
        <v>42270</v>
      </c>
      <c r="B2823">
        <v>1</v>
      </c>
      <c r="C2823">
        <v>2</v>
      </c>
      <c r="D2823">
        <v>48</v>
      </c>
    </row>
    <row r="2824" spans="1:4" x14ac:dyDescent="0.25">
      <c r="A2824" s="1">
        <v>42271</v>
      </c>
      <c r="B2824">
        <v>1</v>
      </c>
      <c r="C2824">
        <v>2</v>
      </c>
      <c r="D2824">
        <v>50</v>
      </c>
    </row>
    <row r="2825" spans="1:4" x14ac:dyDescent="0.25">
      <c r="A2825" s="1">
        <v>42272</v>
      </c>
      <c r="B2825">
        <v>1</v>
      </c>
      <c r="C2825">
        <v>2</v>
      </c>
      <c r="D2825">
        <v>50</v>
      </c>
    </row>
    <row r="2826" spans="1:4" x14ac:dyDescent="0.25">
      <c r="A2826" s="1">
        <v>42273</v>
      </c>
      <c r="B2826">
        <v>1</v>
      </c>
      <c r="C2826">
        <v>2</v>
      </c>
      <c r="D2826">
        <v>68</v>
      </c>
    </row>
    <row r="2827" spans="1:4" x14ac:dyDescent="0.25">
      <c r="A2827" s="1">
        <v>42274</v>
      </c>
      <c r="B2827">
        <v>1</v>
      </c>
      <c r="C2827">
        <v>2</v>
      </c>
      <c r="D2827">
        <v>67</v>
      </c>
    </row>
    <row r="2828" spans="1:4" x14ac:dyDescent="0.25">
      <c r="A2828" s="1">
        <v>42275</v>
      </c>
      <c r="B2828">
        <v>1</v>
      </c>
      <c r="C2828">
        <v>2</v>
      </c>
      <c r="D2828">
        <v>46</v>
      </c>
    </row>
    <row r="2829" spans="1:4" x14ac:dyDescent="0.25">
      <c r="A2829" s="1">
        <v>42276</v>
      </c>
      <c r="B2829">
        <v>1</v>
      </c>
      <c r="C2829">
        <v>2</v>
      </c>
      <c r="D2829">
        <v>51</v>
      </c>
    </row>
    <row r="2830" spans="1:4" x14ac:dyDescent="0.25">
      <c r="A2830" s="1">
        <v>42277</v>
      </c>
      <c r="B2830">
        <v>1</v>
      </c>
      <c r="C2830">
        <v>2</v>
      </c>
      <c r="D2830">
        <v>64</v>
      </c>
    </row>
    <row r="2831" spans="1:4" x14ac:dyDescent="0.25">
      <c r="A2831" s="1">
        <v>42278</v>
      </c>
      <c r="B2831">
        <v>1</v>
      </c>
      <c r="C2831">
        <v>2</v>
      </c>
      <c r="D2831">
        <v>47</v>
      </c>
    </row>
    <row r="2832" spans="1:4" x14ac:dyDescent="0.25">
      <c r="A2832" s="1">
        <v>42279</v>
      </c>
      <c r="B2832">
        <v>1</v>
      </c>
      <c r="C2832">
        <v>2</v>
      </c>
      <c r="D2832">
        <v>53</v>
      </c>
    </row>
    <row r="2833" spans="1:4" x14ac:dyDescent="0.25">
      <c r="A2833" s="1">
        <v>42280</v>
      </c>
      <c r="B2833">
        <v>1</v>
      </c>
      <c r="C2833">
        <v>2</v>
      </c>
      <c r="D2833">
        <v>66</v>
      </c>
    </row>
    <row r="2834" spans="1:4" x14ac:dyDescent="0.25">
      <c r="A2834" s="1">
        <v>42281</v>
      </c>
      <c r="B2834">
        <v>1</v>
      </c>
      <c r="C2834">
        <v>2</v>
      </c>
      <c r="D2834">
        <v>64</v>
      </c>
    </row>
    <row r="2835" spans="1:4" x14ac:dyDescent="0.25">
      <c r="A2835" s="1">
        <v>42282</v>
      </c>
      <c r="B2835">
        <v>1</v>
      </c>
      <c r="C2835">
        <v>2</v>
      </c>
      <c r="D2835">
        <v>48</v>
      </c>
    </row>
    <row r="2836" spans="1:4" x14ac:dyDescent="0.25">
      <c r="A2836" s="1">
        <v>42283</v>
      </c>
      <c r="B2836">
        <v>1</v>
      </c>
      <c r="C2836">
        <v>2</v>
      </c>
      <c r="D2836">
        <v>39</v>
      </c>
    </row>
    <row r="2837" spans="1:4" x14ac:dyDescent="0.25">
      <c r="A2837" s="1">
        <v>42284</v>
      </c>
      <c r="B2837">
        <v>1</v>
      </c>
      <c r="C2837">
        <v>2</v>
      </c>
      <c r="D2837">
        <v>42</v>
      </c>
    </row>
    <row r="2838" spans="1:4" x14ac:dyDescent="0.25">
      <c r="A2838" s="1">
        <v>42285</v>
      </c>
      <c r="B2838">
        <v>1</v>
      </c>
      <c r="C2838">
        <v>2</v>
      </c>
      <c r="D2838">
        <v>45</v>
      </c>
    </row>
    <row r="2839" spans="1:4" x14ac:dyDescent="0.25">
      <c r="A2839" s="1">
        <v>42286</v>
      </c>
      <c r="B2839">
        <v>1</v>
      </c>
      <c r="C2839">
        <v>2</v>
      </c>
      <c r="D2839">
        <v>56</v>
      </c>
    </row>
    <row r="2840" spans="1:4" x14ac:dyDescent="0.25">
      <c r="A2840" s="1">
        <v>42287</v>
      </c>
      <c r="B2840">
        <v>1</v>
      </c>
      <c r="C2840">
        <v>2</v>
      </c>
      <c r="D2840">
        <v>46</v>
      </c>
    </row>
    <row r="2841" spans="1:4" x14ac:dyDescent="0.25">
      <c r="A2841" s="1">
        <v>42288</v>
      </c>
      <c r="B2841">
        <v>1</v>
      </c>
      <c r="C2841">
        <v>2</v>
      </c>
      <c r="D2841">
        <v>81</v>
      </c>
    </row>
    <row r="2842" spans="1:4" x14ac:dyDescent="0.25">
      <c r="A2842" s="1">
        <v>42289</v>
      </c>
      <c r="B2842">
        <v>1</v>
      </c>
      <c r="C2842">
        <v>2</v>
      </c>
      <c r="D2842">
        <v>38</v>
      </c>
    </row>
    <row r="2843" spans="1:4" x14ac:dyDescent="0.25">
      <c r="A2843" s="1">
        <v>42290</v>
      </c>
      <c r="B2843">
        <v>1</v>
      </c>
      <c r="C2843">
        <v>2</v>
      </c>
      <c r="D2843">
        <v>46</v>
      </c>
    </row>
    <row r="2844" spans="1:4" x14ac:dyDescent="0.25">
      <c r="A2844" s="1">
        <v>42291</v>
      </c>
      <c r="B2844">
        <v>1</v>
      </c>
      <c r="C2844">
        <v>2</v>
      </c>
      <c r="D2844">
        <v>40</v>
      </c>
    </row>
    <row r="2845" spans="1:4" x14ac:dyDescent="0.25">
      <c r="A2845" s="1">
        <v>42292</v>
      </c>
      <c r="B2845">
        <v>1</v>
      </c>
      <c r="C2845">
        <v>2</v>
      </c>
      <c r="D2845">
        <v>59</v>
      </c>
    </row>
    <row r="2846" spans="1:4" x14ac:dyDescent="0.25">
      <c r="A2846" s="1">
        <v>42293</v>
      </c>
      <c r="B2846">
        <v>1</v>
      </c>
      <c r="C2846">
        <v>2</v>
      </c>
      <c r="D2846">
        <v>55</v>
      </c>
    </row>
    <row r="2847" spans="1:4" x14ac:dyDescent="0.25">
      <c r="A2847" s="1">
        <v>42294</v>
      </c>
      <c r="B2847">
        <v>1</v>
      </c>
      <c r="C2847">
        <v>2</v>
      </c>
      <c r="D2847">
        <v>69</v>
      </c>
    </row>
    <row r="2848" spans="1:4" x14ac:dyDescent="0.25">
      <c r="A2848" s="1">
        <v>42295</v>
      </c>
      <c r="B2848">
        <v>1</v>
      </c>
      <c r="C2848">
        <v>2</v>
      </c>
      <c r="D2848">
        <v>71</v>
      </c>
    </row>
    <row r="2849" spans="1:4" x14ac:dyDescent="0.25">
      <c r="A2849" s="1">
        <v>42296</v>
      </c>
      <c r="B2849">
        <v>1</v>
      </c>
      <c r="C2849">
        <v>2</v>
      </c>
      <c r="D2849">
        <v>45</v>
      </c>
    </row>
    <row r="2850" spans="1:4" x14ac:dyDescent="0.25">
      <c r="A2850" s="1">
        <v>42297</v>
      </c>
      <c r="B2850">
        <v>1</v>
      </c>
      <c r="C2850">
        <v>2</v>
      </c>
      <c r="D2850">
        <v>54</v>
      </c>
    </row>
    <row r="2851" spans="1:4" x14ac:dyDescent="0.25">
      <c r="A2851" s="1">
        <v>42298</v>
      </c>
      <c r="B2851">
        <v>1</v>
      </c>
      <c r="C2851">
        <v>2</v>
      </c>
      <c r="D2851">
        <v>46</v>
      </c>
    </row>
    <row r="2852" spans="1:4" x14ac:dyDescent="0.25">
      <c r="A2852" s="1">
        <v>42299</v>
      </c>
      <c r="B2852">
        <v>1</v>
      </c>
      <c r="C2852">
        <v>2</v>
      </c>
      <c r="D2852">
        <v>68</v>
      </c>
    </row>
    <row r="2853" spans="1:4" x14ac:dyDescent="0.25">
      <c r="A2853" s="1">
        <v>42300</v>
      </c>
      <c r="B2853">
        <v>1</v>
      </c>
      <c r="C2853">
        <v>2</v>
      </c>
      <c r="D2853">
        <v>46</v>
      </c>
    </row>
    <row r="2854" spans="1:4" x14ac:dyDescent="0.25">
      <c r="A2854" s="1">
        <v>42301</v>
      </c>
      <c r="B2854">
        <v>1</v>
      </c>
      <c r="C2854">
        <v>2</v>
      </c>
      <c r="D2854">
        <v>62</v>
      </c>
    </row>
    <row r="2855" spans="1:4" x14ac:dyDescent="0.25">
      <c r="A2855" s="1">
        <v>42302</v>
      </c>
      <c r="B2855">
        <v>1</v>
      </c>
      <c r="C2855">
        <v>2</v>
      </c>
      <c r="D2855">
        <v>55</v>
      </c>
    </row>
    <row r="2856" spans="1:4" x14ac:dyDescent="0.25">
      <c r="A2856" s="1">
        <v>42303</v>
      </c>
      <c r="B2856">
        <v>1</v>
      </c>
      <c r="C2856">
        <v>2</v>
      </c>
      <c r="D2856">
        <v>36</v>
      </c>
    </row>
    <row r="2857" spans="1:4" x14ac:dyDescent="0.25">
      <c r="A2857" s="1">
        <v>42304</v>
      </c>
      <c r="B2857">
        <v>1</v>
      </c>
      <c r="C2857">
        <v>2</v>
      </c>
      <c r="D2857">
        <v>50</v>
      </c>
    </row>
    <row r="2858" spans="1:4" x14ac:dyDescent="0.25">
      <c r="A2858" s="1">
        <v>42305</v>
      </c>
      <c r="B2858">
        <v>1</v>
      </c>
      <c r="C2858">
        <v>2</v>
      </c>
      <c r="D2858">
        <v>35</v>
      </c>
    </row>
    <row r="2859" spans="1:4" x14ac:dyDescent="0.25">
      <c r="A2859" s="1">
        <v>42306</v>
      </c>
      <c r="B2859">
        <v>1</v>
      </c>
      <c r="C2859">
        <v>2</v>
      </c>
      <c r="D2859">
        <v>44</v>
      </c>
    </row>
    <row r="2860" spans="1:4" x14ac:dyDescent="0.25">
      <c r="A2860" s="1">
        <v>42307</v>
      </c>
      <c r="B2860">
        <v>1</v>
      </c>
      <c r="C2860">
        <v>2</v>
      </c>
      <c r="D2860">
        <v>59</v>
      </c>
    </row>
    <row r="2861" spans="1:4" x14ac:dyDescent="0.25">
      <c r="A2861" s="1">
        <v>42308</v>
      </c>
      <c r="B2861">
        <v>1</v>
      </c>
      <c r="C2861">
        <v>2</v>
      </c>
      <c r="D2861">
        <v>57</v>
      </c>
    </row>
    <row r="2862" spans="1:4" x14ac:dyDescent="0.25">
      <c r="A2862" s="1">
        <v>42309</v>
      </c>
      <c r="B2862">
        <v>1</v>
      </c>
      <c r="C2862">
        <v>2</v>
      </c>
      <c r="D2862">
        <v>68</v>
      </c>
    </row>
    <row r="2863" spans="1:4" x14ac:dyDescent="0.25">
      <c r="A2863" s="1">
        <v>42310</v>
      </c>
      <c r="B2863">
        <v>1</v>
      </c>
      <c r="C2863">
        <v>2</v>
      </c>
      <c r="D2863">
        <v>42</v>
      </c>
    </row>
    <row r="2864" spans="1:4" x14ac:dyDescent="0.25">
      <c r="A2864" s="1">
        <v>42311</v>
      </c>
      <c r="B2864">
        <v>1</v>
      </c>
      <c r="C2864">
        <v>2</v>
      </c>
      <c r="D2864">
        <v>56</v>
      </c>
    </row>
    <row r="2865" spans="1:4" x14ac:dyDescent="0.25">
      <c r="A2865" s="1">
        <v>42312</v>
      </c>
      <c r="B2865">
        <v>1</v>
      </c>
      <c r="C2865">
        <v>2</v>
      </c>
      <c r="D2865">
        <v>65</v>
      </c>
    </row>
    <row r="2866" spans="1:4" x14ac:dyDescent="0.25">
      <c r="A2866" s="1">
        <v>42313</v>
      </c>
      <c r="B2866">
        <v>1</v>
      </c>
      <c r="C2866">
        <v>2</v>
      </c>
      <c r="D2866">
        <v>54</v>
      </c>
    </row>
    <row r="2867" spans="1:4" x14ac:dyDescent="0.25">
      <c r="A2867" s="1">
        <v>42314</v>
      </c>
      <c r="B2867">
        <v>1</v>
      </c>
      <c r="C2867">
        <v>2</v>
      </c>
      <c r="D2867">
        <v>67</v>
      </c>
    </row>
    <row r="2868" spans="1:4" x14ac:dyDescent="0.25">
      <c r="A2868" s="1">
        <v>42315</v>
      </c>
      <c r="B2868">
        <v>1</v>
      </c>
      <c r="C2868">
        <v>2</v>
      </c>
      <c r="D2868">
        <v>55</v>
      </c>
    </row>
    <row r="2869" spans="1:4" x14ac:dyDescent="0.25">
      <c r="A2869" s="1">
        <v>42316</v>
      </c>
      <c r="B2869">
        <v>1</v>
      </c>
      <c r="C2869">
        <v>2</v>
      </c>
      <c r="D2869">
        <v>68</v>
      </c>
    </row>
    <row r="2870" spans="1:4" x14ac:dyDescent="0.25">
      <c r="A2870" s="1">
        <v>42317</v>
      </c>
      <c r="B2870">
        <v>1</v>
      </c>
      <c r="C2870">
        <v>2</v>
      </c>
      <c r="D2870">
        <v>35</v>
      </c>
    </row>
    <row r="2871" spans="1:4" x14ac:dyDescent="0.25">
      <c r="A2871" s="1">
        <v>42318</v>
      </c>
      <c r="B2871">
        <v>1</v>
      </c>
      <c r="C2871">
        <v>2</v>
      </c>
      <c r="D2871">
        <v>53</v>
      </c>
    </row>
    <row r="2872" spans="1:4" x14ac:dyDescent="0.25">
      <c r="A2872" s="1">
        <v>42319</v>
      </c>
      <c r="B2872">
        <v>1</v>
      </c>
      <c r="C2872">
        <v>2</v>
      </c>
      <c r="D2872">
        <v>58</v>
      </c>
    </row>
    <row r="2873" spans="1:4" x14ac:dyDescent="0.25">
      <c r="A2873" s="1">
        <v>42320</v>
      </c>
      <c r="B2873">
        <v>1</v>
      </c>
      <c r="C2873">
        <v>2</v>
      </c>
      <c r="D2873">
        <v>55</v>
      </c>
    </row>
    <row r="2874" spans="1:4" x14ac:dyDescent="0.25">
      <c r="A2874" s="1">
        <v>42321</v>
      </c>
      <c r="B2874">
        <v>1</v>
      </c>
      <c r="C2874">
        <v>2</v>
      </c>
      <c r="D2874">
        <v>54</v>
      </c>
    </row>
    <row r="2875" spans="1:4" x14ac:dyDescent="0.25">
      <c r="A2875" s="1">
        <v>42322</v>
      </c>
      <c r="B2875">
        <v>1</v>
      </c>
      <c r="C2875">
        <v>2</v>
      </c>
      <c r="D2875">
        <v>51</v>
      </c>
    </row>
    <row r="2876" spans="1:4" x14ac:dyDescent="0.25">
      <c r="A2876" s="1">
        <v>42323</v>
      </c>
      <c r="B2876">
        <v>1</v>
      </c>
      <c r="C2876">
        <v>2</v>
      </c>
      <c r="D2876">
        <v>68</v>
      </c>
    </row>
    <row r="2877" spans="1:4" x14ac:dyDescent="0.25">
      <c r="A2877" s="1">
        <v>42324</v>
      </c>
      <c r="B2877">
        <v>1</v>
      </c>
      <c r="C2877">
        <v>2</v>
      </c>
      <c r="D2877">
        <v>47</v>
      </c>
    </row>
    <row r="2878" spans="1:4" x14ac:dyDescent="0.25">
      <c r="A2878" s="1">
        <v>42325</v>
      </c>
      <c r="B2878">
        <v>1</v>
      </c>
      <c r="C2878">
        <v>2</v>
      </c>
      <c r="D2878">
        <v>52</v>
      </c>
    </row>
    <row r="2879" spans="1:4" x14ac:dyDescent="0.25">
      <c r="A2879" s="1">
        <v>42326</v>
      </c>
      <c r="B2879">
        <v>1</v>
      </c>
      <c r="C2879">
        <v>2</v>
      </c>
      <c r="D2879">
        <v>62</v>
      </c>
    </row>
    <row r="2880" spans="1:4" x14ac:dyDescent="0.25">
      <c r="A2880" s="1">
        <v>42327</v>
      </c>
      <c r="B2880">
        <v>1</v>
      </c>
      <c r="C2880">
        <v>2</v>
      </c>
      <c r="D2880">
        <v>67</v>
      </c>
    </row>
    <row r="2881" spans="1:4" x14ac:dyDescent="0.25">
      <c r="A2881" s="1">
        <v>42328</v>
      </c>
      <c r="B2881">
        <v>1</v>
      </c>
      <c r="C2881">
        <v>2</v>
      </c>
      <c r="D2881">
        <v>51</v>
      </c>
    </row>
    <row r="2882" spans="1:4" x14ac:dyDescent="0.25">
      <c r="A2882" s="1">
        <v>42329</v>
      </c>
      <c r="B2882">
        <v>1</v>
      </c>
      <c r="C2882">
        <v>2</v>
      </c>
      <c r="D2882">
        <v>54</v>
      </c>
    </row>
    <row r="2883" spans="1:4" x14ac:dyDescent="0.25">
      <c r="A2883" s="1">
        <v>42330</v>
      </c>
      <c r="B2883">
        <v>1</v>
      </c>
      <c r="C2883">
        <v>2</v>
      </c>
      <c r="D2883">
        <v>66</v>
      </c>
    </row>
    <row r="2884" spans="1:4" x14ac:dyDescent="0.25">
      <c r="A2884" s="1">
        <v>42331</v>
      </c>
      <c r="B2884">
        <v>1</v>
      </c>
      <c r="C2884">
        <v>2</v>
      </c>
      <c r="D2884">
        <v>44</v>
      </c>
    </row>
    <row r="2885" spans="1:4" x14ac:dyDescent="0.25">
      <c r="A2885" s="1">
        <v>42332</v>
      </c>
      <c r="B2885">
        <v>1</v>
      </c>
      <c r="C2885">
        <v>2</v>
      </c>
      <c r="D2885">
        <v>53</v>
      </c>
    </row>
    <row r="2886" spans="1:4" x14ac:dyDescent="0.25">
      <c r="A2886" s="1">
        <v>42333</v>
      </c>
      <c r="B2886">
        <v>1</v>
      </c>
      <c r="C2886">
        <v>2</v>
      </c>
      <c r="D2886">
        <v>50</v>
      </c>
    </row>
    <row r="2887" spans="1:4" x14ac:dyDescent="0.25">
      <c r="A2887" s="1">
        <v>42334</v>
      </c>
      <c r="B2887">
        <v>1</v>
      </c>
      <c r="C2887">
        <v>2</v>
      </c>
      <c r="D2887">
        <v>60</v>
      </c>
    </row>
    <row r="2888" spans="1:4" x14ac:dyDescent="0.25">
      <c r="A2888" s="1">
        <v>42335</v>
      </c>
      <c r="B2888">
        <v>1</v>
      </c>
      <c r="C2888">
        <v>2</v>
      </c>
      <c r="D2888">
        <v>55</v>
      </c>
    </row>
    <row r="2889" spans="1:4" x14ac:dyDescent="0.25">
      <c r="A2889" s="1">
        <v>42336</v>
      </c>
      <c r="B2889">
        <v>1</v>
      </c>
      <c r="C2889">
        <v>2</v>
      </c>
      <c r="D2889">
        <v>69</v>
      </c>
    </row>
    <row r="2890" spans="1:4" x14ac:dyDescent="0.25">
      <c r="A2890" s="1">
        <v>42337</v>
      </c>
      <c r="B2890">
        <v>1</v>
      </c>
      <c r="C2890">
        <v>2</v>
      </c>
      <c r="D2890">
        <v>62</v>
      </c>
    </row>
    <row r="2891" spans="1:4" x14ac:dyDescent="0.25">
      <c r="A2891" s="1">
        <v>42338</v>
      </c>
      <c r="B2891">
        <v>1</v>
      </c>
      <c r="C2891">
        <v>2</v>
      </c>
      <c r="D2891">
        <v>39</v>
      </c>
    </row>
    <row r="2892" spans="1:4" x14ac:dyDescent="0.25">
      <c r="A2892" s="1">
        <v>42339</v>
      </c>
      <c r="B2892">
        <v>1</v>
      </c>
      <c r="C2892">
        <v>2</v>
      </c>
      <c r="D2892">
        <v>42</v>
      </c>
    </row>
    <row r="2893" spans="1:4" x14ac:dyDescent="0.25">
      <c r="A2893" s="1">
        <v>42340</v>
      </c>
      <c r="B2893">
        <v>1</v>
      </c>
      <c r="C2893">
        <v>2</v>
      </c>
      <c r="D2893">
        <v>32</v>
      </c>
    </row>
    <row r="2894" spans="1:4" x14ac:dyDescent="0.25">
      <c r="A2894" s="1">
        <v>42341</v>
      </c>
      <c r="B2894">
        <v>1</v>
      </c>
      <c r="C2894">
        <v>2</v>
      </c>
      <c r="D2894">
        <v>43</v>
      </c>
    </row>
    <row r="2895" spans="1:4" x14ac:dyDescent="0.25">
      <c r="A2895" s="1">
        <v>42342</v>
      </c>
      <c r="B2895">
        <v>1</v>
      </c>
      <c r="C2895">
        <v>2</v>
      </c>
      <c r="D2895">
        <v>42</v>
      </c>
    </row>
    <row r="2896" spans="1:4" x14ac:dyDescent="0.25">
      <c r="A2896" s="1">
        <v>42343</v>
      </c>
      <c r="B2896">
        <v>1</v>
      </c>
      <c r="C2896">
        <v>2</v>
      </c>
      <c r="D2896">
        <v>50</v>
      </c>
    </row>
    <row r="2897" spans="1:4" x14ac:dyDescent="0.25">
      <c r="A2897" s="1">
        <v>42344</v>
      </c>
      <c r="B2897">
        <v>1</v>
      </c>
      <c r="C2897">
        <v>2</v>
      </c>
      <c r="D2897">
        <v>54</v>
      </c>
    </row>
    <row r="2898" spans="1:4" x14ac:dyDescent="0.25">
      <c r="A2898" s="1">
        <v>42345</v>
      </c>
      <c r="B2898">
        <v>1</v>
      </c>
      <c r="C2898">
        <v>2</v>
      </c>
      <c r="D2898">
        <v>34</v>
      </c>
    </row>
    <row r="2899" spans="1:4" x14ac:dyDescent="0.25">
      <c r="A2899" s="1">
        <v>42346</v>
      </c>
      <c r="B2899">
        <v>1</v>
      </c>
      <c r="C2899">
        <v>2</v>
      </c>
      <c r="D2899">
        <v>38</v>
      </c>
    </row>
    <row r="2900" spans="1:4" x14ac:dyDescent="0.25">
      <c r="A2900" s="1">
        <v>42347</v>
      </c>
      <c r="B2900">
        <v>1</v>
      </c>
      <c r="C2900">
        <v>2</v>
      </c>
      <c r="D2900">
        <v>33</v>
      </c>
    </row>
    <row r="2901" spans="1:4" x14ac:dyDescent="0.25">
      <c r="A2901" s="1">
        <v>42348</v>
      </c>
      <c r="B2901">
        <v>1</v>
      </c>
      <c r="C2901">
        <v>2</v>
      </c>
      <c r="D2901">
        <v>43</v>
      </c>
    </row>
    <row r="2902" spans="1:4" x14ac:dyDescent="0.25">
      <c r="A2902" s="1">
        <v>42349</v>
      </c>
      <c r="B2902">
        <v>1</v>
      </c>
      <c r="C2902">
        <v>2</v>
      </c>
      <c r="D2902">
        <v>37</v>
      </c>
    </row>
    <row r="2903" spans="1:4" x14ac:dyDescent="0.25">
      <c r="A2903" s="1">
        <v>42350</v>
      </c>
      <c r="B2903">
        <v>1</v>
      </c>
      <c r="C2903">
        <v>2</v>
      </c>
      <c r="D2903">
        <v>38</v>
      </c>
    </row>
    <row r="2904" spans="1:4" x14ac:dyDescent="0.25">
      <c r="A2904" s="1">
        <v>42351</v>
      </c>
      <c r="B2904">
        <v>1</v>
      </c>
      <c r="C2904">
        <v>2</v>
      </c>
      <c r="D2904">
        <v>46</v>
      </c>
    </row>
    <row r="2905" spans="1:4" x14ac:dyDescent="0.25">
      <c r="A2905" s="1">
        <v>42352</v>
      </c>
      <c r="B2905">
        <v>1</v>
      </c>
      <c r="C2905">
        <v>2</v>
      </c>
      <c r="D2905">
        <v>23</v>
      </c>
    </row>
    <row r="2906" spans="1:4" x14ac:dyDescent="0.25">
      <c r="A2906" s="1">
        <v>42353</v>
      </c>
      <c r="B2906">
        <v>1</v>
      </c>
      <c r="C2906">
        <v>2</v>
      </c>
      <c r="D2906">
        <v>36</v>
      </c>
    </row>
    <row r="2907" spans="1:4" x14ac:dyDescent="0.25">
      <c r="A2907" s="1">
        <v>42354</v>
      </c>
      <c r="B2907">
        <v>1</v>
      </c>
      <c r="C2907">
        <v>2</v>
      </c>
      <c r="D2907">
        <v>42</v>
      </c>
    </row>
    <row r="2908" spans="1:4" x14ac:dyDescent="0.25">
      <c r="A2908" s="1">
        <v>42355</v>
      </c>
      <c r="B2908">
        <v>1</v>
      </c>
      <c r="C2908">
        <v>2</v>
      </c>
      <c r="D2908">
        <v>37</v>
      </c>
    </row>
    <row r="2909" spans="1:4" x14ac:dyDescent="0.25">
      <c r="A2909" s="1">
        <v>42356</v>
      </c>
      <c r="B2909">
        <v>1</v>
      </c>
      <c r="C2909">
        <v>2</v>
      </c>
      <c r="D2909">
        <v>36</v>
      </c>
    </row>
    <row r="2910" spans="1:4" x14ac:dyDescent="0.25">
      <c r="A2910" s="1">
        <v>42357</v>
      </c>
      <c r="B2910">
        <v>1</v>
      </c>
      <c r="C2910">
        <v>2</v>
      </c>
      <c r="D2910">
        <v>48</v>
      </c>
    </row>
    <row r="2911" spans="1:4" x14ac:dyDescent="0.25">
      <c r="A2911" s="1">
        <v>42358</v>
      </c>
      <c r="B2911">
        <v>1</v>
      </c>
      <c r="C2911">
        <v>2</v>
      </c>
      <c r="D2911">
        <v>47</v>
      </c>
    </row>
    <row r="2912" spans="1:4" x14ac:dyDescent="0.25">
      <c r="A2912" s="1">
        <v>42359</v>
      </c>
      <c r="B2912">
        <v>1</v>
      </c>
      <c r="C2912">
        <v>2</v>
      </c>
      <c r="D2912">
        <v>33</v>
      </c>
    </row>
    <row r="2913" spans="1:4" x14ac:dyDescent="0.25">
      <c r="A2913" s="1">
        <v>42360</v>
      </c>
      <c r="B2913">
        <v>1</v>
      </c>
      <c r="C2913">
        <v>2</v>
      </c>
      <c r="D2913">
        <v>22</v>
      </c>
    </row>
    <row r="2914" spans="1:4" x14ac:dyDescent="0.25">
      <c r="A2914" s="1">
        <v>42361</v>
      </c>
      <c r="B2914">
        <v>1</v>
      </c>
      <c r="C2914">
        <v>2</v>
      </c>
      <c r="D2914">
        <v>41</v>
      </c>
    </row>
    <row r="2915" spans="1:4" x14ac:dyDescent="0.25">
      <c r="A2915" s="1">
        <v>42362</v>
      </c>
      <c r="B2915">
        <v>1</v>
      </c>
      <c r="C2915">
        <v>2</v>
      </c>
      <c r="D2915">
        <v>31</v>
      </c>
    </row>
    <row r="2916" spans="1:4" x14ac:dyDescent="0.25">
      <c r="A2916" s="1">
        <v>42363</v>
      </c>
      <c r="B2916">
        <v>1</v>
      </c>
      <c r="C2916">
        <v>2</v>
      </c>
      <c r="D2916">
        <v>37</v>
      </c>
    </row>
    <row r="2917" spans="1:4" x14ac:dyDescent="0.25">
      <c r="A2917" s="1">
        <v>42364</v>
      </c>
      <c r="B2917">
        <v>1</v>
      </c>
      <c r="C2917">
        <v>2</v>
      </c>
      <c r="D2917">
        <v>59</v>
      </c>
    </row>
    <row r="2918" spans="1:4" x14ac:dyDescent="0.25">
      <c r="A2918" s="1">
        <v>42365</v>
      </c>
      <c r="B2918">
        <v>1</v>
      </c>
      <c r="C2918">
        <v>2</v>
      </c>
      <c r="D2918">
        <v>55</v>
      </c>
    </row>
    <row r="2919" spans="1:4" x14ac:dyDescent="0.25">
      <c r="A2919" s="1">
        <v>42366</v>
      </c>
      <c r="B2919">
        <v>1</v>
      </c>
      <c r="C2919">
        <v>2</v>
      </c>
      <c r="D2919">
        <v>35</v>
      </c>
    </row>
    <row r="2920" spans="1:4" x14ac:dyDescent="0.25">
      <c r="A2920" s="1">
        <v>42367</v>
      </c>
      <c r="B2920">
        <v>1</v>
      </c>
      <c r="C2920">
        <v>2</v>
      </c>
      <c r="D2920">
        <v>43</v>
      </c>
    </row>
    <row r="2921" spans="1:4" x14ac:dyDescent="0.25">
      <c r="A2921" s="1">
        <v>42368</v>
      </c>
      <c r="B2921">
        <v>1</v>
      </c>
      <c r="C2921">
        <v>2</v>
      </c>
      <c r="D2921">
        <v>34</v>
      </c>
    </row>
    <row r="2922" spans="1:4" x14ac:dyDescent="0.25">
      <c r="A2922" s="1">
        <v>42369</v>
      </c>
      <c r="B2922">
        <v>1</v>
      </c>
      <c r="C2922">
        <v>2</v>
      </c>
      <c r="D2922">
        <v>36</v>
      </c>
    </row>
    <row r="2923" spans="1:4" x14ac:dyDescent="0.25">
      <c r="A2923" s="1">
        <v>42370</v>
      </c>
      <c r="B2923">
        <v>1</v>
      </c>
      <c r="C2923">
        <v>2</v>
      </c>
      <c r="D2923">
        <v>32</v>
      </c>
    </row>
    <row r="2924" spans="1:4" x14ac:dyDescent="0.25">
      <c r="A2924" s="1">
        <v>42371</v>
      </c>
      <c r="B2924">
        <v>1</v>
      </c>
      <c r="C2924">
        <v>2</v>
      </c>
      <c r="D2924">
        <v>43</v>
      </c>
    </row>
    <row r="2925" spans="1:4" x14ac:dyDescent="0.25">
      <c r="A2925" s="1">
        <v>42372</v>
      </c>
      <c r="B2925">
        <v>1</v>
      </c>
      <c r="C2925">
        <v>2</v>
      </c>
      <c r="D2925">
        <v>47</v>
      </c>
    </row>
    <row r="2926" spans="1:4" x14ac:dyDescent="0.25">
      <c r="A2926" s="1">
        <v>42373</v>
      </c>
      <c r="B2926">
        <v>1</v>
      </c>
      <c r="C2926">
        <v>2</v>
      </c>
      <c r="D2926">
        <v>22</v>
      </c>
    </row>
    <row r="2927" spans="1:4" x14ac:dyDescent="0.25">
      <c r="A2927" s="1">
        <v>42374</v>
      </c>
      <c r="B2927">
        <v>1</v>
      </c>
      <c r="C2927">
        <v>2</v>
      </c>
      <c r="D2927">
        <v>34</v>
      </c>
    </row>
    <row r="2928" spans="1:4" x14ac:dyDescent="0.25">
      <c r="A2928" s="1">
        <v>42375</v>
      </c>
      <c r="B2928">
        <v>1</v>
      </c>
      <c r="C2928">
        <v>2</v>
      </c>
      <c r="D2928">
        <v>38</v>
      </c>
    </row>
    <row r="2929" spans="1:4" x14ac:dyDescent="0.25">
      <c r="A2929" s="1">
        <v>42376</v>
      </c>
      <c r="B2929">
        <v>1</v>
      </c>
      <c r="C2929">
        <v>2</v>
      </c>
      <c r="D2929">
        <v>45</v>
      </c>
    </row>
    <row r="2930" spans="1:4" x14ac:dyDescent="0.25">
      <c r="A2930" s="1">
        <v>42377</v>
      </c>
      <c r="B2930">
        <v>1</v>
      </c>
      <c r="C2930">
        <v>2</v>
      </c>
      <c r="D2930">
        <v>34</v>
      </c>
    </row>
    <row r="2931" spans="1:4" x14ac:dyDescent="0.25">
      <c r="A2931" s="1">
        <v>42378</v>
      </c>
      <c r="B2931">
        <v>1</v>
      </c>
      <c r="C2931">
        <v>2</v>
      </c>
      <c r="D2931">
        <v>52</v>
      </c>
    </row>
    <row r="2932" spans="1:4" x14ac:dyDescent="0.25">
      <c r="A2932" s="1">
        <v>42379</v>
      </c>
      <c r="B2932">
        <v>1</v>
      </c>
      <c r="C2932">
        <v>2</v>
      </c>
      <c r="D2932">
        <v>44</v>
      </c>
    </row>
    <row r="2933" spans="1:4" x14ac:dyDescent="0.25">
      <c r="A2933" s="1">
        <v>42380</v>
      </c>
      <c r="B2933">
        <v>1</v>
      </c>
      <c r="C2933">
        <v>2</v>
      </c>
      <c r="D2933">
        <v>33</v>
      </c>
    </row>
    <row r="2934" spans="1:4" x14ac:dyDescent="0.25">
      <c r="A2934" s="1">
        <v>42381</v>
      </c>
      <c r="B2934">
        <v>1</v>
      </c>
      <c r="C2934">
        <v>2</v>
      </c>
      <c r="D2934">
        <v>52</v>
      </c>
    </row>
    <row r="2935" spans="1:4" x14ac:dyDescent="0.25">
      <c r="A2935" s="1">
        <v>42382</v>
      </c>
      <c r="B2935">
        <v>1</v>
      </c>
      <c r="C2935">
        <v>2</v>
      </c>
      <c r="D2935">
        <v>36</v>
      </c>
    </row>
    <row r="2936" spans="1:4" x14ac:dyDescent="0.25">
      <c r="A2936" s="1">
        <v>42383</v>
      </c>
      <c r="B2936">
        <v>1</v>
      </c>
      <c r="C2936">
        <v>2</v>
      </c>
      <c r="D2936">
        <v>45</v>
      </c>
    </row>
    <row r="2937" spans="1:4" x14ac:dyDescent="0.25">
      <c r="A2937" s="1">
        <v>42384</v>
      </c>
      <c r="B2937">
        <v>1</v>
      </c>
      <c r="C2937">
        <v>2</v>
      </c>
      <c r="D2937">
        <v>48</v>
      </c>
    </row>
    <row r="2938" spans="1:4" x14ac:dyDescent="0.25">
      <c r="A2938" s="1">
        <v>42385</v>
      </c>
      <c r="B2938">
        <v>1</v>
      </c>
      <c r="C2938">
        <v>2</v>
      </c>
      <c r="D2938">
        <v>35</v>
      </c>
    </row>
    <row r="2939" spans="1:4" x14ac:dyDescent="0.25">
      <c r="A2939" s="1">
        <v>42386</v>
      </c>
      <c r="B2939">
        <v>1</v>
      </c>
      <c r="C2939">
        <v>2</v>
      </c>
      <c r="D2939">
        <v>54</v>
      </c>
    </row>
    <row r="2940" spans="1:4" x14ac:dyDescent="0.25">
      <c r="A2940" s="1">
        <v>42387</v>
      </c>
      <c r="B2940">
        <v>1</v>
      </c>
      <c r="C2940">
        <v>2</v>
      </c>
      <c r="D2940">
        <v>30</v>
      </c>
    </row>
    <row r="2941" spans="1:4" x14ac:dyDescent="0.25">
      <c r="A2941" s="1">
        <v>42388</v>
      </c>
      <c r="B2941">
        <v>1</v>
      </c>
      <c r="C2941">
        <v>2</v>
      </c>
      <c r="D2941">
        <v>23</v>
      </c>
    </row>
    <row r="2942" spans="1:4" x14ac:dyDescent="0.25">
      <c r="A2942" s="1">
        <v>42389</v>
      </c>
      <c r="B2942">
        <v>1</v>
      </c>
      <c r="C2942">
        <v>2</v>
      </c>
      <c r="D2942">
        <v>41</v>
      </c>
    </row>
    <row r="2943" spans="1:4" x14ac:dyDescent="0.25">
      <c r="A2943" s="1">
        <v>42390</v>
      </c>
      <c r="B2943">
        <v>1</v>
      </c>
      <c r="C2943">
        <v>2</v>
      </c>
      <c r="D2943">
        <v>48</v>
      </c>
    </row>
    <row r="2944" spans="1:4" x14ac:dyDescent="0.25">
      <c r="A2944" s="1">
        <v>42391</v>
      </c>
      <c r="B2944">
        <v>1</v>
      </c>
      <c r="C2944">
        <v>2</v>
      </c>
      <c r="D2944">
        <v>48</v>
      </c>
    </row>
    <row r="2945" spans="1:4" x14ac:dyDescent="0.25">
      <c r="A2945" s="1">
        <v>42392</v>
      </c>
      <c r="B2945">
        <v>1</v>
      </c>
      <c r="C2945">
        <v>2</v>
      </c>
      <c r="D2945">
        <v>48</v>
      </c>
    </row>
    <row r="2946" spans="1:4" x14ac:dyDescent="0.25">
      <c r="A2946" s="1">
        <v>42393</v>
      </c>
      <c r="B2946">
        <v>1</v>
      </c>
      <c r="C2946">
        <v>2</v>
      </c>
      <c r="D2946">
        <v>48</v>
      </c>
    </row>
    <row r="2947" spans="1:4" x14ac:dyDescent="0.25">
      <c r="A2947" s="1">
        <v>42394</v>
      </c>
      <c r="B2947">
        <v>1</v>
      </c>
      <c r="C2947">
        <v>2</v>
      </c>
      <c r="D2947">
        <v>38</v>
      </c>
    </row>
    <row r="2948" spans="1:4" x14ac:dyDescent="0.25">
      <c r="A2948" s="1">
        <v>42395</v>
      </c>
      <c r="B2948">
        <v>1</v>
      </c>
      <c r="C2948">
        <v>2</v>
      </c>
      <c r="D2948">
        <v>38</v>
      </c>
    </row>
    <row r="2949" spans="1:4" x14ac:dyDescent="0.25">
      <c r="A2949" s="1">
        <v>42396</v>
      </c>
      <c r="B2949">
        <v>1</v>
      </c>
      <c r="C2949">
        <v>2</v>
      </c>
      <c r="D2949">
        <v>31</v>
      </c>
    </row>
    <row r="2950" spans="1:4" x14ac:dyDescent="0.25">
      <c r="A2950" s="1">
        <v>42397</v>
      </c>
      <c r="B2950">
        <v>1</v>
      </c>
      <c r="C2950">
        <v>2</v>
      </c>
      <c r="D2950">
        <v>35</v>
      </c>
    </row>
    <row r="2951" spans="1:4" x14ac:dyDescent="0.25">
      <c r="A2951" s="1">
        <v>42398</v>
      </c>
      <c r="B2951">
        <v>1</v>
      </c>
      <c r="C2951">
        <v>2</v>
      </c>
      <c r="D2951">
        <v>40</v>
      </c>
    </row>
    <row r="2952" spans="1:4" x14ac:dyDescent="0.25">
      <c r="A2952" s="1">
        <v>42399</v>
      </c>
      <c r="B2952">
        <v>1</v>
      </c>
      <c r="C2952">
        <v>2</v>
      </c>
      <c r="D2952">
        <v>42</v>
      </c>
    </row>
    <row r="2953" spans="1:4" x14ac:dyDescent="0.25">
      <c r="A2953" s="1">
        <v>42400</v>
      </c>
      <c r="B2953">
        <v>1</v>
      </c>
      <c r="C2953">
        <v>2</v>
      </c>
      <c r="D2953">
        <v>44</v>
      </c>
    </row>
    <row r="2954" spans="1:4" x14ac:dyDescent="0.25">
      <c r="A2954" s="1">
        <v>42401</v>
      </c>
      <c r="B2954">
        <v>1</v>
      </c>
      <c r="C2954">
        <v>2</v>
      </c>
      <c r="D2954">
        <v>53</v>
      </c>
    </row>
    <row r="2955" spans="1:4" x14ac:dyDescent="0.25">
      <c r="A2955" s="1">
        <v>42402</v>
      </c>
      <c r="B2955">
        <v>1</v>
      </c>
      <c r="C2955">
        <v>2</v>
      </c>
      <c r="D2955">
        <v>34</v>
      </c>
    </row>
    <row r="2956" spans="1:4" x14ac:dyDescent="0.25">
      <c r="A2956" s="1">
        <v>42403</v>
      </c>
      <c r="B2956">
        <v>1</v>
      </c>
      <c r="C2956">
        <v>2</v>
      </c>
      <c r="D2956">
        <v>52</v>
      </c>
    </row>
    <row r="2957" spans="1:4" x14ac:dyDescent="0.25">
      <c r="A2957" s="1">
        <v>42404</v>
      </c>
      <c r="B2957">
        <v>1</v>
      </c>
      <c r="C2957">
        <v>2</v>
      </c>
      <c r="D2957">
        <v>45</v>
      </c>
    </row>
    <row r="2958" spans="1:4" x14ac:dyDescent="0.25">
      <c r="A2958" s="1">
        <v>42405</v>
      </c>
      <c r="B2958">
        <v>1</v>
      </c>
      <c r="C2958">
        <v>2</v>
      </c>
      <c r="D2958">
        <v>49</v>
      </c>
    </row>
    <row r="2959" spans="1:4" x14ac:dyDescent="0.25">
      <c r="A2959" s="1">
        <v>42406</v>
      </c>
      <c r="B2959">
        <v>1</v>
      </c>
      <c r="C2959">
        <v>2</v>
      </c>
      <c r="D2959">
        <v>48</v>
      </c>
    </row>
    <row r="2960" spans="1:4" x14ac:dyDescent="0.25">
      <c r="A2960" s="1">
        <v>42407</v>
      </c>
      <c r="B2960">
        <v>1</v>
      </c>
      <c r="C2960">
        <v>2</v>
      </c>
      <c r="D2960">
        <v>55</v>
      </c>
    </row>
    <row r="2961" spans="1:4" x14ac:dyDescent="0.25">
      <c r="A2961" s="1">
        <v>42408</v>
      </c>
      <c r="B2961">
        <v>1</v>
      </c>
      <c r="C2961">
        <v>2</v>
      </c>
      <c r="D2961">
        <v>30</v>
      </c>
    </row>
    <row r="2962" spans="1:4" x14ac:dyDescent="0.25">
      <c r="A2962" s="1">
        <v>42409</v>
      </c>
      <c r="B2962">
        <v>1</v>
      </c>
      <c r="C2962">
        <v>2</v>
      </c>
      <c r="D2962">
        <v>45</v>
      </c>
    </row>
    <row r="2963" spans="1:4" x14ac:dyDescent="0.25">
      <c r="A2963" s="1">
        <v>42410</v>
      </c>
      <c r="B2963">
        <v>1</v>
      </c>
      <c r="C2963">
        <v>2</v>
      </c>
      <c r="D2963">
        <v>41</v>
      </c>
    </row>
    <row r="2964" spans="1:4" x14ac:dyDescent="0.25">
      <c r="A2964" s="1">
        <v>42411</v>
      </c>
      <c r="B2964">
        <v>1</v>
      </c>
      <c r="C2964">
        <v>2</v>
      </c>
      <c r="D2964">
        <v>52</v>
      </c>
    </row>
    <row r="2965" spans="1:4" x14ac:dyDescent="0.25">
      <c r="A2965" s="1">
        <v>42412</v>
      </c>
      <c r="B2965">
        <v>1</v>
      </c>
      <c r="C2965">
        <v>2</v>
      </c>
      <c r="D2965">
        <v>46</v>
      </c>
    </row>
    <row r="2966" spans="1:4" x14ac:dyDescent="0.25">
      <c r="A2966" s="1">
        <v>42413</v>
      </c>
      <c r="B2966">
        <v>1</v>
      </c>
      <c r="C2966">
        <v>2</v>
      </c>
      <c r="D2966">
        <v>44</v>
      </c>
    </row>
    <row r="2967" spans="1:4" x14ac:dyDescent="0.25">
      <c r="A2967" s="1">
        <v>42414</v>
      </c>
      <c r="B2967">
        <v>1</v>
      </c>
      <c r="C2967">
        <v>2</v>
      </c>
      <c r="D2967">
        <v>44</v>
      </c>
    </row>
    <row r="2968" spans="1:4" x14ac:dyDescent="0.25">
      <c r="A2968" s="1">
        <v>42415</v>
      </c>
      <c r="B2968">
        <v>1</v>
      </c>
      <c r="C2968">
        <v>2</v>
      </c>
      <c r="D2968">
        <v>33</v>
      </c>
    </row>
    <row r="2969" spans="1:4" x14ac:dyDescent="0.25">
      <c r="A2969" s="1">
        <v>42416</v>
      </c>
      <c r="B2969">
        <v>1</v>
      </c>
      <c r="C2969">
        <v>2</v>
      </c>
      <c r="D2969">
        <v>39</v>
      </c>
    </row>
    <row r="2970" spans="1:4" x14ac:dyDescent="0.25">
      <c r="A2970" s="1">
        <v>42417</v>
      </c>
      <c r="B2970">
        <v>1</v>
      </c>
      <c r="C2970">
        <v>2</v>
      </c>
      <c r="D2970">
        <v>45</v>
      </c>
    </row>
    <row r="2971" spans="1:4" x14ac:dyDescent="0.25">
      <c r="A2971" s="1">
        <v>42418</v>
      </c>
      <c r="B2971">
        <v>1</v>
      </c>
      <c r="C2971">
        <v>2</v>
      </c>
      <c r="D2971">
        <v>56</v>
      </c>
    </row>
    <row r="2972" spans="1:4" x14ac:dyDescent="0.25">
      <c r="A2972" s="1">
        <v>42419</v>
      </c>
      <c r="B2972">
        <v>1</v>
      </c>
      <c r="C2972">
        <v>2</v>
      </c>
      <c r="D2972">
        <v>46</v>
      </c>
    </row>
    <row r="2973" spans="1:4" x14ac:dyDescent="0.25">
      <c r="A2973" s="1">
        <v>42420</v>
      </c>
      <c r="B2973">
        <v>1</v>
      </c>
      <c r="C2973">
        <v>2</v>
      </c>
      <c r="D2973">
        <v>43</v>
      </c>
    </row>
    <row r="2974" spans="1:4" x14ac:dyDescent="0.25">
      <c r="A2974" s="1">
        <v>42421</v>
      </c>
      <c r="B2974">
        <v>1</v>
      </c>
      <c r="C2974">
        <v>2</v>
      </c>
      <c r="D2974">
        <v>49</v>
      </c>
    </row>
    <row r="2975" spans="1:4" x14ac:dyDescent="0.25">
      <c r="A2975" s="1">
        <v>42422</v>
      </c>
      <c r="B2975">
        <v>1</v>
      </c>
      <c r="C2975">
        <v>2</v>
      </c>
      <c r="D2975">
        <v>41</v>
      </c>
    </row>
    <row r="2976" spans="1:4" x14ac:dyDescent="0.25">
      <c r="A2976" s="1">
        <v>42423</v>
      </c>
      <c r="B2976">
        <v>1</v>
      </c>
      <c r="C2976">
        <v>2</v>
      </c>
      <c r="D2976">
        <v>44</v>
      </c>
    </row>
    <row r="2977" spans="1:4" x14ac:dyDescent="0.25">
      <c r="A2977" s="1">
        <v>42424</v>
      </c>
      <c r="B2977">
        <v>1</v>
      </c>
      <c r="C2977">
        <v>2</v>
      </c>
      <c r="D2977">
        <v>28</v>
      </c>
    </row>
    <row r="2978" spans="1:4" x14ac:dyDescent="0.25">
      <c r="A2978" s="1">
        <v>42425</v>
      </c>
      <c r="B2978">
        <v>1</v>
      </c>
      <c r="C2978">
        <v>2</v>
      </c>
      <c r="D2978">
        <v>48</v>
      </c>
    </row>
    <row r="2979" spans="1:4" x14ac:dyDescent="0.25">
      <c r="A2979" s="1">
        <v>42426</v>
      </c>
      <c r="B2979">
        <v>1</v>
      </c>
      <c r="C2979">
        <v>2</v>
      </c>
      <c r="D2979">
        <v>41</v>
      </c>
    </row>
    <row r="2980" spans="1:4" x14ac:dyDescent="0.25">
      <c r="A2980" s="1">
        <v>42427</v>
      </c>
      <c r="B2980">
        <v>1</v>
      </c>
      <c r="C2980">
        <v>2</v>
      </c>
      <c r="D2980">
        <v>43</v>
      </c>
    </row>
    <row r="2981" spans="1:4" x14ac:dyDescent="0.25">
      <c r="A2981" s="1">
        <v>42428</v>
      </c>
      <c r="B2981">
        <v>1</v>
      </c>
      <c r="C2981">
        <v>2</v>
      </c>
      <c r="D2981">
        <v>41</v>
      </c>
    </row>
    <row r="2982" spans="1:4" x14ac:dyDescent="0.25">
      <c r="A2982" s="1">
        <v>42429</v>
      </c>
      <c r="B2982">
        <v>1</v>
      </c>
      <c r="C2982">
        <v>2</v>
      </c>
      <c r="D2982">
        <v>35</v>
      </c>
    </row>
    <row r="2983" spans="1:4" x14ac:dyDescent="0.25">
      <c r="A2983" s="1">
        <v>42430</v>
      </c>
      <c r="B2983">
        <v>1</v>
      </c>
      <c r="C2983">
        <v>2</v>
      </c>
      <c r="D2983">
        <v>57</v>
      </c>
    </row>
    <row r="2984" spans="1:4" x14ac:dyDescent="0.25">
      <c r="A2984" s="1">
        <v>42431</v>
      </c>
      <c r="B2984">
        <v>1</v>
      </c>
      <c r="C2984">
        <v>2</v>
      </c>
      <c r="D2984">
        <v>45</v>
      </c>
    </row>
    <row r="2985" spans="1:4" x14ac:dyDescent="0.25">
      <c r="A2985" s="1">
        <v>42432</v>
      </c>
      <c r="B2985">
        <v>1</v>
      </c>
      <c r="C2985">
        <v>2</v>
      </c>
      <c r="D2985">
        <v>58</v>
      </c>
    </row>
    <row r="2986" spans="1:4" x14ac:dyDescent="0.25">
      <c r="A2986" s="1">
        <v>42433</v>
      </c>
      <c r="B2986">
        <v>1</v>
      </c>
      <c r="C2986">
        <v>2</v>
      </c>
      <c r="D2986">
        <v>61</v>
      </c>
    </row>
    <row r="2987" spans="1:4" x14ac:dyDescent="0.25">
      <c r="A2987" s="1">
        <v>42434</v>
      </c>
      <c r="B2987">
        <v>1</v>
      </c>
      <c r="C2987">
        <v>2</v>
      </c>
      <c r="D2987">
        <v>71</v>
      </c>
    </row>
    <row r="2988" spans="1:4" x14ac:dyDescent="0.25">
      <c r="A2988" s="1">
        <v>42435</v>
      </c>
      <c r="B2988">
        <v>1</v>
      </c>
      <c r="C2988">
        <v>2</v>
      </c>
      <c r="D2988">
        <v>66</v>
      </c>
    </row>
    <row r="2989" spans="1:4" x14ac:dyDescent="0.25">
      <c r="A2989" s="1">
        <v>42436</v>
      </c>
      <c r="B2989">
        <v>1</v>
      </c>
      <c r="C2989">
        <v>2</v>
      </c>
      <c r="D2989">
        <v>44</v>
      </c>
    </row>
    <row r="2990" spans="1:4" x14ac:dyDescent="0.25">
      <c r="A2990" s="1">
        <v>42437</v>
      </c>
      <c r="B2990">
        <v>1</v>
      </c>
      <c r="C2990">
        <v>2</v>
      </c>
      <c r="D2990">
        <v>35</v>
      </c>
    </row>
    <row r="2991" spans="1:4" x14ac:dyDescent="0.25">
      <c r="A2991" s="1">
        <v>42438</v>
      </c>
      <c r="B2991">
        <v>1</v>
      </c>
      <c r="C2991">
        <v>2</v>
      </c>
      <c r="D2991">
        <v>54</v>
      </c>
    </row>
    <row r="2992" spans="1:4" x14ac:dyDescent="0.25">
      <c r="A2992" s="1">
        <v>42439</v>
      </c>
      <c r="B2992">
        <v>1</v>
      </c>
      <c r="C2992">
        <v>2</v>
      </c>
      <c r="D2992">
        <v>42</v>
      </c>
    </row>
    <row r="2993" spans="1:4" x14ac:dyDescent="0.25">
      <c r="A2993" s="1">
        <v>42440</v>
      </c>
      <c r="B2993">
        <v>1</v>
      </c>
      <c r="C2993">
        <v>2</v>
      </c>
      <c r="D2993">
        <v>44</v>
      </c>
    </row>
    <row r="2994" spans="1:4" x14ac:dyDescent="0.25">
      <c r="A2994" s="1">
        <v>42441</v>
      </c>
      <c r="B2994">
        <v>1</v>
      </c>
      <c r="C2994">
        <v>2</v>
      </c>
      <c r="D2994">
        <v>61</v>
      </c>
    </row>
    <row r="2995" spans="1:4" x14ac:dyDescent="0.25">
      <c r="A2995" s="1">
        <v>42442</v>
      </c>
      <c r="B2995">
        <v>1</v>
      </c>
      <c r="C2995">
        <v>2</v>
      </c>
      <c r="D2995">
        <v>59</v>
      </c>
    </row>
    <row r="2996" spans="1:4" x14ac:dyDescent="0.25">
      <c r="A2996" s="1">
        <v>42443</v>
      </c>
      <c r="B2996">
        <v>1</v>
      </c>
      <c r="C2996">
        <v>2</v>
      </c>
      <c r="D2996">
        <v>43</v>
      </c>
    </row>
    <row r="2997" spans="1:4" x14ac:dyDescent="0.25">
      <c r="A2997" s="1">
        <v>42444</v>
      </c>
      <c r="B2997">
        <v>1</v>
      </c>
      <c r="C2997">
        <v>2</v>
      </c>
      <c r="D2997">
        <v>44</v>
      </c>
    </row>
    <row r="2998" spans="1:4" x14ac:dyDescent="0.25">
      <c r="A2998" s="1">
        <v>42445</v>
      </c>
      <c r="B2998">
        <v>1</v>
      </c>
      <c r="C2998">
        <v>2</v>
      </c>
      <c r="D2998">
        <v>46</v>
      </c>
    </row>
    <row r="2999" spans="1:4" x14ac:dyDescent="0.25">
      <c r="A2999" s="1">
        <v>42446</v>
      </c>
      <c r="B2999">
        <v>1</v>
      </c>
      <c r="C2999">
        <v>2</v>
      </c>
      <c r="D2999">
        <v>54</v>
      </c>
    </row>
    <row r="3000" spans="1:4" x14ac:dyDescent="0.25">
      <c r="A3000" s="1">
        <v>42447</v>
      </c>
      <c r="B3000">
        <v>1</v>
      </c>
      <c r="C3000">
        <v>2</v>
      </c>
      <c r="D3000">
        <v>62</v>
      </c>
    </row>
    <row r="3001" spans="1:4" x14ac:dyDescent="0.25">
      <c r="A3001" s="1">
        <v>42448</v>
      </c>
      <c r="B3001">
        <v>1</v>
      </c>
      <c r="C3001">
        <v>2</v>
      </c>
      <c r="D3001">
        <v>53</v>
      </c>
    </row>
    <row r="3002" spans="1:4" x14ac:dyDescent="0.25">
      <c r="A3002" s="1">
        <v>42449</v>
      </c>
      <c r="B3002">
        <v>1</v>
      </c>
      <c r="C3002">
        <v>2</v>
      </c>
      <c r="D3002">
        <v>63</v>
      </c>
    </row>
    <row r="3003" spans="1:4" x14ac:dyDescent="0.25">
      <c r="A3003" s="1">
        <v>42450</v>
      </c>
      <c r="B3003">
        <v>1</v>
      </c>
      <c r="C3003">
        <v>2</v>
      </c>
      <c r="D3003">
        <v>39</v>
      </c>
    </row>
    <row r="3004" spans="1:4" x14ac:dyDescent="0.25">
      <c r="A3004" s="1">
        <v>42451</v>
      </c>
      <c r="B3004">
        <v>1</v>
      </c>
      <c r="C3004">
        <v>2</v>
      </c>
      <c r="D3004">
        <v>52</v>
      </c>
    </row>
    <row r="3005" spans="1:4" x14ac:dyDescent="0.25">
      <c r="A3005" s="1">
        <v>42452</v>
      </c>
      <c r="B3005">
        <v>1</v>
      </c>
      <c r="C3005">
        <v>2</v>
      </c>
      <c r="D3005">
        <v>49</v>
      </c>
    </row>
    <row r="3006" spans="1:4" x14ac:dyDescent="0.25">
      <c r="A3006" s="1">
        <v>42453</v>
      </c>
      <c r="B3006">
        <v>1</v>
      </c>
      <c r="C3006">
        <v>2</v>
      </c>
      <c r="D3006">
        <v>54</v>
      </c>
    </row>
    <row r="3007" spans="1:4" x14ac:dyDescent="0.25">
      <c r="A3007" s="1">
        <v>42454</v>
      </c>
      <c r="B3007">
        <v>1</v>
      </c>
      <c r="C3007">
        <v>2</v>
      </c>
      <c r="D3007">
        <v>61</v>
      </c>
    </row>
    <row r="3008" spans="1:4" x14ac:dyDescent="0.25">
      <c r="A3008" s="1">
        <v>42455</v>
      </c>
      <c r="B3008">
        <v>1</v>
      </c>
      <c r="C3008">
        <v>2</v>
      </c>
      <c r="D3008">
        <v>53</v>
      </c>
    </row>
    <row r="3009" spans="1:4" x14ac:dyDescent="0.25">
      <c r="A3009" s="1">
        <v>42456</v>
      </c>
      <c r="B3009">
        <v>1</v>
      </c>
      <c r="C3009">
        <v>2</v>
      </c>
      <c r="D3009">
        <v>66</v>
      </c>
    </row>
    <row r="3010" spans="1:4" x14ac:dyDescent="0.25">
      <c r="A3010" s="1">
        <v>42457</v>
      </c>
      <c r="B3010">
        <v>1</v>
      </c>
      <c r="C3010">
        <v>2</v>
      </c>
      <c r="D3010">
        <v>39</v>
      </c>
    </row>
    <row r="3011" spans="1:4" x14ac:dyDescent="0.25">
      <c r="A3011" s="1">
        <v>42458</v>
      </c>
      <c r="B3011">
        <v>1</v>
      </c>
      <c r="C3011">
        <v>2</v>
      </c>
      <c r="D3011">
        <v>47</v>
      </c>
    </row>
    <row r="3012" spans="1:4" x14ac:dyDescent="0.25">
      <c r="A3012" s="1">
        <v>42459</v>
      </c>
      <c r="B3012">
        <v>1</v>
      </c>
      <c r="C3012">
        <v>2</v>
      </c>
      <c r="D3012">
        <v>49</v>
      </c>
    </row>
    <row r="3013" spans="1:4" x14ac:dyDescent="0.25">
      <c r="A3013" s="1">
        <v>42460</v>
      </c>
      <c r="B3013">
        <v>1</v>
      </c>
      <c r="C3013">
        <v>2</v>
      </c>
      <c r="D3013">
        <v>57</v>
      </c>
    </row>
    <row r="3014" spans="1:4" x14ac:dyDescent="0.25">
      <c r="A3014" s="1">
        <v>42461</v>
      </c>
      <c r="B3014">
        <v>1</v>
      </c>
      <c r="C3014">
        <v>2</v>
      </c>
      <c r="D3014">
        <v>73</v>
      </c>
    </row>
    <row r="3015" spans="1:4" x14ac:dyDescent="0.25">
      <c r="A3015" s="1">
        <v>42462</v>
      </c>
      <c r="B3015">
        <v>1</v>
      </c>
      <c r="C3015">
        <v>2</v>
      </c>
      <c r="D3015">
        <v>58</v>
      </c>
    </row>
    <row r="3016" spans="1:4" x14ac:dyDescent="0.25">
      <c r="A3016" s="1">
        <v>42463</v>
      </c>
      <c r="B3016">
        <v>1</v>
      </c>
      <c r="C3016">
        <v>2</v>
      </c>
      <c r="D3016">
        <v>85</v>
      </c>
    </row>
    <row r="3017" spans="1:4" x14ac:dyDescent="0.25">
      <c r="A3017" s="1">
        <v>42464</v>
      </c>
      <c r="B3017">
        <v>1</v>
      </c>
      <c r="C3017">
        <v>2</v>
      </c>
      <c r="D3017">
        <v>48</v>
      </c>
    </row>
    <row r="3018" spans="1:4" x14ac:dyDescent="0.25">
      <c r="A3018" s="1">
        <v>42465</v>
      </c>
      <c r="B3018">
        <v>1</v>
      </c>
      <c r="C3018">
        <v>2</v>
      </c>
      <c r="D3018">
        <v>52</v>
      </c>
    </row>
    <row r="3019" spans="1:4" x14ac:dyDescent="0.25">
      <c r="A3019" s="1">
        <v>42466</v>
      </c>
      <c r="B3019">
        <v>1</v>
      </c>
      <c r="C3019">
        <v>2</v>
      </c>
      <c r="D3019">
        <v>67</v>
      </c>
    </row>
    <row r="3020" spans="1:4" x14ac:dyDescent="0.25">
      <c r="A3020" s="1">
        <v>42467</v>
      </c>
      <c r="B3020">
        <v>1</v>
      </c>
      <c r="C3020">
        <v>2</v>
      </c>
      <c r="D3020">
        <v>54</v>
      </c>
    </row>
    <row r="3021" spans="1:4" x14ac:dyDescent="0.25">
      <c r="A3021" s="1">
        <v>42468</v>
      </c>
      <c r="B3021">
        <v>1</v>
      </c>
      <c r="C3021">
        <v>2</v>
      </c>
      <c r="D3021">
        <v>71</v>
      </c>
    </row>
    <row r="3022" spans="1:4" x14ac:dyDescent="0.25">
      <c r="A3022" s="1">
        <v>42469</v>
      </c>
      <c r="B3022">
        <v>1</v>
      </c>
      <c r="C3022">
        <v>2</v>
      </c>
      <c r="D3022">
        <v>68</v>
      </c>
    </row>
    <row r="3023" spans="1:4" x14ac:dyDescent="0.25">
      <c r="A3023" s="1">
        <v>42470</v>
      </c>
      <c r="B3023">
        <v>1</v>
      </c>
      <c r="C3023">
        <v>2</v>
      </c>
      <c r="D3023">
        <v>74</v>
      </c>
    </row>
    <row r="3024" spans="1:4" x14ac:dyDescent="0.25">
      <c r="A3024" s="1">
        <v>42471</v>
      </c>
      <c r="B3024">
        <v>1</v>
      </c>
      <c r="C3024">
        <v>2</v>
      </c>
      <c r="D3024">
        <v>36</v>
      </c>
    </row>
    <row r="3025" spans="1:4" x14ac:dyDescent="0.25">
      <c r="A3025" s="1">
        <v>42472</v>
      </c>
      <c r="B3025">
        <v>1</v>
      </c>
      <c r="C3025">
        <v>2</v>
      </c>
      <c r="D3025">
        <v>55</v>
      </c>
    </row>
    <row r="3026" spans="1:4" x14ac:dyDescent="0.25">
      <c r="A3026" s="1">
        <v>42473</v>
      </c>
      <c r="B3026">
        <v>1</v>
      </c>
      <c r="C3026">
        <v>2</v>
      </c>
      <c r="D3026">
        <v>56</v>
      </c>
    </row>
    <row r="3027" spans="1:4" x14ac:dyDescent="0.25">
      <c r="A3027" s="1">
        <v>42474</v>
      </c>
      <c r="B3027">
        <v>1</v>
      </c>
      <c r="C3027">
        <v>2</v>
      </c>
      <c r="D3027">
        <v>71</v>
      </c>
    </row>
    <row r="3028" spans="1:4" x14ac:dyDescent="0.25">
      <c r="A3028" s="1">
        <v>42475</v>
      </c>
      <c r="B3028">
        <v>1</v>
      </c>
      <c r="C3028">
        <v>2</v>
      </c>
      <c r="D3028">
        <v>60</v>
      </c>
    </row>
    <row r="3029" spans="1:4" x14ac:dyDescent="0.25">
      <c r="A3029" s="1">
        <v>42476</v>
      </c>
      <c r="B3029">
        <v>1</v>
      </c>
      <c r="C3029">
        <v>2</v>
      </c>
      <c r="D3029">
        <v>66</v>
      </c>
    </row>
    <row r="3030" spans="1:4" x14ac:dyDescent="0.25">
      <c r="A3030" s="1">
        <v>42477</v>
      </c>
      <c r="B3030">
        <v>1</v>
      </c>
      <c r="C3030">
        <v>2</v>
      </c>
      <c r="D3030">
        <v>60</v>
      </c>
    </row>
    <row r="3031" spans="1:4" x14ac:dyDescent="0.25">
      <c r="A3031" s="1">
        <v>42478</v>
      </c>
      <c r="B3031">
        <v>1</v>
      </c>
      <c r="C3031">
        <v>2</v>
      </c>
      <c r="D3031">
        <v>45</v>
      </c>
    </row>
    <row r="3032" spans="1:4" x14ac:dyDescent="0.25">
      <c r="A3032" s="1">
        <v>42479</v>
      </c>
      <c r="B3032">
        <v>1</v>
      </c>
      <c r="C3032">
        <v>2</v>
      </c>
      <c r="D3032">
        <v>50</v>
      </c>
    </row>
    <row r="3033" spans="1:4" x14ac:dyDescent="0.25">
      <c r="A3033" s="1">
        <v>42480</v>
      </c>
      <c r="B3033">
        <v>1</v>
      </c>
      <c r="C3033">
        <v>2</v>
      </c>
      <c r="D3033">
        <v>57</v>
      </c>
    </row>
    <row r="3034" spans="1:4" x14ac:dyDescent="0.25">
      <c r="A3034" s="1">
        <v>42481</v>
      </c>
      <c r="B3034">
        <v>1</v>
      </c>
      <c r="C3034">
        <v>2</v>
      </c>
      <c r="D3034">
        <v>60</v>
      </c>
    </row>
    <row r="3035" spans="1:4" x14ac:dyDescent="0.25">
      <c r="A3035" s="1">
        <v>42482</v>
      </c>
      <c r="B3035">
        <v>1</v>
      </c>
      <c r="C3035">
        <v>2</v>
      </c>
      <c r="D3035">
        <v>65</v>
      </c>
    </row>
    <row r="3036" spans="1:4" x14ac:dyDescent="0.25">
      <c r="A3036" s="1">
        <v>42483</v>
      </c>
      <c r="B3036">
        <v>1</v>
      </c>
      <c r="C3036">
        <v>2</v>
      </c>
      <c r="D3036">
        <v>71</v>
      </c>
    </row>
    <row r="3037" spans="1:4" x14ac:dyDescent="0.25">
      <c r="A3037" s="1">
        <v>42484</v>
      </c>
      <c r="B3037">
        <v>1</v>
      </c>
      <c r="C3037">
        <v>2</v>
      </c>
      <c r="D3037">
        <v>56</v>
      </c>
    </row>
    <row r="3038" spans="1:4" x14ac:dyDescent="0.25">
      <c r="A3038" s="1">
        <v>42485</v>
      </c>
      <c r="B3038">
        <v>1</v>
      </c>
      <c r="C3038">
        <v>2</v>
      </c>
      <c r="D3038">
        <v>36</v>
      </c>
    </row>
    <row r="3039" spans="1:4" x14ac:dyDescent="0.25">
      <c r="A3039" s="1">
        <v>42486</v>
      </c>
      <c r="B3039">
        <v>1</v>
      </c>
      <c r="C3039">
        <v>2</v>
      </c>
      <c r="D3039">
        <v>59</v>
      </c>
    </row>
    <row r="3040" spans="1:4" x14ac:dyDescent="0.25">
      <c r="A3040" s="1">
        <v>42487</v>
      </c>
      <c r="B3040">
        <v>1</v>
      </c>
      <c r="C3040">
        <v>2</v>
      </c>
      <c r="D3040">
        <v>62</v>
      </c>
    </row>
    <row r="3041" spans="1:4" x14ac:dyDescent="0.25">
      <c r="A3041" s="1">
        <v>42488</v>
      </c>
      <c r="B3041">
        <v>1</v>
      </c>
      <c r="C3041">
        <v>2</v>
      </c>
      <c r="D3041">
        <v>59</v>
      </c>
    </row>
    <row r="3042" spans="1:4" x14ac:dyDescent="0.25">
      <c r="A3042" s="1">
        <v>42489</v>
      </c>
      <c r="B3042">
        <v>1</v>
      </c>
      <c r="C3042">
        <v>2</v>
      </c>
      <c r="D3042">
        <v>52</v>
      </c>
    </row>
    <row r="3043" spans="1:4" x14ac:dyDescent="0.25">
      <c r="A3043" s="1">
        <v>42490</v>
      </c>
      <c r="B3043">
        <v>1</v>
      </c>
      <c r="C3043">
        <v>2</v>
      </c>
      <c r="D3043">
        <v>65</v>
      </c>
    </row>
    <row r="3044" spans="1:4" x14ac:dyDescent="0.25">
      <c r="A3044" s="1">
        <v>42491</v>
      </c>
      <c r="B3044">
        <v>1</v>
      </c>
      <c r="C3044">
        <v>2</v>
      </c>
      <c r="D3044">
        <v>87</v>
      </c>
    </row>
    <row r="3045" spans="1:4" x14ac:dyDescent="0.25">
      <c r="A3045" s="1">
        <v>42492</v>
      </c>
      <c r="B3045">
        <v>1</v>
      </c>
      <c r="C3045">
        <v>2</v>
      </c>
      <c r="D3045">
        <v>54</v>
      </c>
    </row>
    <row r="3046" spans="1:4" x14ac:dyDescent="0.25">
      <c r="A3046" s="1">
        <v>42493</v>
      </c>
      <c r="B3046">
        <v>1</v>
      </c>
      <c r="C3046">
        <v>2</v>
      </c>
      <c r="D3046">
        <v>67</v>
      </c>
    </row>
    <row r="3047" spans="1:4" x14ac:dyDescent="0.25">
      <c r="A3047" s="1">
        <v>42494</v>
      </c>
      <c r="B3047">
        <v>1</v>
      </c>
      <c r="C3047">
        <v>2</v>
      </c>
      <c r="D3047">
        <v>57</v>
      </c>
    </row>
    <row r="3048" spans="1:4" x14ac:dyDescent="0.25">
      <c r="A3048" s="1">
        <v>42495</v>
      </c>
      <c r="B3048">
        <v>1</v>
      </c>
      <c r="C3048">
        <v>2</v>
      </c>
      <c r="D3048">
        <v>50</v>
      </c>
    </row>
    <row r="3049" spans="1:4" x14ac:dyDescent="0.25">
      <c r="A3049" s="1">
        <v>42496</v>
      </c>
      <c r="B3049">
        <v>1</v>
      </c>
      <c r="C3049">
        <v>2</v>
      </c>
      <c r="D3049">
        <v>85</v>
      </c>
    </row>
    <row r="3050" spans="1:4" x14ac:dyDescent="0.25">
      <c r="A3050" s="1">
        <v>42497</v>
      </c>
      <c r="B3050">
        <v>1</v>
      </c>
      <c r="C3050">
        <v>2</v>
      </c>
      <c r="D3050">
        <v>82</v>
      </c>
    </row>
    <row r="3051" spans="1:4" x14ac:dyDescent="0.25">
      <c r="A3051" s="1">
        <v>42498</v>
      </c>
      <c r="B3051">
        <v>1</v>
      </c>
      <c r="C3051">
        <v>2</v>
      </c>
      <c r="D3051">
        <v>64</v>
      </c>
    </row>
    <row r="3052" spans="1:4" x14ac:dyDescent="0.25">
      <c r="A3052" s="1">
        <v>42499</v>
      </c>
      <c r="B3052">
        <v>1</v>
      </c>
      <c r="C3052">
        <v>2</v>
      </c>
      <c r="D3052">
        <v>49</v>
      </c>
    </row>
    <row r="3053" spans="1:4" x14ac:dyDescent="0.25">
      <c r="A3053" s="1">
        <v>42500</v>
      </c>
      <c r="B3053">
        <v>1</v>
      </c>
      <c r="C3053">
        <v>2</v>
      </c>
      <c r="D3053">
        <v>58</v>
      </c>
    </row>
    <row r="3054" spans="1:4" x14ac:dyDescent="0.25">
      <c r="A3054" s="1">
        <v>42501</v>
      </c>
      <c r="B3054">
        <v>1</v>
      </c>
      <c r="C3054">
        <v>2</v>
      </c>
      <c r="D3054">
        <v>71</v>
      </c>
    </row>
    <row r="3055" spans="1:4" x14ac:dyDescent="0.25">
      <c r="A3055" s="1">
        <v>42502</v>
      </c>
      <c r="B3055">
        <v>1</v>
      </c>
      <c r="C3055">
        <v>2</v>
      </c>
      <c r="D3055">
        <v>68</v>
      </c>
    </row>
    <row r="3056" spans="1:4" x14ac:dyDescent="0.25">
      <c r="A3056" s="1">
        <v>42503</v>
      </c>
      <c r="B3056">
        <v>1</v>
      </c>
      <c r="C3056">
        <v>2</v>
      </c>
      <c r="D3056">
        <v>61</v>
      </c>
    </row>
    <row r="3057" spans="1:4" x14ac:dyDescent="0.25">
      <c r="A3057" s="1">
        <v>42504</v>
      </c>
      <c r="B3057">
        <v>1</v>
      </c>
      <c r="C3057">
        <v>2</v>
      </c>
      <c r="D3057">
        <v>74</v>
      </c>
    </row>
    <row r="3058" spans="1:4" x14ac:dyDescent="0.25">
      <c r="A3058" s="1">
        <v>42505</v>
      </c>
      <c r="B3058">
        <v>1</v>
      </c>
      <c r="C3058">
        <v>2</v>
      </c>
      <c r="D3058">
        <v>65</v>
      </c>
    </row>
    <row r="3059" spans="1:4" x14ac:dyDescent="0.25">
      <c r="A3059" s="1">
        <v>42506</v>
      </c>
      <c r="B3059">
        <v>1</v>
      </c>
      <c r="C3059">
        <v>2</v>
      </c>
      <c r="D3059">
        <v>50</v>
      </c>
    </row>
    <row r="3060" spans="1:4" x14ac:dyDescent="0.25">
      <c r="A3060" s="1">
        <v>42507</v>
      </c>
      <c r="B3060">
        <v>1</v>
      </c>
      <c r="C3060">
        <v>2</v>
      </c>
      <c r="D3060">
        <v>61</v>
      </c>
    </row>
    <row r="3061" spans="1:4" x14ac:dyDescent="0.25">
      <c r="A3061" s="1">
        <v>42508</v>
      </c>
      <c r="B3061">
        <v>1</v>
      </c>
      <c r="C3061">
        <v>2</v>
      </c>
      <c r="D3061">
        <v>51</v>
      </c>
    </row>
    <row r="3062" spans="1:4" x14ac:dyDescent="0.25">
      <c r="A3062" s="1">
        <v>42509</v>
      </c>
      <c r="B3062">
        <v>1</v>
      </c>
      <c r="C3062">
        <v>2</v>
      </c>
      <c r="D3062">
        <v>69</v>
      </c>
    </row>
    <row r="3063" spans="1:4" x14ac:dyDescent="0.25">
      <c r="A3063" s="1">
        <v>42510</v>
      </c>
      <c r="B3063">
        <v>1</v>
      </c>
      <c r="C3063">
        <v>2</v>
      </c>
      <c r="D3063">
        <v>78</v>
      </c>
    </row>
    <row r="3064" spans="1:4" x14ac:dyDescent="0.25">
      <c r="A3064" s="1">
        <v>42511</v>
      </c>
      <c r="B3064">
        <v>1</v>
      </c>
      <c r="C3064">
        <v>2</v>
      </c>
      <c r="D3064">
        <v>65</v>
      </c>
    </row>
    <row r="3065" spans="1:4" x14ac:dyDescent="0.25">
      <c r="A3065" s="1">
        <v>42512</v>
      </c>
      <c r="B3065">
        <v>1</v>
      </c>
      <c r="C3065">
        <v>2</v>
      </c>
      <c r="D3065">
        <v>76</v>
      </c>
    </row>
    <row r="3066" spans="1:4" x14ac:dyDescent="0.25">
      <c r="A3066" s="1">
        <v>42513</v>
      </c>
      <c r="B3066">
        <v>1</v>
      </c>
      <c r="C3066">
        <v>2</v>
      </c>
      <c r="D3066">
        <v>50</v>
      </c>
    </row>
    <row r="3067" spans="1:4" x14ac:dyDescent="0.25">
      <c r="A3067" s="1">
        <v>42514</v>
      </c>
      <c r="B3067">
        <v>1</v>
      </c>
      <c r="C3067">
        <v>2</v>
      </c>
      <c r="D3067">
        <v>62</v>
      </c>
    </row>
    <row r="3068" spans="1:4" x14ac:dyDescent="0.25">
      <c r="A3068" s="1">
        <v>42515</v>
      </c>
      <c r="B3068">
        <v>1</v>
      </c>
      <c r="C3068">
        <v>2</v>
      </c>
      <c r="D3068">
        <v>54</v>
      </c>
    </row>
    <row r="3069" spans="1:4" x14ac:dyDescent="0.25">
      <c r="A3069" s="1">
        <v>42516</v>
      </c>
      <c r="B3069">
        <v>1</v>
      </c>
      <c r="C3069">
        <v>2</v>
      </c>
      <c r="D3069">
        <v>65</v>
      </c>
    </row>
    <row r="3070" spans="1:4" x14ac:dyDescent="0.25">
      <c r="A3070" s="1">
        <v>42517</v>
      </c>
      <c r="B3070">
        <v>1</v>
      </c>
      <c r="C3070">
        <v>2</v>
      </c>
      <c r="D3070">
        <v>60</v>
      </c>
    </row>
    <row r="3071" spans="1:4" x14ac:dyDescent="0.25">
      <c r="A3071" s="1">
        <v>42518</v>
      </c>
      <c r="B3071">
        <v>1</v>
      </c>
      <c r="C3071">
        <v>2</v>
      </c>
      <c r="D3071">
        <v>81</v>
      </c>
    </row>
    <row r="3072" spans="1:4" x14ac:dyDescent="0.25">
      <c r="A3072" s="1">
        <v>42519</v>
      </c>
      <c r="B3072">
        <v>1</v>
      </c>
      <c r="C3072">
        <v>2</v>
      </c>
      <c r="D3072">
        <v>79</v>
      </c>
    </row>
    <row r="3073" spans="1:4" x14ac:dyDescent="0.25">
      <c r="A3073" s="1">
        <v>42520</v>
      </c>
      <c r="B3073">
        <v>1</v>
      </c>
      <c r="C3073">
        <v>2</v>
      </c>
      <c r="D3073">
        <v>48</v>
      </c>
    </row>
    <row r="3074" spans="1:4" x14ac:dyDescent="0.25">
      <c r="A3074" s="1">
        <v>42521</v>
      </c>
      <c r="B3074">
        <v>1</v>
      </c>
      <c r="C3074">
        <v>2</v>
      </c>
      <c r="D3074">
        <v>62</v>
      </c>
    </row>
    <row r="3075" spans="1:4" x14ac:dyDescent="0.25">
      <c r="A3075" s="1">
        <v>42522</v>
      </c>
      <c r="B3075">
        <v>1</v>
      </c>
      <c r="C3075">
        <v>2</v>
      </c>
      <c r="D3075">
        <v>68</v>
      </c>
    </row>
    <row r="3076" spans="1:4" x14ac:dyDescent="0.25">
      <c r="A3076" s="1">
        <v>42523</v>
      </c>
      <c r="B3076">
        <v>1</v>
      </c>
      <c r="C3076">
        <v>2</v>
      </c>
      <c r="D3076">
        <v>60</v>
      </c>
    </row>
    <row r="3077" spans="1:4" x14ac:dyDescent="0.25">
      <c r="A3077" s="1">
        <v>42524</v>
      </c>
      <c r="B3077">
        <v>1</v>
      </c>
      <c r="C3077">
        <v>2</v>
      </c>
      <c r="D3077">
        <v>77</v>
      </c>
    </row>
    <row r="3078" spans="1:4" x14ac:dyDescent="0.25">
      <c r="A3078" s="1">
        <v>42525</v>
      </c>
      <c r="B3078">
        <v>1</v>
      </c>
      <c r="C3078">
        <v>2</v>
      </c>
      <c r="D3078">
        <v>103</v>
      </c>
    </row>
    <row r="3079" spans="1:4" x14ac:dyDescent="0.25">
      <c r="A3079" s="1">
        <v>42526</v>
      </c>
      <c r="B3079">
        <v>1</v>
      </c>
      <c r="C3079">
        <v>2</v>
      </c>
      <c r="D3079">
        <v>66</v>
      </c>
    </row>
    <row r="3080" spans="1:4" x14ac:dyDescent="0.25">
      <c r="A3080" s="1">
        <v>42527</v>
      </c>
      <c r="B3080">
        <v>1</v>
      </c>
      <c r="C3080">
        <v>2</v>
      </c>
      <c r="D3080">
        <v>52</v>
      </c>
    </row>
    <row r="3081" spans="1:4" x14ac:dyDescent="0.25">
      <c r="A3081" s="1">
        <v>42528</v>
      </c>
      <c r="B3081">
        <v>1</v>
      </c>
      <c r="C3081">
        <v>2</v>
      </c>
      <c r="D3081">
        <v>63</v>
      </c>
    </row>
    <row r="3082" spans="1:4" x14ac:dyDescent="0.25">
      <c r="A3082" s="1">
        <v>42529</v>
      </c>
      <c r="B3082">
        <v>1</v>
      </c>
      <c r="C3082">
        <v>2</v>
      </c>
      <c r="D3082">
        <v>61</v>
      </c>
    </row>
    <row r="3083" spans="1:4" x14ac:dyDescent="0.25">
      <c r="A3083" s="1">
        <v>42530</v>
      </c>
      <c r="B3083">
        <v>1</v>
      </c>
      <c r="C3083">
        <v>2</v>
      </c>
      <c r="D3083">
        <v>62</v>
      </c>
    </row>
    <row r="3084" spans="1:4" x14ac:dyDescent="0.25">
      <c r="A3084" s="1">
        <v>42531</v>
      </c>
      <c r="B3084">
        <v>1</v>
      </c>
      <c r="C3084">
        <v>2</v>
      </c>
      <c r="D3084">
        <v>51</v>
      </c>
    </row>
    <row r="3085" spans="1:4" x14ac:dyDescent="0.25">
      <c r="A3085" s="1">
        <v>42532</v>
      </c>
      <c r="B3085">
        <v>1</v>
      </c>
      <c r="C3085">
        <v>2</v>
      </c>
      <c r="D3085">
        <v>84</v>
      </c>
    </row>
    <row r="3086" spans="1:4" x14ac:dyDescent="0.25">
      <c r="A3086" s="1">
        <v>42533</v>
      </c>
      <c r="B3086">
        <v>1</v>
      </c>
      <c r="C3086">
        <v>2</v>
      </c>
      <c r="D3086">
        <v>77</v>
      </c>
    </row>
    <row r="3087" spans="1:4" x14ac:dyDescent="0.25">
      <c r="A3087" s="1">
        <v>42534</v>
      </c>
      <c r="B3087">
        <v>1</v>
      </c>
      <c r="C3087">
        <v>2</v>
      </c>
      <c r="D3087">
        <v>51</v>
      </c>
    </row>
    <row r="3088" spans="1:4" x14ac:dyDescent="0.25">
      <c r="A3088" s="1">
        <v>42535</v>
      </c>
      <c r="B3088">
        <v>1</v>
      </c>
      <c r="C3088">
        <v>2</v>
      </c>
      <c r="D3088">
        <v>70</v>
      </c>
    </row>
    <row r="3089" spans="1:4" x14ac:dyDescent="0.25">
      <c r="A3089" s="1">
        <v>42536</v>
      </c>
      <c r="B3089">
        <v>1</v>
      </c>
      <c r="C3089">
        <v>2</v>
      </c>
      <c r="D3089">
        <v>56</v>
      </c>
    </row>
    <row r="3090" spans="1:4" x14ac:dyDescent="0.25">
      <c r="A3090" s="1">
        <v>42537</v>
      </c>
      <c r="B3090">
        <v>1</v>
      </c>
      <c r="C3090">
        <v>2</v>
      </c>
      <c r="D3090">
        <v>61</v>
      </c>
    </row>
    <row r="3091" spans="1:4" x14ac:dyDescent="0.25">
      <c r="A3091" s="1">
        <v>42538</v>
      </c>
      <c r="B3091">
        <v>1</v>
      </c>
      <c r="C3091">
        <v>2</v>
      </c>
      <c r="D3091">
        <v>71</v>
      </c>
    </row>
    <row r="3092" spans="1:4" x14ac:dyDescent="0.25">
      <c r="A3092" s="1">
        <v>42539</v>
      </c>
      <c r="B3092">
        <v>1</v>
      </c>
      <c r="C3092">
        <v>2</v>
      </c>
      <c r="D3092">
        <v>97</v>
      </c>
    </row>
    <row r="3093" spans="1:4" x14ac:dyDescent="0.25">
      <c r="A3093" s="1">
        <v>42540</v>
      </c>
      <c r="B3093">
        <v>1</v>
      </c>
      <c r="C3093">
        <v>2</v>
      </c>
      <c r="D3093">
        <v>96</v>
      </c>
    </row>
    <row r="3094" spans="1:4" x14ac:dyDescent="0.25">
      <c r="A3094" s="1">
        <v>42541</v>
      </c>
      <c r="B3094">
        <v>1</v>
      </c>
      <c r="C3094">
        <v>2</v>
      </c>
      <c r="D3094">
        <v>54</v>
      </c>
    </row>
    <row r="3095" spans="1:4" x14ac:dyDescent="0.25">
      <c r="A3095" s="1">
        <v>42542</v>
      </c>
      <c r="B3095">
        <v>1</v>
      </c>
      <c r="C3095">
        <v>2</v>
      </c>
      <c r="D3095">
        <v>62</v>
      </c>
    </row>
    <row r="3096" spans="1:4" x14ac:dyDescent="0.25">
      <c r="A3096" s="1">
        <v>42543</v>
      </c>
      <c r="B3096">
        <v>1</v>
      </c>
      <c r="C3096">
        <v>2</v>
      </c>
      <c r="D3096">
        <v>69</v>
      </c>
    </row>
    <row r="3097" spans="1:4" x14ac:dyDescent="0.25">
      <c r="A3097" s="1">
        <v>42544</v>
      </c>
      <c r="B3097">
        <v>1</v>
      </c>
      <c r="C3097">
        <v>2</v>
      </c>
      <c r="D3097">
        <v>80</v>
      </c>
    </row>
    <row r="3098" spans="1:4" x14ac:dyDescent="0.25">
      <c r="A3098" s="1">
        <v>42545</v>
      </c>
      <c r="B3098">
        <v>1</v>
      </c>
      <c r="C3098">
        <v>2</v>
      </c>
      <c r="D3098">
        <v>66</v>
      </c>
    </row>
    <row r="3099" spans="1:4" x14ac:dyDescent="0.25">
      <c r="A3099" s="1">
        <v>42546</v>
      </c>
      <c r="B3099">
        <v>1</v>
      </c>
      <c r="C3099">
        <v>2</v>
      </c>
      <c r="D3099">
        <v>82</v>
      </c>
    </row>
    <row r="3100" spans="1:4" x14ac:dyDescent="0.25">
      <c r="A3100" s="1">
        <v>42547</v>
      </c>
      <c r="B3100">
        <v>1</v>
      </c>
      <c r="C3100">
        <v>2</v>
      </c>
      <c r="D3100">
        <v>70</v>
      </c>
    </row>
    <row r="3101" spans="1:4" x14ac:dyDescent="0.25">
      <c r="A3101" s="1">
        <v>42548</v>
      </c>
      <c r="B3101">
        <v>1</v>
      </c>
      <c r="C3101">
        <v>2</v>
      </c>
      <c r="D3101">
        <v>57</v>
      </c>
    </row>
    <row r="3102" spans="1:4" x14ac:dyDescent="0.25">
      <c r="A3102" s="1">
        <v>42549</v>
      </c>
      <c r="B3102">
        <v>1</v>
      </c>
      <c r="C3102">
        <v>2</v>
      </c>
      <c r="D3102">
        <v>60</v>
      </c>
    </row>
    <row r="3103" spans="1:4" x14ac:dyDescent="0.25">
      <c r="A3103" s="1">
        <v>42550</v>
      </c>
      <c r="B3103">
        <v>1</v>
      </c>
      <c r="C3103">
        <v>2</v>
      </c>
      <c r="D3103">
        <v>65</v>
      </c>
    </row>
    <row r="3104" spans="1:4" x14ac:dyDescent="0.25">
      <c r="A3104" s="1">
        <v>42551</v>
      </c>
      <c r="B3104">
        <v>1</v>
      </c>
      <c r="C3104">
        <v>2</v>
      </c>
      <c r="D3104">
        <v>71</v>
      </c>
    </row>
    <row r="3105" spans="1:4" x14ac:dyDescent="0.25">
      <c r="A3105" s="1">
        <v>42552</v>
      </c>
      <c r="B3105">
        <v>1</v>
      </c>
      <c r="C3105">
        <v>2</v>
      </c>
      <c r="D3105">
        <v>85</v>
      </c>
    </row>
    <row r="3106" spans="1:4" x14ac:dyDescent="0.25">
      <c r="A3106" s="1">
        <v>42553</v>
      </c>
      <c r="B3106">
        <v>1</v>
      </c>
      <c r="C3106">
        <v>2</v>
      </c>
      <c r="D3106">
        <v>95</v>
      </c>
    </row>
    <row r="3107" spans="1:4" x14ac:dyDescent="0.25">
      <c r="A3107" s="1">
        <v>42554</v>
      </c>
      <c r="B3107">
        <v>1</v>
      </c>
      <c r="C3107">
        <v>2</v>
      </c>
      <c r="D3107">
        <v>90</v>
      </c>
    </row>
    <row r="3108" spans="1:4" x14ac:dyDescent="0.25">
      <c r="A3108" s="1">
        <v>42555</v>
      </c>
      <c r="B3108">
        <v>1</v>
      </c>
      <c r="C3108">
        <v>2</v>
      </c>
      <c r="D3108">
        <v>63</v>
      </c>
    </row>
    <row r="3109" spans="1:4" x14ac:dyDescent="0.25">
      <c r="A3109" s="1">
        <v>42556</v>
      </c>
      <c r="B3109">
        <v>1</v>
      </c>
      <c r="C3109">
        <v>2</v>
      </c>
      <c r="D3109">
        <v>74</v>
      </c>
    </row>
    <row r="3110" spans="1:4" x14ac:dyDescent="0.25">
      <c r="A3110" s="1">
        <v>42557</v>
      </c>
      <c r="B3110">
        <v>1</v>
      </c>
      <c r="C3110">
        <v>2</v>
      </c>
      <c r="D3110">
        <v>75</v>
      </c>
    </row>
    <row r="3111" spans="1:4" x14ac:dyDescent="0.25">
      <c r="A3111" s="1">
        <v>42558</v>
      </c>
      <c r="B3111">
        <v>1</v>
      </c>
      <c r="C3111">
        <v>2</v>
      </c>
      <c r="D3111">
        <v>82</v>
      </c>
    </row>
    <row r="3112" spans="1:4" x14ac:dyDescent="0.25">
      <c r="A3112" s="1">
        <v>42559</v>
      </c>
      <c r="B3112">
        <v>1</v>
      </c>
      <c r="C3112">
        <v>2</v>
      </c>
      <c r="D3112">
        <v>90</v>
      </c>
    </row>
    <row r="3113" spans="1:4" x14ac:dyDescent="0.25">
      <c r="A3113" s="1">
        <v>42560</v>
      </c>
      <c r="B3113">
        <v>1</v>
      </c>
      <c r="C3113">
        <v>2</v>
      </c>
      <c r="D3113">
        <v>74</v>
      </c>
    </row>
    <row r="3114" spans="1:4" x14ac:dyDescent="0.25">
      <c r="A3114" s="1">
        <v>42561</v>
      </c>
      <c r="B3114">
        <v>1</v>
      </c>
      <c r="C3114">
        <v>2</v>
      </c>
      <c r="D3114">
        <v>89</v>
      </c>
    </row>
    <row r="3115" spans="1:4" x14ac:dyDescent="0.25">
      <c r="A3115" s="1">
        <v>42562</v>
      </c>
      <c r="B3115">
        <v>1</v>
      </c>
      <c r="C3115">
        <v>2</v>
      </c>
      <c r="D3115">
        <v>61</v>
      </c>
    </row>
    <row r="3116" spans="1:4" x14ac:dyDescent="0.25">
      <c r="A3116" s="1">
        <v>42563</v>
      </c>
      <c r="B3116">
        <v>1</v>
      </c>
      <c r="C3116">
        <v>2</v>
      </c>
      <c r="D3116">
        <v>75</v>
      </c>
    </row>
    <row r="3117" spans="1:4" x14ac:dyDescent="0.25">
      <c r="A3117" s="1">
        <v>42564</v>
      </c>
      <c r="B3117">
        <v>1</v>
      </c>
      <c r="C3117">
        <v>2</v>
      </c>
      <c r="D3117">
        <v>61</v>
      </c>
    </row>
    <row r="3118" spans="1:4" x14ac:dyDescent="0.25">
      <c r="A3118" s="1">
        <v>42565</v>
      </c>
      <c r="B3118">
        <v>1</v>
      </c>
      <c r="C3118">
        <v>2</v>
      </c>
      <c r="D3118">
        <v>79</v>
      </c>
    </row>
    <row r="3119" spans="1:4" x14ac:dyDescent="0.25">
      <c r="A3119" s="1">
        <v>42566</v>
      </c>
      <c r="B3119">
        <v>1</v>
      </c>
      <c r="C3119">
        <v>2</v>
      </c>
      <c r="D3119">
        <v>66</v>
      </c>
    </row>
    <row r="3120" spans="1:4" x14ac:dyDescent="0.25">
      <c r="A3120" s="1">
        <v>42567</v>
      </c>
      <c r="B3120">
        <v>1</v>
      </c>
      <c r="C3120">
        <v>2</v>
      </c>
      <c r="D3120">
        <v>84</v>
      </c>
    </row>
    <row r="3121" spans="1:4" x14ac:dyDescent="0.25">
      <c r="A3121" s="1">
        <v>42568</v>
      </c>
      <c r="B3121">
        <v>1</v>
      </c>
      <c r="C3121">
        <v>2</v>
      </c>
      <c r="D3121">
        <v>104</v>
      </c>
    </row>
    <row r="3122" spans="1:4" x14ac:dyDescent="0.25">
      <c r="A3122" s="1">
        <v>42569</v>
      </c>
      <c r="B3122">
        <v>1</v>
      </c>
      <c r="C3122">
        <v>2</v>
      </c>
      <c r="D3122">
        <v>74</v>
      </c>
    </row>
    <row r="3123" spans="1:4" x14ac:dyDescent="0.25">
      <c r="A3123" s="1">
        <v>42570</v>
      </c>
      <c r="B3123">
        <v>1</v>
      </c>
      <c r="C3123">
        <v>2</v>
      </c>
      <c r="D3123">
        <v>59</v>
      </c>
    </row>
    <row r="3124" spans="1:4" x14ac:dyDescent="0.25">
      <c r="A3124" s="1">
        <v>42571</v>
      </c>
      <c r="B3124">
        <v>1</v>
      </c>
      <c r="C3124">
        <v>2</v>
      </c>
      <c r="D3124">
        <v>63</v>
      </c>
    </row>
    <row r="3125" spans="1:4" x14ac:dyDescent="0.25">
      <c r="A3125" s="1">
        <v>42572</v>
      </c>
      <c r="B3125">
        <v>1</v>
      </c>
      <c r="C3125">
        <v>2</v>
      </c>
      <c r="D3125">
        <v>74</v>
      </c>
    </row>
    <row r="3126" spans="1:4" x14ac:dyDescent="0.25">
      <c r="A3126" s="1">
        <v>42573</v>
      </c>
      <c r="B3126">
        <v>1</v>
      </c>
      <c r="C3126">
        <v>2</v>
      </c>
      <c r="D3126">
        <v>75</v>
      </c>
    </row>
    <row r="3127" spans="1:4" x14ac:dyDescent="0.25">
      <c r="A3127" s="1">
        <v>42574</v>
      </c>
      <c r="B3127">
        <v>1</v>
      </c>
      <c r="C3127">
        <v>2</v>
      </c>
      <c r="D3127">
        <v>79</v>
      </c>
    </row>
    <row r="3128" spans="1:4" x14ac:dyDescent="0.25">
      <c r="A3128" s="1">
        <v>42575</v>
      </c>
      <c r="B3128">
        <v>1</v>
      </c>
      <c r="C3128">
        <v>2</v>
      </c>
      <c r="D3128">
        <v>80</v>
      </c>
    </row>
    <row r="3129" spans="1:4" x14ac:dyDescent="0.25">
      <c r="A3129" s="1">
        <v>42576</v>
      </c>
      <c r="B3129">
        <v>1</v>
      </c>
      <c r="C3129">
        <v>2</v>
      </c>
      <c r="D3129">
        <v>62</v>
      </c>
    </row>
    <row r="3130" spans="1:4" x14ac:dyDescent="0.25">
      <c r="A3130" s="1">
        <v>42577</v>
      </c>
      <c r="B3130">
        <v>1</v>
      </c>
      <c r="C3130">
        <v>2</v>
      </c>
      <c r="D3130">
        <v>66</v>
      </c>
    </row>
    <row r="3131" spans="1:4" x14ac:dyDescent="0.25">
      <c r="A3131" s="1">
        <v>42578</v>
      </c>
      <c r="B3131">
        <v>1</v>
      </c>
      <c r="C3131">
        <v>2</v>
      </c>
      <c r="D3131">
        <v>70</v>
      </c>
    </row>
    <row r="3132" spans="1:4" x14ac:dyDescent="0.25">
      <c r="A3132" s="1">
        <v>42579</v>
      </c>
      <c r="B3132">
        <v>1</v>
      </c>
      <c r="C3132">
        <v>2</v>
      </c>
      <c r="D3132">
        <v>71</v>
      </c>
    </row>
    <row r="3133" spans="1:4" x14ac:dyDescent="0.25">
      <c r="A3133" s="1">
        <v>42580</v>
      </c>
      <c r="B3133">
        <v>1</v>
      </c>
      <c r="C3133">
        <v>2</v>
      </c>
      <c r="D3133">
        <v>84</v>
      </c>
    </row>
    <row r="3134" spans="1:4" x14ac:dyDescent="0.25">
      <c r="A3134" s="1">
        <v>42581</v>
      </c>
      <c r="B3134">
        <v>1</v>
      </c>
      <c r="C3134">
        <v>2</v>
      </c>
      <c r="D3134">
        <v>89</v>
      </c>
    </row>
    <row r="3135" spans="1:4" x14ac:dyDescent="0.25">
      <c r="A3135" s="1">
        <v>42582</v>
      </c>
      <c r="B3135">
        <v>1</v>
      </c>
      <c r="C3135">
        <v>2</v>
      </c>
      <c r="D3135">
        <v>94</v>
      </c>
    </row>
    <row r="3136" spans="1:4" x14ac:dyDescent="0.25">
      <c r="A3136" s="1">
        <v>42583</v>
      </c>
      <c r="B3136">
        <v>1</v>
      </c>
      <c r="C3136">
        <v>2</v>
      </c>
      <c r="D3136">
        <v>60</v>
      </c>
    </row>
    <row r="3137" spans="1:4" x14ac:dyDescent="0.25">
      <c r="A3137" s="1">
        <v>42584</v>
      </c>
      <c r="B3137">
        <v>1</v>
      </c>
      <c r="C3137">
        <v>2</v>
      </c>
      <c r="D3137">
        <v>53</v>
      </c>
    </row>
    <row r="3138" spans="1:4" x14ac:dyDescent="0.25">
      <c r="A3138" s="1">
        <v>42585</v>
      </c>
      <c r="B3138">
        <v>1</v>
      </c>
      <c r="C3138">
        <v>2</v>
      </c>
      <c r="D3138">
        <v>58</v>
      </c>
    </row>
    <row r="3139" spans="1:4" x14ac:dyDescent="0.25">
      <c r="A3139" s="1">
        <v>42586</v>
      </c>
      <c r="B3139">
        <v>1</v>
      </c>
      <c r="C3139">
        <v>2</v>
      </c>
      <c r="D3139">
        <v>56</v>
      </c>
    </row>
    <row r="3140" spans="1:4" x14ac:dyDescent="0.25">
      <c r="A3140" s="1">
        <v>42587</v>
      </c>
      <c r="B3140">
        <v>1</v>
      </c>
      <c r="C3140">
        <v>2</v>
      </c>
      <c r="D3140">
        <v>61</v>
      </c>
    </row>
    <row r="3141" spans="1:4" x14ac:dyDescent="0.25">
      <c r="A3141" s="1">
        <v>42588</v>
      </c>
      <c r="B3141">
        <v>1</v>
      </c>
      <c r="C3141">
        <v>2</v>
      </c>
      <c r="D3141">
        <v>65</v>
      </c>
    </row>
    <row r="3142" spans="1:4" x14ac:dyDescent="0.25">
      <c r="A3142" s="1">
        <v>42589</v>
      </c>
      <c r="B3142">
        <v>1</v>
      </c>
      <c r="C3142">
        <v>2</v>
      </c>
      <c r="D3142">
        <v>84</v>
      </c>
    </row>
    <row r="3143" spans="1:4" x14ac:dyDescent="0.25">
      <c r="A3143" s="1">
        <v>42590</v>
      </c>
      <c r="B3143">
        <v>1</v>
      </c>
      <c r="C3143">
        <v>2</v>
      </c>
      <c r="D3143">
        <v>48</v>
      </c>
    </row>
    <row r="3144" spans="1:4" x14ac:dyDescent="0.25">
      <c r="A3144" s="1">
        <v>42591</v>
      </c>
      <c r="B3144">
        <v>1</v>
      </c>
      <c r="C3144">
        <v>2</v>
      </c>
      <c r="D3144">
        <v>65</v>
      </c>
    </row>
    <row r="3145" spans="1:4" x14ac:dyDescent="0.25">
      <c r="A3145" s="1">
        <v>42592</v>
      </c>
      <c r="B3145">
        <v>1</v>
      </c>
      <c r="C3145">
        <v>2</v>
      </c>
      <c r="D3145">
        <v>55</v>
      </c>
    </row>
    <row r="3146" spans="1:4" x14ac:dyDescent="0.25">
      <c r="A3146" s="1">
        <v>42593</v>
      </c>
      <c r="B3146">
        <v>1</v>
      </c>
      <c r="C3146">
        <v>2</v>
      </c>
      <c r="D3146">
        <v>64</v>
      </c>
    </row>
    <row r="3147" spans="1:4" x14ac:dyDescent="0.25">
      <c r="A3147" s="1">
        <v>42594</v>
      </c>
      <c r="B3147">
        <v>1</v>
      </c>
      <c r="C3147">
        <v>2</v>
      </c>
      <c r="D3147">
        <v>76</v>
      </c>
    </row>
    <row r="3148" spans="1:4" x14ac:dyDescent="0.25">
      <c r="A3148" s="1">
        <v>42595</v>
      </c>
      <c r="B3148">
        <v>1</v>
      </c>
      <c r="C3148">
        <v>2</v>
      </c>
      <c r="D3148">
        <v>65</v>
      </c>
    </row>
    <row r="3149" spans="1:4" x14ac:dyDescent="0.25">
      <c r="A3149" s="1">
        <v>42596</v>
      </c>
      <c r="B3149">
        <v>1</v>
      </c>
      <c r="C3149">
        <v>2</v>
      </c>
      <c r="D3149">
        <v>100</v>
      </c>
    </row>
    <row r="3150" spans="1:4" x14ac:dyDescent="0.25">
      <c r="A3150" s="1">
        <v>42597</v>
      </c>
      <c r="B3150">
        <v>1</v>
      </c>
      <c r="C3150">
        <v>2</v>
      </c>
      <c r="D3150">
        <v>55</v>
      </c>
    </row>
    <row r="3151" spans="1:4" x14ac:dyDescent="0.25">
      <c r="A3151" s="1">
        <v>42598</v>
      </c>
      <c r="B3151">
        <v>1</v>
      </c>
      <c r="C3151">
        <v>2</v>
      </c>
      <c r="D3151">
        <v>52</v>
      </c>
    </row>
    <row r="3152" spans="1:4" x14ac:dyDescent="0.25">
      <c r="A3152" s="1">
        <v>42599</v>
      </c>
      <c r="B3152">
        <v>1</v>
      </c>
      <c r="C3152">
        <v>2</v>
      </c>
      <c r="D3152">
        <v>57</v>
      </c>
    </row>
    <row r="3153" spans="1:4" x14ac:dyDescent="0.25">
      <c r="A3153" s="1">
        <v>42600</v>
      </c>
      <c r="B3153">
        <v>1</v>
      </c>
      <c r="C3153">
        <v>2</v>
      </c>
      <c r="D3153">
        <v>67</v>
      </c>
    </row>
    <row r="3154" spans="1:4" x14ac:dyDescent="0.25">
      <c r="A3154" s="1">
        <v>42601</v>
      </c>
      <c r="B3154">
        <v>1</v>
      </c>
      <c r="C3154">
        <v>2</v>
      </c>
      <c r="D3154">
        <v>60</v>
      </c>
    </row>
    <row r="3155" spans="1:4" x14ac:dyDescent="0.25">
      <c r="A3155" s="1">
        <v>42602</v>
      </c>
      <c r="B3155">
        <v>1</v>
      </c>
      <c r="C3155">
        <v>2</v>
      </c>
      <c r="D3155">
        <v>66</v>
      </c>
    </row>
    <row r="3156" spans="1:4" x14ac:dyDescent="0.25">
      <c r="A3156" s="1">
        <v>42603</v>
      </c>
      <c r="B3156">
        <v>1</v>
      </c>
      <c r="C3156">
        <v>2</v>
      </c>
      <c r="D3156">
        <v>88</v>
      </c>
    </row>
    <row r="3157" spans="1:4" x14ac:dyDescent="0.25">
      <c r="A3157" s="1">
        <v>42604</v>
      </c>
      <c r="B3157">
        <v>1</v>
      </c>
      <c r="C3157">
        <v>2</v>
      </c>
      <c r="D3157">
        <v>47</v>
      </c>
    </row>
    <row r="3158" spans="1:4" x14ac:dyDescent="0.25">
      <c r="A3158" s="1">
        <v>42605</v>
      </c>
      <c r="B3158">
        <v>1</v>
      </c>
      <c r="C3158">
        <v>2</v>
      </c>
      <c r="D3158">
        <v>58</v>
      </c>
    </row>
    <row r="3159" spans="1:4" x14ac:dyDescent="0.25">
      <c r="A3159" s="1">
        <v>42606</v>
      </c>
      <c r="B3159">
        <v>1</v>
      </c>
      <c r="C3159">
        <v>2</v>
      </c>
      <c r="D3159">
        <v>71</v>
      </c>
    </row>
    <row r="3160" spans="1:4" x14ac:dyDescent="0.25">
      <c r="A3160" s="1">
        <v>42607</v>
      </c>
      <c r="B3160">
        <v>1</v>
      </c>
      <c r="C3160">
        <v>2</v>
      </c>
      <c r="D3160">
        <v>60</v>
      </c>
    </row>
    <row r="3161" spans="1:4" x14ac:dyDescent="0.25">
      <c r="A3161" s="1">
        <v>42608</v>
      </c>
      <c r="B3161">
        <v>1</v>
      </c>
      <c r="C3161">
        <v>2</v>
      </c>
      <c r="D3161">
        <v>82</v>
      </c>
    </row>
    <row r="3162" spans="1:4" x14ac:dyDescent="0.25">
      <c r="A3162" s="1">
        <v>42609</v>
      </c>
      <c r="B3162">
        <v>1</v>
      </c>
      <c r="C3162">
        <v>2</v>
      </c>
      <c r="D3162">
        <v>81</v>
      </c>
    </row>
    <row r="3163" spans="1:4" x14ac:dyDescent="0.25">
      <c r="A3163" s="1">
        <v>42610</v>
      </c>
      <c r="B3163">
        <v>1</v>
      </c>
      <c r="C3163">
        <v>2</v>
      </c>
      <c r="D3163">
        <v>89</v>
      </c>
    </row>
    <row r="3164" spans="1:4" x14ac:dyDescent="0.25">
      <c r="A3164" s="1">
        <v>42611</v>
      </c>
      <c r="B3164">
        <v>1</v>
      </c>
      <c r="C3164">
        <v>2</v>
      </c>
      <c r="D3164">
        <v>60</v>
      </c>
    </row>
    <row r="3165" spans="1:4" x14ac:dyDescent="0.25">
      <c r="A3165" s="1">
        <v>42612</v>
      </c>
      <c r="B3165">
        <v>1</v>
      </c>
      <c r="C3165">
        <v>2</v>
      </c>
      <c r="D3165">
        <v>50</v>
      </c>
    </row>
    <row r="3166" spans="1:4" x14ac:dyDescent="0.25">
      <c r="A3166" s="1">
        <v>42613</v>
      </c>
      <c r="B3166">
        <v>1</v>
      </c>
      <c r="C3166">
        <v>2</v>
      </c>
      <c r="D3166">
        <v>63</v>
      </c>
    </row>
    <row r="3167" spans="1:4" x14ac:dyDescent="0.25">
      <c r="A3167" s="1">
        <v>42614</v>
      </c>
      <c r="B3167">
        <v>1</v>
      </c>
      <c r="C3167">
        <v>2</v>
      </c>
      <c r="D3167">
        <v>53</v>
      </c>
    </row>
    <row r="3168" spans="1:4" x14ac:dyDescent="0.25">
      <c r="A3168" s="1">
        <v>42615</v>
      </c>
      <c r="B3168">
        <v>1</v>
      </c>
      <c r="C3168">
        <v>2</v>
      </c>
      <c r="D3168">
        <v>74</v>
      </c>
    </row>
    <row r="3169" spans="1:4" x14ac:dyDescent="0.25">
      <c r="A3169" s="1">
        <v>42616</v>
      </c>
      <c r="B3169">
        <v>1</v>
      </c>
      <c r="C3169">
        <v>2</v>
      </c>
      <c r="D3169">
        <v>84</v>
      </c>
    </row>
    <row r="3170" spans="1:4" x14ac:dyDescent="0.25">
      <c r="A3170" s="1">
        <v>42617</v>
      </c>
      <c r="B3170">
        <v>1</v>
      </c>
      <c r="C3170">
        <v>2</v>
      </c>
      <c r="D3170">
        <v>77</v>
      </c>
    </row>
    <row r="3171" spans="1:4" x14ac:dyDescent="0.25">
      <c r="A3171" s="1">
        <v>42618</v>
      </c>
      <c r="B3171">
        <v>1</v>
      </c>
      <c r="C3171">
        <v>2</v>
      </c>
      <c r="D3171">
        <v>47</v>
      </c>
    </row>
    <row r="3172" spans="1:4" x14ac:dyDescent="0.25">
      <c r="A3172" s="1">
        <v>42619</v>
      </c>
      <c r="B3172">
        <v>1</v>
      </c>
      <c r="C3172">
        <v>2</v>
      </c>
      <c r="D3172">
        <v>55</v>
      </c>
    </row>
    <row r="3173" spans="1:4" x14ac:dyDescent="0.25">
      <c r="A3173" s="1">
        <v>42620</v>
      </c>
      <c r="B3173">
        <v>1</v>
      </c>
      <c r="C3173">
        <v>2</v>
      </c>
      <c r="D3173">
        <v>59</v>
      </c>
    </row>
    <row r="3174" spans="1:4" x14ac:dyDescent="0.25">
      <c r="A3174" s="1">
        <v>42621</v>
      </c>
      <c r="B3174">
        <v>1</v>
      </c>
      <c r="C3174">
        <v>2</v>
      </c>
      <c r="D3174">
        <v>56</v>
      </c>
    </row>
    <row r="3175" spans="1:4" x14ac:dyDescent="0.25">
      <c r="A3175" s="1">
        <v>42622</v>
      </c>
      <c r="B3175">
        <v>1</v>
      </c>
      <c r="C3175">
        <v>2</v>
      </c>
      <c r="D3175">
        <v>51</v>
      </c>
    </row>
    <row r="3176" spans="1:4" x14ac:dyDescent="0.25">
      <c r="A3176" s="1">
        <v>42623</v>
      </c>
      <c r="B3176">
        <v>1</v>
      </c>
      <c r="C3176">
        <v>2</v>
      </c>
      <c r="D3176">
        <v>59</v>
      </c>
    </row>
    <row r="3177" spans="1:4" x14ac:dyDescent="0.25">
      <c r="A3177" s="1">
        <v>42624</v>
      </c>
      <c r="B3177">
        <v>1</v>
      </c>
      <c r="C3177">
        <v>2</v>
      </c>
      <c r="D3177">
        <v>62</v>
      </c>
    </row>
    <row r="3178" spans="1:4" x14ac:dyDescent="0.25">
      <c r="A3178" s="1">
        <v>42625</v>
      </c>
      <c r="B3178">
        <v>1</v>
      </c>
      <c r="C3178">
        <v>2</v>
      </c>
      <c r="D3178">
        <v>46</v>
      </c>
    </row>
    <row r="3179" spans="1:4" x14ac:dyDescent="0.25">
      <c r="A3179" s="1">
        <v>42626</v>
      </c>
      <c r="B3179">
        <v>1</v>
      </c>
      <c r="C3179">
        <v>2</v>
      </c>
      <c r="D3179">
        <v>51</v>
      </c>
    </row>
    <row r="3180" spans="1:4" x14ac:dyDescent="0.25">
      <c r="A3180" s="1">
        <v>42627</v>
      </c>
      <c r="B3180">
        <v>1</v>
      </c>
      <c r="C3180">
        <v>2</v>
      </c>
      <c r="D3180">
        <v>67</v>
      </c>
    </row>
    <row r="3181" spans="1:4" x14ac:dyDescent="0.25">
      <c r="A3181" s="1">
        <v>42628</v>
      </c>
      <c r="B3181">
        <v>1</v>
      </c>
      <c r="C3181">
        <v>2</v>
      </c>
      <c r="D3181">
        <v>52</v>
      </c>
    </row>
    <row r="3182" spans="1:4" x14ac:dyDescent="0.25">
      <c r="A3182" s="1">
        <v>42629</v>
      </c>
      <c r="B3182">
        <v>1</v>
      </c>
      <c r="C3182">
        <v>2</v>
      </c>
      <c r="D3182">
        <v>47</v>
      </c>
    </row>
    <row r="3183" spans="1:4" x14ac:dyDescent="0.25">
      <c r="A3183" s="1">
        <v>42630</v>
      </c>
      <c r="B3183">
        <v>1</v>
      </c>
      <c r="C3183">
        <v>2</v>
      </c>
      <c r="D3183">
        <v>66</v>
      </c>
    </row>
    <row r="3184" spans="1:4" x14ac:dyDescent="0.25">
      <c r="A3184" s="1">
        <v>42631</v>
      </c>
      <c r="B3184">
        <v>1</v>
      </c>
      <c r="C3184">
        <v>2</v>
      </c>
      <c r="D3184">
        <v>71</v>
      </c>
    </row>
    <row r="3185" spans="1:4" x14ac:dyDescent="0.25">
      <c r="A3185" s="1">
        <v>42632</v>
      </c>
      <c r="B3185">
        <v>1</v>
      </c>
      <c r="C3185">
        <v>2</v>
      </c>
      <c r="D3185">
        <v>52</v>
      </c>
    </row>
    <row r="3186" spans="1:4" x14ac:dyDescent="0.25">
      <c r="A3186" s="1">
        <v>42633</v>
      </c>
      <c r="B3186">
        <v>1</v>
      </c>
      <c r="C3186">
        <v>2</v>
      </c>
      <c r="D3186">
        <v>52</v>
      </c>
    </row>
    <row r="3187" spans="1:4" x14ac:dyDescent="0.25">
      <c r="A3187" s="1">
        <v>42634</v>
      </c>
      <c r="B3187">
        <v>1</v>
      </c>
      <c r="C3187">
        <v>2</v>
      </c>
      <c r="D3187">
        <v>64</v>
      </c>
    </row>
    <row r="3188" spans="1:4" x14ac:dyDescent="0.25">
      <c r="A3188" s="1">
        <v>42635</v>
      </c>
      <c r="B3188">
        <v>1</v>
      </c>
      <c r="C3188">
        <v>2</v>
      </c>
      <c r="D3188">
        <v>56</v>
      </c>
    </row>
    <row r="3189" spans="1:4" x14ac:dyDescent="0.25">
      <c r="A3189" s="1">
        <v>42636</v>
      </c>
      <c r="B3189">
        <v>1</v>
      </c>
      <c r="C3189">
        <v>2</v>
      </c>
      <c r="D3189">
        <v>60</v>
      </c>
    </row>
    <row r="3190" spans="1:4" x14ac:dyDescent="0.25">
      <c r="A3190" s="1">
        <v>42637</v>
      </c>
      <c r="B3190">
        <v>1</v>
      </c>
      <c r="C3190">
        <v>2</v>
      </c>
      <c r="D3190">
        <v>76</v>
      </c>
    </row>
    <row r="3191" spans="1:4" x14ac:dyDescent="0.25">
      <c r="A3191" s="1">
        <v>42638</v>
      </c>
      <c r="B3191">
        <v>1</v>
      </c>
      <c r="C3191">
        <v>2</v>
      </c>
      <c r="D3191">
        <v>91</v>
      </c>
    </row>
    <row r="3192" spans="1:4" x14ac:dyDescent="0.25">
      <c r="A3192" s="1">
        <v>42639</v>
      </c>
      <c r="B3192">
        <v>1</v>
      </c>
      <c r="C3192">
        <v>2</v>
      </c>
      <c r="D3192">
        <v>51</v>
      </c>
    </row>
    <row r="3193" spans="1:4" x14ac:dyDescent="0.25">
      <c r="A3193" s="1">
        <v>42640</v>
      </c>
      <c r="B3193">
        <v>1</v>
      </c>
      <c r="C3193">
        <v>2</v>
      </c>
      <c r="D3193">
        <v>45</v>
      </c>
    </row>
    <row r="3194" spans="1:4" x14ac:dyDescent="0.25">
      <c r="A3194" s="1">
        <v>42641</v>
      </c>
      <c r="B3194">
        <v>1</v>
      </c>
      <c r="C3194">
        <v>2</v>
      </c>
      <c r="D3194">
        <v>57</v>
      </c>
    </row>
    <row r="3195" spans="1:4" x14ac:dyDescent="0.25">
      <c r="A3195" s="1">
        <v>42642</v>
      </c>
      <c r="B3195">
        <v>1</v>
      </c>
      <c r="C3195">
        <v>2</v>
      </c>
      <c r="D3195">
        <v>59</v>
      </c>
    </row>
    <row r="3196" spans="1:4" x14ac:dyDescent="0.25">
      <c r="A3196" s="1">
        <v>42643</v>
      </c>
      <c r="B3196">
        <v>1</v>
      </c>
      <c r="C3196">
        <v>2</v>
      </c>
      <c r="D3196">
        <v>67</v>
      </c>
    </row>
    <row r="3197" spans="1:4" x14ac:dyDescent="0.25">
      <c r="A3197" s="1">
        <v>42644</v>
      </c>
      <c r="B3197">
        <v>1</v>
      </c>
      <c r="C3197">
        <v>2</v>
      </c>
      <c r="D3197">
        <v>69</v>
      </c>
    </row>
    <row r="3198" spans="1:4" x14ac:dyDescent="0.25">
      <c r="A3198" s="1">
        <v>42645</v>
      </c>
      <c r="B3198">
        <v>1</v>
      </c>
      <c r="C3198">
        <v>2</v>
      </c>
      <c r="D3198">
        <v>64</v>
      </c>
    </row>
    <row r="3199" spans="1:4" x14ac:dyDescent="0.25">
      <c r="A3199" s="1">
        <v>42646</v>
      </c>
      <c r="B3199">
        <v>1</v>
      </c>
      <c r="C3199">
        <v>2</v>
      </c>
      <c r="D3199">
        <v>39</v>
      </c>
    </row>
    <row r="3200" spans="1:4" x14ac:dyDescent="0.25">
      <c r="A3200" s="1">
        <v>42647</v>
      </c>
      <c r="B3200">
        <v>1</v>
      </c>
      <c r="C3200">
        <v>2</v>
      </c>
      <c r="D3200">
        <v>51</v>
      </c>
    </row>
    <row r="3201" spans="1:4" x14ac:dyDescent="0.25">
      <c r="A3201" s="1">
        <v>42648</v>
      </c>
      <c r="B3201">
        <v>1</v>
      </c>
      <c r="C3201">
        <v>2</v>
      </c>
      <c r="D3201">
        <v>56</v>
      </c>
    </row>
    <row r="3202" spans="1:4" x14ac:dyDescent="0.25">
      <c r="A3202" s="1">
        <v>42649</v>
      </c>
      <c r="B3202">
        <v>1</v>
      </c>
      <c r="C3202">
        <v>2</v>
      </c>
      <c r="D3202">
        <v>61</v>
      </c>
    </row>
    <row r="3203" spans="1:4" x14ac:dyDescent="0.25">
      <c r="A3203" s="1">
        <v>42650</v>
      </c>
      <c r="B3203">
        <v>1</v>
      </c>
      <c r="C3203">
        <v>2</v>
      </c>
      <c r="D3203">
        <v>56</v>
      </c>
    </row>
    <row r="3204" spans="1:4" x14ac:dyDescent="0.25">
      <c r="A3204" s="1">
        <v>42651</v>
      </c>
      <c r="B3204">
        <v>1</v>
      </c>
      <c r="C3204">
        <v>2</v>
      </c>
      <c r="D3204">
        <v>70</v>
      </c>
    </row>
    <row r="3205" spans="1:4" x14ac:dyDescent="0.25">
      <c r="A3205" s="1">
        <v>42652</v>
      </c>
      <c r="B3205">
        <v>1</v>
      </c>
      <c r="C3205">
        <v>2</v>
      </c>
      <c r="D3205">
        <v>66</v>
      </c>
    </row>
    <row r="3206" spans="1:4" x14ac:dyDescent="0.25">
      <c r="A3206" s="1">
        <v>42653</v>
      </c>
      <c r="B3206">
        <v>1</v>
      </c>
      <c r="C3206">
        <v>2</v>
      </c>
      <c r="D3206">
        <v>51</v>
      </c>
    </row>
    <row r="3207" spans="1:4" x14ac:dyDescent="0.25">
      <c r="A3207" s="1">
        <v>42654</v>
      </c>
      <c r="B3207">
        <v>1</v>
      </c>
      <c r="C3207">
        <v>2</v>
      </c>
      <c r="D3207">
        <v>54</v>
      </c>
    </row>
    <row r="3208" spans="1:4" x14ac:dyDescent="0.25">
      <c r="A3208" s="1">
        <v>42655</v>
      </c>
      <c r="B3208">
        <v>1</v>
      </c>
      <c r="C3208">
        <v>2</v>
      </c>
      <c r="D3208">
        <v>51</v>
      </c>
    </row>
    <row r="3209" spans="1:4" x14ac:dyDescent="0.25">
      <c r="A3209" s="1">
        <v>42656</v>
      </c>
      <c r="B3209">
        <v>1</v>
      </c>
      <c r="C3209">
        <v>2</v>
      </c>
      <c r="D3209">
        <v>67</v>
      </c>
    </row>
    <row r="3210" spans="1:4" x14ac:dyDescent="0.25">
      <c r="A3210" s="1">
        <v>42657</v>
      </c>
      <c r="B3210">
        <v>1</v>
      </c>
      <c r="C3210">
        <v>2</v>
      </c>
      <c r="D3210">
        <v>80</v>
      </c>
    </row>
    <row r="3211" spans="1:4" x14ac:dyDescent="0.25">
      <c r="A3211" s="1">
        <v>42658</v>
      </c>
      <c r="B3211">
        <v>1</v>
      </c>
      <c r="C3211">
        <v>2</v>
      </c>
      <c r="D3211">
        <v>62</v>
      </c>
    </row>
    <row r="3212" spans="1:4" x14ac:dyDescent="0.25">
      <c r="A3212" s="1">
        <v>42659</v>
      </c>
      <c r="B3212">
        <v>1</v>
      </c>
      <c r="C3212">
        <v>2</v>
      </c>
      <c r="D3212">
        <v>66</v>
      </c>
    </row>
    <row r="3213" spans="1:4" x14ac:dyDescent="0.25">
      <c r="A3213" s="1">
        <v>42660</v>
      </c>
      <c r="B3213">
        <v>1</v>
      </c>
      <c r="C3213">
        <v>2</v>
      </c>
      <c r="D3213">
        <v>46</v>
      </c>
    </row>
    <row r="3214" spans="1:4" x14ac:dyDescent="0.25">
      <c r="A3214" s="1">
        <v>42661</v>
      </c>
      <c r="B3214">
        <v>1</v>
      </c>
      <c r="C3214">
        <v>2</v>
      </c>
      <c r="D3214">
        <v>50</v>
      </c>
    </row>
    <row r="3215" spans="1:4" x14ac:dyDescent="0.25">
      <c r="A3215" s="1">
        <v>42662</v>
      </c>
      <c r="B3215">
        <v>1</v>
      </c>
      <c r="C3215">
        <v>2</v>
      </c>
      <c r="D3215">
        <v>59</v>
      </c>
    </row>
    <row r="3216" spans="1:4" x14ac:dyDescent="0.25">
      <c r="A3216" s="1">
        <v>42663</v>
      </c>
      <c r="B3216">
        <v>1</v>
      </c>
      <c r="C3216">
        <v>2</v>
      </c>
      <c r="D3216">
        <v>62</v>
      </c>
    </row>
    <row r="3217" spans="1:4" x14ac:dyDescent="0.25">
      <c r="A3217" s="1">
        <v>42664</v>
      </c>
      <c r="B3217">
        <v>1</v>
      </c>
      <c r="C3217">
        <v>2</v>
      </c>
      <c r="D3217">
        <v>51</v>
      </c>
    </row>
    <row r="3218" spans="1:4" x14ac:dyDescent="0.25">
      <c r="A3218" s="1">
        <v>42665</v>
      </c>
      <c r="B3218">
        <v>1</v>
      </c>
      <c r="C3218">
        <v>2</v>
      </c>
      <c r="D3218">
        <v>70</v>
      </c>
    </row>
    <row r="3219" spans="1:4" x14ac:dyDescent="0.25">
      <c r="A3219" s="1">
        <v>42666</v>
      </c>
      <c r="B3219">
        <v>1</v>
      </c>
      <c r="C3219">
        <v>2</v>
      </c>
      <c r="D3219">
        <v>69</v>
      </c>
    </row>
    <row r="3220" spans="1:4" x14ac:dyDescent="0.25">
      <c r="A3220" s="1">
        <v>42667</v>
      </c>
      <c r="B3220">
        <v>1</v>
      </c>
      <c r="C3220">
        <v>2</v>
      </c>
      <c r="D3220">
        <v>49</v>
      </c>
    </row>
    <row r="3221" spans="1:4" x14ac:dyDescent="0.25">
      <c r="A3221" s="1">
        <v>42668</v>
      </c>
      <c r="B3221">
        <v>1</v>
      </c>
      <c r="C3221">
        <v>2</v>
      </c>
      <c r="D3221">
        <v>58</v>
      </c>
    </row>
    <row r="3222" spans="1:4" x14ac:dyDescent="0.25">
      <c r="A3222" s="1">
        <v>42669</v>
      </c>
      <c r="B3222">
        <v>1</v>
      </c>
      <c r="C3222">
        <v>2</v>
      </c>
      <c r="D3222">
        <v>49</v>
      </c>
    </row>
    <row r="3223" spans="1:4" x14ac:dyDescent="0.25">
      <c r="A3223" s="1">
        <v>42670</v>
      </c>
      <c r="B3223">
        <v>1</v>
      </c>
      <c r="C3223">
        <v>2</v>
      </c>
      <c r="D3223">
        <v>52</v>
      </c>
    </row>
    <row r="3224" spans="1:4" x14ac:dyDescent="0.25">
      <c r="A3224" s="1">
        <v>42671</v>
      </c>
      <c r="B3224">
        <v>1</v>
      </c>
      <c r="C3224">
        <v>2</v>
      </c>
      <c r="D3224">
        <v>67</v>
      </c>
    </row>
    <row r="3225" spans="1:4" x14ac:dyDescent="0.25">
      <c r="A3225" s="1">
        <v>42672</v>
      </c>
      <c r="B3225">
        <v>1</v>
      </c>
      <c r="C3225">
        <v>2</v>
      </c>
      <c r="D3225">
        <v>59</v>
      </c>
    </row>
    <row r="3226" spans="1:4" x14ac:dyDescent="0.25">
      <c r="A3226" s="1">
        <v>42673</v>
      </c>
      <c r="B3226">
        <v>1</v>
      </c>
      <c r="C3226">
        <v>2</v>
      </c>
      <c r="D3226">
        <v>58</v>
      </c>
    </row>
    <row r="3227" spans="1:4" x14ac:dyDescent="0.25">
      <c r="A3227" s="1">
        <v>42674</v>
      </c>
      <c r="B3227">
        <v>1</v>
      </c>
      <c r="C3227">
        <v>2</v>
      </c>
      <c r="D3227">
        <v>44</v>
      </c>
    </row>
    <row r="3228" spans="1:4" x14ac:dyDescent="0.25">
      <c r="A3228" s="1">
        <v>42675</v>
      </c>
      <c r="B3228">
        <v>1</v>
      </c>
      <c r="C3228">
        <v>2</v>
      </c>
      <c r="D3228">
        <v>50</v>
      </c>
    </row>
    <row r="3229" spans="1:4" x14ac:dyDescent="0.25">
      <c r="A3229" s="1">
        <v>42676</v>
      </c>
      <c r="B3229">
        <v>1</v>
      </c>
      <c r="C3229">
        <v>2</v>
      </c>
      <c r="D3229">
        <v>67</v>
      </c>
    </row>
    <row r="3230" spans="1:4" x14ac:dyDescent="0.25">
      <c r="A3230" s="1">
        <v>42677</v>
      </c>
      <c r="B3230">
        <v>1</v>
      </c>
      <c r="C3230">
        <v>2</v>
      </c>
      <c r="D3230">
        <v>55</v>
      </c>
    </row>
    <row r="3231" spans="1:4" x14ac:dyDescent="0.25">
      <c r="A3231" s="1">
        <v>42678</v>
      </c>
      <c r="B3231">
        <v>1</v>
      </c>
      <c r="C3231">
        <v>2</v>
      </c>
      <c r="D3231">
        <v>79</v>
      </c>
    </row>
    <row r="3232" spans="1:4" x14ac:dyDescent="0.25">
      <c r="A3232" s="1">
        <v>42679</v>
      </c>
      <c r="B3232">
        <v>1</v>
      </c>
      <c r="C3232">
        <v>2</v>
      </c>
      <c r="D3232">
        <v>57</v>
      </c>
    </row>
    <row r="3233" spans="1:4" x14ac:dyDescent="0.25">
      <c r="A3233" s="1">
        <v>42680</v>
      </c>
      <c r="B3233">
        <v>1</v>
      </c>
      <c r="C3233">
        <v>2</v>
      </c>
      <c r="D3233">
        <v>66</v>
      </c>
    </row>
    <row r="3234" spans="1:4" x14ac:dyDescent="0.25">
      <c r="A3234" s="1">
        <v>42681</v>
      </c>
      <c r="B3234">
        <v>1</v>
      </c>
      <c r="C3234">
        <v>2</v>
      </c>
      <c r="D3234">
        <v>43</v>
      </c>
    </row>
    <row r="3235" spans="1:4" x14ac:dyDescent="0.25">
      <c r="A3235" s="1">
        <v>42682</v>
      </c>
      <c r="B3235">
        <v>1</v>
      </c>
      <c r="C3235">
        <v>2</v>
      </c>
      <c r="D3235">
        <v>54</v>
      </c>
    </row>
    <row r="3236" spans="1:4" x14ac:dyDescent="0.25">
      <c r="A3236" s="1">
        <v>42683</v>
      </c>
      <c r="B3236">
        <v>1</v>
      </c>
      <c r="C3236">
        <v>2</v>
      </c>
      <c r="D3236">
        <v>68</v>
      </c>
    </row>
    <row r="3237" spans="1:4" x14ac:dyDescent="0.25">
      <c r="A3237" s="1">
        <v>42684</v>
      </c>
      <c r="B3237">
        <v>1</v>
      </c>
      <c r="C3237">
        <v>2</v>
      </c>
      <c r="D3237">
        <v>76</v>
      </c>
    </row>
    <row r="3238" spans="1:4" x14ac:dyDescent="0.25">
      <c r="A3238" s="1">
        <v>42685</v>
      </c>
      <c r="B3238">
        <v>1</v>
      </c>
      <c r="C3238">
        <v>2</v>
      </c>
      <c r="D3238">
        <v>69</v>
      </c>
    </row>
    <row r="3239" spans="1:4" x14ac:dyDescent="0.25">
      <c r="A3239" s="1">
        <v>42686</v>
      </c>
      <c r="B3239">
        <v>1</v>
      </c>
      <c r="C3239">
        <v>2</v>
      </c>
      <c r="D3239">
        <v>64</v>
      </c>
    </row>
    <row r="3240" spans="1:4" x14ac:dyDescent="0.25">
      <c r="A3240" s="1">
        <v>42687</v>
      </c>
      <c r="B3240">
        <v>1</v>
      </c>
      <c r="C3240">
        <v>2</v>
      </c>
      <c r="D3240">
        <v>76</v>
      </c>
    </row>
    <row r="3241" spans="1:4" x14ac:dyDescent="0.25">
      <c r="A3241" s="1">
        <v>42688</v>
      </c>
      <c r="B3241">
        <v>1</v>
      </c>
      <c r="C3241">
        <v>2</v>
      </c>
      <c r="D3241">
        <v>49</v>
      </c>
    </row>
    <row r="3242" spans="1:4" x14ac:dyDescent="0.25">
      <c r="A3242" s="1">
        <v>42689</v>
      </c>
      <c r="B3242">
        <v>1</v>
      </c>
      <c r="C3242">
        <v>2</v>
      </c>
      <c r="D3242">
        <v>57</v>
      </c>
    </row>
    <row r="3243" spans="1:4" x14ac:dyDescent="0.25">
      <c r="A3243" s="1">
        <v>42690</v>
      </c>
      <c r="B3243">
        <v>1</v>
      </c>
      <c r="C3243">
        <v>2</v>
      </c>
      <c r="D3243">
        <v>50</v>
      </c>
    </row>
    <row r="3244" spans="1:4" x14ac:dyDescent="0.25">
      <c r="A3244" s="1">
        <v>42691</v>
      </c>
      <c r="B3244">
        <v>1</v>
      </c>
      <c r="C3244">
        <v>2</v>
      </c>
      <c r="D3244">
        <v>53</v>
      </c>
    </row>
    <row r="3245" spans="1:4" x14ac:dyDescent="0.25">
      <c r="A3245" s="1">
        <v>42692</v>
      </c>
      <c r="B3245">
        <v>1</v>
      </c>
      <c r="C3245">
        <v>2</v>
      </c>
      <c r="D3245">
        <v>61</v>
      </c>
    </row>
    <row r="3246" spans="1:4" x14ac:dyDescent="0.25">
      <c r="A3246" s="1">
        <v>42693</v>
      </c>
      <c r="B3246">
        <v>1</v>
      </c>
      <c r="C3246">
        <v>2</v>
      </c>
      <c r="D3246">
        <v>72</v>
      </c>
    </row>
    <row r="3247" spans="1:4" x14ac:dyDescent="0.25">
      <c r="A3247" s="1">
        <v>42694</v>
      </c>
      <c r="B3247">
        <v>1</v>
      </c>
      <c r="C3247">
        <v>2</v>
      </c>
      <c r="D3247">
        <v>79</v>
      </c>
    </row>
    <row r="3248" spans="1:4" x14ac:dyDescent="0.25">
      <c r="A3248" s="1">
        <v>42695</v>
      </c>
      <c r="B3248">
        <v>1</v>
      </c>
      <c r="C3248">
        <v>2</v>
      </c>
      <c r="D3248">
        <v>47</v>
      </c>
    </row>
    <row r="3249" spans="1:4" x14ac:dyDescent="0.25">
      <c r="A3249" s="1">
        <v>42696</v>
      </c>
      <c r="B3249">
        <v>1</v>
      </c>
      <c r="C3249">
        <v>2</v>
      </c>
      <c r="D3249">
        <v>49</v>
      </c>
    </row>
    <row r="3250" spans="1:4" x14ac:dyDescent="0.25">
      <c r="A3250" s="1">
        <v>42697</v>
      </c>
      <c r="B3250">
        <v>1</v>
      </c>
      <c r="C3250">
        <v>2</v>
      </c>
      <c r="D3250">
        <v>50</v>
      </c>
    </row>
    <row r="3251" spans="1:4" x14ac:dyDescent="0.25">
      <c r="A3251" s="1">
        <v>42698</v>
      </c>
      <c r="B3251">
        <v>1</v>
      </c>
      <c r="C3251">
        <v>2</v>
      </c>
      <c r="D3251">
        <v>49</v>
      </c>
    </row>
    <row r="3252" spans="1:4" x14ac:dyDescent="0.25">
      <c r="A3252" s="1">
        <v>42699</v>
      </c>
      <c r="B3252">
        <v>1</v>
      </c>
      <c r="C3252">
        <v>2</v>
      </c>
      <c r="D3252">
        <v>58</v>
      </c>
    </row>
    <row r="3253" spans="1:4" x14ac:dyDescent="0.25">
      <c r="A3253" s="1">
        <v>42700</v>
      </c>
      <c r="B3253">
        <v>1</v>
      </c>
      <c r="C3253">
        <v>2</v>
      </c>
      <c r="D3253">
        <v>62</v>
      </c>
    </row>
    <row r="3254" spans="1:4" x14ac:dyDescent="0.25">
      <c r="A3254" s="1">
        <v>42701</v>
      </c>
      <c r="B3254">
        <v>1</v>
      </c>
      <c r="C3254">
        <v>2</v>
      </c>
      <c r="D3254">
        <v>78</v>
      </c>
    </row>
    <row r="3255" spans="1:4" x14ac:dyDescent="0.25">
      <c r="A3255" s="1">
        <v>42702</v>
      </c>
      <c r="B3255">
        <v>1</v>
      </c>
      <c r="C3255">
        <v>2</v>
      </c>
      <c r="D3255">
        <v>50</v>
      </c>
    </row>
    <row r="3256" spans="1:4" x14ac:dyDescent="0.25">
      <c r="A3256" s="1">
        <v>42703</v>
      </c>
      <c r="B3256">
        <v>1</v>
      </c>
      <c r="C3256">
        <v>2</v>
      </c>
      <c r="D3256">
        <v>49</v>
      </c>
    </row>
    <row r="3257" spans="1:4" x14ac:dyDescent="0.25">
      <c r="A3257" s="1">
        <v>42704</v>
      </c>
      <c r="B3257">
        <v>1</v>
      </c>
      <c r="C3257">
        <v>2</v>
      </c>
      <c r="D3257">
        <v>52</v>
      </c>
    </row>
    <row r="3258" spans="1:4" x14ac:dyDescent="0.25">
      <c r="A3258" s="1">
        <v>42705</v>
      </c>
      <c r="B3258">
        <v>1</v>
      </c>
      <c r="C3258">
        <v>2</v>
      </c>
      <c r="D3258">
        <v>43</v>
      </c>
    </row>
    <row r="3259" spans="1:4" x14ac:dyDescent="0.25">
      <c r="A3259" s="1">
        <v>42706</v>
      </c>
      <c r="B3259">
        <v>1</v>
      </c>
      <c r="C3259">
        <v>2</v>
      </c>
      <c r="D3259">
        <v>44</v>
      </c>
    </row>
    <row r="3260" spans="1:4" x14ac:dyDescent="0.25">
      <c r="A3260" s="1">
        <v>42707</v>
      </c>
      <c r="B3260">
        <v>1</v>
      </c>
      <c r="C3260">
        <v>2</v>
      </c>
      <c r="D3260">
        <v>40</v>
      </c>
    </row>
    <row r="3261" spans="1:4" x14ac:dyDescent="0.25">
      <c r="A3261" s="1">
        <v>42708</v>
      </c>
      <c r="B3261">
        <v>1</v>
      </c>
      <c r="C3261">
        <v>2</v>
      </c>
      <c r="D3261">
        <v>51</v>
      </c>
    </row>
    <row r="3262" spans="1:4" x14ac:dyDescent="0.25">
      <c r="A3262" s="1">
        <v>42709</v>
      </c>
      <c r="B3262">
        <v>1</v>
      </c>
      <c r="C3262">
        <v>2</v>
      </c>
      <c r="D3262">
        <v>29</v>
      </c>
    </row>
    <row r="3263" spans="1:4" x14ac:dyDescent="0.25">
      <c r="A3263" s="1">
        <v>42710</v>
      </c>
      <c r="B3263">
        <v>1</v>
      </c>
      <c r="C3263">
        <v>2</v>
      </c>
      <c r="D3263">
        <v>45</v>
      </c>
    </row>
    <row r="3264" spans="1:4" x14ac:dyDescent="0.25">
      <c r="A3264" s="1">
        <v>42711</v>
      </c>
      <c r="B3264">
        <v>1</v>
      </c>
      <c r="C3264">
        <v>2</v>
      </c>
      <c r="D3264">
        <v>39</v>
      </c>
    </row>
    <row r="3265" spans="1:4" x14ac:dyDescent="0.25">
      <c r="A3265" s="1">
        <v>42712</v>
      </c>
      <c r="B3265">
        <v>1</v>
      </c>
      <c r="C3265">
        <v>2</v>
      </c>
      <c r="D3265">
        <v>35</v>
      </c>
    </row>
    <row r="3266" spans="1:4" x14ac:dyDescent="0.25">
      <c r="A3266" s="1">
        <v>42713</v>
      </c>
      <c r="B3266">
        <v>1</v>
      </c>
      <c r="C3266">
        <v>2</v>
      </c>
      <c r="D3266">
        <v>41</v>
      </c>
    </row>
    <row r="3267" spans="1:4" x14ac:dyDescent="0.25">
      <c r="A3267" s="1">
        <v>42714</v>
      </c>
      <c r="B3267">
        <v>1</v>
      </c>
      <c r="C3267">
        <v>2</v>
      </c>
      <c r="D3267">
        <v>47</v>
      </c>
    </row>
    <row r="3268" spans="1:4" x14ac:dyDescent="0.25">
      <c r="A3268" s="1">
        <v>42715</v>
      </c>
      <c r="B3268">
        <v>1</v>
      </c>
      <c r="C3268">
        <v>2</v>
      </c>
      <c r="D3268">
        <v>53</v>
      </c>
    </row>
    <row r="3269" spans="1:4" x14ac:dyDescent="0.25">
      <c r="A3269" s="1">
        <v>42716</v>
      </c>
      <c r="B3269">
        <v>1</v>
      </c>
      <c r="C3269">
        <v>2</v>
      </c>
      <c r="D3269">
        <v>36</v>
      </c>
    </row>
    <row r="3270" spans="1:4" x14ac:dyDescent="0.25">
      <c r="A3270" s="1">
        <v>42717</v>
      </c>
      <c r="B3270">
        <v>1</v>
      </c>
      <c r="C3270">
        <v>2</v>
      </c>
      <c r="D3270">
        <v>45</v>
      </c>
    </row>
    <row r="3271" spans="1:4" x14ac:dyDescent="0.25">
      <c r="A3271" s="1">
        <v>42718</v>
      </c>
      <c r="B3271">
        <v>1</v>
      </c>
      <c r="C3271">
        <v>2</v>
      </c>
      <c r="D3271">
        <v>41</v>
      </c>
    </row>
    <row r="3272" spans="1:4" x14ac:dyDescent="0.25">
      <c r="A3272" s="1">
        <v>42719</v>
      </c>
      <c r="B3272">
        <v>1</v>
      </c>
      <c r="C3272">
        <v>2</v>
      </c>
      <c r="D3272">
        <v>52</v>
      </c>
    </row>
    <row r="3273" spans="1:4" x14ac:dyDescent="0.25">
      <c r="A3273" s="1">
        <v>42720</v>
      </c>
      <c r="B3273">
        <v>1</v>
      </c>
      <c r="C3273">
        <v>2</v>
      </c>
      <c r="D3273">
        <v>42</v>
      </c>
    </row>
    <row r="3274" spans="1:4" x14ac:dyDescent="0.25">
      <c r="A3274" s="1">
        <v>42721</v>
      </c>
      <c r="B3274">
        <v>1</v>
      </c>
      <c r="C3274">
        <v>2</v>
      </c>
      <c r="D3274">
        <v>55</v>
      </c>
    </row>
    <row r="3275" spans="1:4" x14ac:dyDescent="0.25">
      <c r="A3275" s="1">
        <v>42722</v>
      </c>
      <c r="B3275">
        <v>1</v>
      </c>
      <c r="C3275">
        <v>2</v>
      </c>
      <c r="D3275">
        <v>40</v>
      </c>
    </row>
    <row r="3276" spans="1:4" x14ac:dyDescent="0.25">
      <c r="A3276" s="1">
        <v>42723</v>
      </c>
      <c r="B3276">
        <v>1</v>
      </c>
      <c r="C3276">
        <v>2</v>
      </c>
      <c r="D3276">
        <v>33</v>
      </c>
    </row>
    <row r="3277" spans="1:4" x14ac:dyDescent="0.25">
      <c r="A3277" s="1">
        <v>42724</v>
      </c>
      <c r="B3277">
        <v>1</v>
      </c>
      <c r="C3277">
        <v>2</v>
      </c>
      <c r="D3277">
        <v>47</v>
      </c>
    </row>
    <row r="3278" spans="1:4" x14ac:dyDescent="0.25">
      <c r="A3278" s="1">
        <v>42725</v>
      </c>
      <c r="B3278">
        <v>1</v>
      </c>
      <c r="C3278">
        <v>2</v>
      </c>
      <c r="D3278">
        <v>46</v>
      </c>
    </row>
    <row r="3279" spans="1:4" x14ac:dyDescent="0.25">
      <c r="A3279" s="1">
        <v>42726</v>
      </c>
      <c r="B3279">
        <v>1</v>
      </c>
      <c r="C3279">
        <v>2</v>
      </c>
      <c r="D3279">
        <v>35</v>
      </c>
    </row>
    <row r="3280" spans="1:4" x14ac:dyDescent="0.25">
      <c r="A3280" s="1">
        <v>42727</v>
      </c>
      <c r="B3280">
        <v>1</v>
      </c>
      <c r="C3280">
        <v>2</v>
      </c>
      <c r="D3280">
        <v>64</v>
      </c>
    </row>
    <row r="3281" spans="1:4" x14ac:dyDescent="0.25">
      <c r="A3281" s="1">
        <v>42728</v>
      </c>
      <c r="B3281">
        <v>1</v>
      </c>
      <c r="C3281">
        <v>2</v>
      </c>
      <c r="D3281">
        <v>47</v>
      </c>
    </row>
    <row r="3282" spans="1:4" x14ac:dyDescent="0.25">
      <c r="A3282" s="1">
        <v>42729</v>
      </c>
      <c r="B3282">
        <v>1</v>
      </c>
      <c r="C3282">
        <v>2</v>
      </c>
      <c r="D3282">
        <v>39</v>
      </c>
    </row>
    <row r="3283" spans="1:4" x14ac:dyDescent="0.25">
      <c r="A3283" s="1">
        <v>42730</v>
      </c>
      <c r="B3283">
        <v>1</v>
      </c>
      <c r="C3283">
        <v>2</v>
      </c>
      <c r="D3283">
        <v>30</v>
      </c>
    </row>
    <row r="3284" spans="1:4" x14ac:dyDescent="0.25">
      <c r="A3284" s="1">
        <v>42731</v>
      </c>
      <c r="B3284">
        <v>1</v>
      </c>
      <c r="C3284">
        <v>2</v>
      </c>
      <c r="D3284">
        <v>41</v>
      </c>
    </row>
    <row r="3285" spans="1:4" x14ac:dyDescent="0.25">
      <c r="A3285" s="1">
        <v>42732</v>
      </c>
      <c r="B3285">
        <v>1</v>
      </c>
      <c r="C3285">
        <v>2</v>
      </c>
      <c r="D3285">
        <v>38</v>
      </c>
    </row>
    <row r="3286" spans="1:4" x14ac:dyDescent="0.25">
      <c r="A3286" s="1">
        <v>42733</v>
      </c>
      <c r="B3286">
        <v>1</v>
      </c>
      <c r="C3286">
        <v>2</v>
      </c>
      <c r="D3286">
        <v>56</v>
      </c>
    </row>
    <row r="3287" spans="1:4" x14ac:dyDescent="0.25">
      <c r="A3287" s="1">
        <v>42734</v>
      </c>
      <c r="B3287">
        <v>1</v>
      </c>
      <c r="C3287">
        <v>2</v>
      </c>
      <c r="D3287">
        <v>37</v>
      </c>
    </row>
    <row r="3288" spans="1:4" x14ac:dyDescent="0.25">
      <c r="A3288" s="1">
        <v>42735</v>
      </c>
      <c r="B3288">
        <v>1</v>
      </c>
      <c r="C3288">
        <v>2</v>
      </c>
      <c r="D3288">
        <v>47</v>
      </c>
    </row>
    <row r="3289" spans="1:4" x14ac:dyDescent="0.25">
      <c r="A3289" s="1">
        <v>42736</v>
      </c>
      <c r="B3289">
        <v>1</v>
      </c>
      <c r="C3289">
        <v>2</v>
      </c>
      <c r="D3289">
        <v>40</v>
      </c>
    </row>
    <row r="3290" spans="1:4" x14ac:dyDescent="0.25">
      <c r="A3290" s="1">
        <v>42737</v>
      </c>
      <c r="B3290">
        <v>1</v>
      </c>
      <c r="C3290">
        <v>2</v>
      </c>
      <c r="D3290">
        <v>26</v>
      </c>
    </row>
    <row r="3291" spans="1:4" x14ac:dyDescent="0.25">
      <c r="A3291" s="1">
        <v>42738</v>
      </c>
      <c r="B3291">
        <v>1</v>
      </c>
      <c r="C3291">
        <v>2</v>
      </c>
      <c r="D3291">
        <v>33</v>
      </c>
    </row>
    <row r="3292" spans="1:4" x14ac:dyDescent="0.25">
      <c r="A3292" s="1">
        <v>42739</v>
      </c>
      <c r="B3292">
        <v>1</v>
      </c>
      <c r="C3292">
        <v>2</v>
      </c>
      <c r="D3292">
        <v>41</v>
      </c>
    </row>
    <row r="3293" spans="1:4" x14ac:dyDescent="0.25">
      <c r="A3293" s="1">
        <v>42740</v>
      </c>
      <c r="B3293">
        <v>1</v>
      </c>
      <c r="C3293">
        <v>2</v>
      </c>
      <c r="D3293">
        <v>39</v>
      </c>
    </row>
    <row r="3294" spans="1:4" x14ac:dyDescent="0.25">
      <c r="A3294" s="1">
        <v>42741</v>
      </c>
      <c r="B3294">
        <v>1</v>
      </c>
      <c r="C3294">
        <v>2</v>
      </c>
      <c r="D3294">
        <v>43</v>
      </c>
    </row>
    <row r="3295" spans="1:4" x14ac:dyDescent="0.25">
      <c r="A3295" s="1">
        <v>42742</v>
      </c>
      <c r="B3295">
        <v>1</v>
      </c>
      <c r="C3295">
        <v>2</v>
      </c>
      <c r="D3295">
        <v>46</v>
      </c>
    </row>
    <row r="3296" spans="1:4" x14ac:dyDescent="0.25">
      <c r="A3296" s="1">
        <v>42743</v>
      </c>
      <c r="B3296">
        <v>1</v>
      </c>
      <c r="C3296">
        <v>2</v>
      </c>
      <c r="D3296">
        <v>58</v>
      </c>
    </row>
    <row r="3297" spans="1:4" x14ac:dyDescent="0.25">
      <c r="A3297" s="1">
        <v>42744</v>
      </c>
      <c r="B3297">
        <v>1</v>
      </c>
      <c r="C3297">
        <v>2</v>
      </c>
      <c r="D3297">
        <v>31</v>
      </c>
    </row>
    <row r="3298" spans="1:4" x14ac:dyDescent="0.25">
      <c r="A3298" s="1">
        <v>42745</v>
      </c>
      <c r="B3298">
        <v>1</v>
      </c>
      <c r="C3298">
        <v>2</v>
      </c>
      <c r="D3298">
        <v>36</v>
      </c>
    </row>
    <row r="3299" spans="1:4" x14ac:dyDescent="0.25">
      <c r="A3299" s="1">
        <v>42746</v>
      </c>
      <c r="B3299">
        <v>1</v>
      </c>
      <c r="C3299">
        <v>2</v>
      </c>
      <c r="D3299">
        <v>42</v>
      </c>
    </row>
    <row r="3300" spans="1:4" x14ac:dyDescent="0.25">
      <c r="A3300" s="1">
        <v>42747</v>
      </c>
      <c r="B3300">
        <v>1</v>
      </c>
      <c r="C3300">
        <v>2</v>
      </c>
      <c r="D3300">
        <v>39</v>
      </c>
    </row>
    <row r="3301" spans="1:4" x14ac:dyDescent="0.25">
      <c r="A3301" s="1">
        <v>42748</v>
      </c>
      <c r="B3301">
        <v>1</v>
      </c>
      <c r="C3301">
        <v>2</v>
      </c>
      <c r="D3301">
        <v>34</v>
      </c>
    </row>
    <row r="3302" spans="1:4" x14ac:dyDescent="0.25">
      <c r="A3302" s="1">
        <v>42749</v>
      </c>
      <c r="B3302">
        <v>1</v>
      </c>
      <c r="C3302">
        <v>2</v>
      </c>
      <c r="D3302">
        <v>29</v>
      </c>
    </row>
    <row r="3303" spans="1:4" x14ac:dyDescent="0.25">
      <c r="A3303" s="1">
        <v>42750</v>
      </c>
      <c r="B3303">
        <v>1</v>
      </c>
      <c r="C3303">
        <v>2</v>
      </c>
      <c r="D3303">
        <v>47</v>
      </c>
    </row>
    <row r="3304" spans="1:4" x14ac:dyDescent="0.25">
      <c r="A3304" s="1">
        <v>42751</v>
      </c>
      <c r="B3304">
        <v>1</v>
      </c>
      <c r="C3304">
        <v>2</v>
      </c>
      <c r="D3304">
        <v>21</v>
      </c>
    </row>
    <row r="3305" spans="1:4" x14ac:dyDescent="0.25">
      <c r="A3305" s="1">
        <v>42752</v>
      </c>
      <c r="B3305">
        <v>1</v>
      </c>
      <c r="C3305">
        <v>2</v>
      </c>
      <c r="D3305">
        <v>37</v>
      </c>
    </row>
    <row r="3306" spans="1:4" x14ac:dyDescent="0.25">
      <c r="A3306" s="1">
        <v>42753</v>
      </c>
      <c r="B3306">
        <v>1</v>
      </c>
      <c r="C3306">
        <v>2</v>
      </c>
      <c r="D3306">
        <v>41</v>
      </c>
    </row>
    <row r="3307" spans="1:4" x14ac:dyDescent="0.25">
      <c r="A3307" s="1">
        <v>42754</v>
      </c>
      <c r="B3307">
        <v>1</v>
      </c>
      <c r="C3307">
        <v>2</v>
      </c>
      <c r="D3307">
        <v>51</v>
      </c>
    </row>
    <row r="3308" spans="1:4" x14ac:dyDescent="0.25">
      <c r="A3308" s="1">
        <v>42755</v>
      </c>
      <c r="B3308">
        <v>1</v>
      </c>
      <c r="C3308">
        <v>2</v>
      </c>
      <c r="D3308">
        <v>48</v>
      </c>
    </row>
    <row r="3309" spans="1:4" x14ac:dyDescent="0.25">
      <c r="A3309" s="1">
        <v>42756</v>
      </c>
      <c r="B3309">
        <v>1</v>
      </c>
      <c r="C3309">
        <v>2</v>
      </c>
      <c r="D3309">
        <v>42</v>
      </c>
    </row>
    <row r="3310" spans="1:4" x14ac:dyDescent="0.25">
      <c r="A3310" s="1">
        <v>42757</v>
      </c>
      <c r="B3310">
        <v>1</v>
      </c>
      <c r="C3310">
        <v>2</v>
      </c>
      <c r="D3310">
        <v>49</v>
      </c>
    </row>
    <row r="3311" spans="1:4" x14ac:dyDescent="0.25">
      <c r="A3311" s="1">
        <v>42758</v>
      </c>
      <c r="B3311">
        <v>1</v>
      </c>
      <c r="C3311">
        <v>2</v>
      </c>
      <c r="D3311">
        <v>25</v>
      </c>
    </row>
    <row r="3312" spans="1:4" x14ac:dyDescent="0.25">
      <c r="A3312" s="1">
        <v>42759</v>
      </c>
      <c r="B3312">
        <v>1</v>
      </c>
      <c r="C3312">
        <v>2</v>
      </c>
      <c r="D3312">
        <v>44</v>
      </c>
    </row>
    <row r="3313" spans="1:4" x14ac:dyDescent="0.25">
      <c r="A3313" s="1">
        <v>42760</v>
      </c>
      <c r="B3313">
        <v>1</v>
      </c>
      <c r="C3313">
        <v>2</v>
      </c>
      <c r="D3313">
        <v>38</v>
      </c>
    </row>
    <row r="3314" spans="1:4" x14ac:dyDescent="0.25">
      <c r="A3314" s="1">
        <v>42761</v>
      </c>
      <c r="B3314">
        <v>1</v>
      </c>
      <c r="C3314">
        <v>2</v>
      </c>
      <c r="D3314">
        <v>30</v>
      </c>
    </row>
    <row r="3315" spans="1:4" x14ac:dyDescent="0.25">
      <c r="A3315" s="1">
        <v>42762</v>
      </c>
      <c r="B3315">
        <v>1</v>
      </c>
      <c r="C3315">
        <v>2</v>
      </c>
      <c r="D3315">
        <v>32</v>
      </c>
    </row>
    <row r="3316" spans="1:4" x14ac:dyDescent="0.25">
      <c r="A3316" s="1">
        <v>42763</v>
      </c>
      <c r="B3316">
        <v>1</v>
      </c>
      <c r="C3316">
        <v>2</v>
      </c>
      <c r="D3316">
        <v>48</v>
      </c>
    </row>
    <row r="3317" spans="1:4" x14ac:dyDescent="0.25">
      <c r="A3317" s="1">
        <v>42764</v>
      </c>
      <c r="B3317">
        <v>1</v>
      </c>
      <c r="C3317">
        <v>2</v>
      </c>
      <c r="D3317">
        <v>47</v>
      </c>
    </row>
    <row r="3318" spans="1:4" x14ac:dyDescent="0.25">
      <c r="A3318" s="1">
        <v>42765</v>
      </c>
      <c r="B3318">
        <v>1</v>
      </c>
      <c r="C3318">
        <v>2</v>
      </c>
      <c r="D3318">
        <v>28</v>
      </c>
    </row>
    <row r="3319" spans="1:4" x14ac:dyDescent="0.25">
      <c r="A3319" s="1">
        <v>42766</v>
      </c>
      <c r="B3319">
        <v>1</v>
      </c>
      <c r="C3319">
        <v>2</v>
      </c>
      <c r="D3319">
        <v>37</v>
      </c>
    </row>
    <row r="3320" spans="1:4" x14ac:dyDescent="0.25">
      <c r="A3320" s="1">
        <v>42767</v>
      </c>
      <c r="B3320">
        <v>1</v>
      </c>
      <c r="C3320">
        <v>2</v>
      </c>
      <c r="D3320">
        <v>34</v>
      </c>
    </row>
    <row r="3321" spans="1:4" x14ac:dyDescent="0.25">
      <c r="A3321" s="1">
        <v>42768</v>
      </c>
      <c r="B3321">
        <v>1</v>
      </c>
      <c r="C3321">
        <v>2</v>
      </c>
      <c r="D3321">
        <v>47</v>
      </c>
    </row>
    <row r="3322" spans="1:4" x14ac:dyDescent="0.25">
      <c r="A3322" s="1">
        <v>42769</v>
      </c>
      <c r="B3322">
        <v>1</v>
      </c>
      <c r="C3322">
        <v>2</v>
      </c>
      <c r="D3322">
        <v>45</v>
      </c>
    </row>
    <row r="3323" spans="1:4" x14ac:dyDescent="0.25">
      <c r="A3323" s="1">
        <v>42770</v>
      </c>
      <c r="B3323">
        <v>1</v>
      </c>
      <c r="C3323">
        <v>2</v>
      </c>
      <c r="D3323">
        <v>42</v>
      </c>
    </row>
    <row r="3324" spans="1:4" x14ac:dyDescent="0.25">
      <c r="A3324" s="1">
        <v>42771</v>
      </c>
      <c r="B3324">
        <v>1</v>
      </c>
      <c r="C3324">
        <v>2</v>
      </c>
      <c r="D3324">
        <v>38</v>
      </c>
    </row>
    <row r="3325" spans="1:4" x14ac:dyDescent="0.25">
      <c r="A3325" s="1">
        <v>42772</v>
      </c>
      <c r="B3325">
        <v>1</v>
      </c>
      <c r="C3325">
        <v>2</v>
      </c>
      <c r="D3325">
        <v>38</v>
      </c>
    </row>
    <row r="3326" spans="1:4" x14ac:dyDescent="0.25">
      <c r="A3326" s="1">
        <v>42773</v>
      </c>
      <c r="B3326">
        <v>1</v>
      </c>
      <c r="C3326">
        <v>2</v>
      </c>
      <c r="D3326">
        <v>33</v>
      </c>
    </row>
    <row r="3327" spans="1:4" x14ac:dyDescent="0.25">
      <c r="A3327" s="1">
        <v>42774</v>
      </c>
      <c r="B3327">
        <v>1</v>
      </c>
      <c r="C3327">
        <v>2</v>
      </c>
      <c r="D3327">
        <v>37</v>
      </c>
    </row>
    <row r="3328" spans="1:4" x14ac:dyDescent="0.25">
      <c r="A3328" s="1">
        <v>42775</v>
      </c>
      <c r="B3328">
        <v>1</v>
      </c>
      <c r="C3328">
        <v>2</v>
      </c>
      <c r="D3328">
        <v>39</v>
      </c>
    </row>
    <row r="3329" spans="1:4" x14ac:dyDescent="0.25">
      <c r="A3329" s="1">
        <v>42776</v>
      </c>
      <c r="B3329">
        <v>1</v>
      </c>
      <c r="C3329">
        <v>2</v>
      </c>
      <c r="D3329">
        <v>38</v>
      </c>
    </row>
    <row r="3330" spans="1:4" x14ac:dyDescent="0.25">
      <c r="A3330" s="1">
        <v>42777</v>
      </c>
      <c r="B3330">
        <v>1</v>
      </c>
      <c r="C3330">
        <v>2</v>
      </c>
      <c r="D3330">
        <v>52</v>
      </c>
    </row>
    <row r="3331" spans="1:4" x14ac:dyDescent="0.25">
      <c r="A3331" s="1">
        <v>42778</v>
      </c>
      <c r="B3331">
        <v>1</v>
      </c>
      <c r="C3331">
        <v>2</v>
      </c>
      <c r="D3331">
        <v>47</v>
      </c>
    </row>
    <row r="3332" spans="1:4" x14ac:dyDescent="0.25">
      <c r="A3332" s="1">
        <v>42779</v>
      </c>
      <c r="B3332">
        <v>1</v>
      </c>
      <c r="C3332">
        <v>2</v>
      </c>
      <c r="D3332">
        <v>45</v>
      </c>
    </row>
    <row r="3333" spans="1:4" x14ac:dyDescent="0.25">
      <c r="A3333" s="1">
        <v>42780</v>
      </c>
      <c r="B3333">
        <v>1</v>
      </c>
      <c r="C3333">
        <v>2</v>
      </c>
      <c r="D3333">
        <v>46</v>
      </c>
    </row>
    <row r="3334" spans="1:4" x14ac:dyDescent="0.25">
      <c r="A3334" s="1">
        <v>42781</v>
      </c>
      <c r="B3334">
        <v>1</v>
      </c>
      <c r="C3334">
        <v>2</v>
      </c>
      <c r="D3334">
        <v>38</v>
      </c>
    </row>
    <row r="3335" spans="1:4" x14ac:dyDescent="0.25">
      <c r="A3335" s="1">
        <v>42782</v>
      </c>
      <c r="B3335">
        <v>1</v>
      </c>
      <c r="C3335">
        <v>2</v>
      </c>
      <c r="D3335">
        <v>46</v>
      </c>
    </row>
    <row r="3336" spans="1:4" x14ac:dyDescent="0.25">
      <c r="A3336" s="1">
        <v>42783</v>
      </c>
      <c r="B3336">
        <v>1</v>
      </c>
      <c r="C3336">
        <v>2</v>
      </c>
      <c r="D3336">
        <v>59</v>
      </c>
    </row>
    <row r="3337" spans="1:4" x14ac:dyDescent="0.25">
      <c r="A3337" s="1">
        <v>42784</v>
      </c>
      <c r="B3337">
        <v>1</v>
      </c>
      <c r="C3337">
        <v>2</v>
      </c>
      <c r="D3337">
        <v>47</v>
      </c>
    </row>
    <row r="3338" spans="1:4" x14ac:dyDescent="0.25">
      <c r="A3338" s="1">
        <v>42785</v>
      </c>
      <c r="B3338">
        <v>1</v>
      </c>
      <c r="C3338">
        <v>2</v>
      </c>
      <c r="D3338">
        <v>55</v>
      </c>
    </row>
    <row r="3339" spans="1:4" x14ac:dyDescent="0.25">
      <c r="A3339" s="1">
        <v>42786</v>
      </c>
      <c r="B3339">
        <v>1</v>
      </c>
      <c r="C3339">
        <v>2</v>
      </c>
      <c r="D3339">
        <v>32</v>
      </c>
    </row>
    <row r="3340" spans="1:4" x14ac:dyDescent="0.25">
      <c r="A3340" s="1">
        <v>42787</v>
      </c>
      <c r="B3340">
        <v>1</v>
      </c>
      <c r="C3340">
        <v>2</v>
      </c>
      <c r="D3340">
        <v>26</v>
      </c>
    </row>
    <row r="3341" spans="1:4" x14ac:dyDescent="0.25">
      <c r="A3341" s="1">
        <v>42788</v>
      </c>
      <c r="B3341">
        <v>1</v>
      </c>
      <c r="C3341">
        <v>2</v>
      </c>
      <c r="D3341">
        <v>45</v>
      </c>
    </row>
    <row r="3342" spans="1:4" x14ac:dyDescent="0.25">
      <c r="A3342" s="1">
        <v>42789</v>
      </c>
      <c r="B3342">
        <v>1</v>
      </c>
      <c r="C3342">
        <v>2</v>
      </c>
      <c r="D3342">
        <v>50</v>
      </c>
    </row>
    <row r="3343" spans="1:4" x14ac:dyDescent="0.25">
      <c r="A3343" s="1">
        <v>42790</v>
      </c>
      <c r="B3343">
        <v>1</v>
      </c>
      <c r="C3343">
        <v>2</v>
      </c>
      <c r="D3343">
        <v>49</v>
      </c>
    </row>
    <row r="3344" spans="1:4" x14ac:dyDescent="0.25">
      <c r="A3344" s="1">
        <v>42791</v>
      </c>
      <c r="B3344">
        <v>1</v>
      </c>
      <c r="C3344">
        <v>2</v>
      </c>
      <c r="D3344">
        <v>46</v>
      </c>
    </row>
    <row r="3345" spans="1:4" x14ac:dyDescent="0.25">
      <c r="A3345" s="1">
        <v>42792</v>
      </c>
      <c r="B3345">
        <v>1</v>
      </c>
      <c r="C3345">
        <v>2</v>
      </c>
      <c r="D3345">
        <v>41</v>
      </c>
    </row>
    <row r="3346" spans="1:4" x14ac:dyDescent="0.25">
      <c r="A3346" s="1">
        <v>42793</v>
      </c>
      <c r="B3346">
        <v>1</v>
      </c>
      <c r="C3346">
        <v>2</v>
      </c>
      <c r="D3346">
        <v>44</v>
      </c>
    </row>
    <row r="3347" spans="1:4" x14ac:dyDescent="0.25">
      <c r="A3347" s="1">
        <v>42794</v>
      </c>
      <c r="B3347">
        <v>1</v>
      </c>
      <c r="C3347">
        <v>2</v>
      </c>
      <c r="D3347">
        <v>37</v>
      </c>
    </row>
    <row r="3348" spans="1:4" x14ac:dyDescent="0.25">
      <c r="A3348" s="1">
        <v>42795</v>
      </c>
      <c r="B3348">
        <v>1</v>
      </c>
      <c r="C3348">
        <v>2</v>
      </c>
      <c r="D3348">
        <v>48</v>
      </c>
    </row>
    <row r="3349" spans="1:4" x14ac:dyDescent="0.25">
      <c r="A3349" s="1">
        <v>42796</v>
      </c>
      <c r="B3349">
        <v>1</v>
      </c>
      <c r="C3349">
        <v>2</v>
      </c>
      <c r="D3349">
        <v>54</v>
      </c>
    </row>
    <row r="3350" spans="1:4" x14ac:dyDescent="0.25">
      <c r="A3350" s="1">
        <v>42797</v>
      </c>
      <c r="B3350">
        <v>1</v>
      </c>
      <c r="C3350">
        <v>2</v>
      </c>
      <c r="D3350">
        <v>47</v>
      </c>
    </row>
    <row r="3351" spans="1:4" x14ac:dyDescent="0.25">
      <c r="A3351" s="1">
        <v>42798</v>
      </c>
      <c r="B3351">
        <v>1</v>
      </c>
      <c r="C3351">
        <v>2</v>
      </c>
      <c r="D3351">
        <v>70</v>
      </c>
    </row>
    <row r="3352" spans="1:4" x14ac:dyDescent="0.25">
      <c r="A3352" s="1">
        <v>42799</v>
      </c>
      <c r="B3352">
        <v>1</v>
      </c>
      <c r="C3352">
        <v>2</v>
      </c>
      <c r="D3352">
        <v>57</v>
      </c>
    </row>
    <row r="3353" spans="1:4" x14ac:dyDescent="0.25">
      <c r="A3353" s="1">
        <v>42800</v>
      </c>
      <c r="B3353">
        <v>1</v>
      </c>
      <c r="C3353">
        <v>2</v>
      </c>
      <c r="D3353">
        <v>36</v>
      </c>
    </row>
    <row r="3354" spans="1:4" x14ac:dyDescent="0.25">
      <c r="A3354" s="1">
        <v>42801</v>
      </c>
      <c r="B3354">
        <v>1</v>
      </c>
      <c r="C3354">
        <v>2</v>
      </c>
      <c r="D3354">
        <v>57</v>
      </c>
    </row>
    <row r="3355" spans="1:4" x14ac:dyDescent="0.25">
      <c r="A3355" s="1">
        <v>42802</v>
      </c>
      <c r="B3355">
        <v>1</v>
      </c>
      <c r="C3355">
        <v>2</v>
      </c>
      <c r="D3355">
        <v>51</v>
      </c>
    </row>
    <row r="3356" spans="1:4" x14ac:dyDescent="0.25">
      <c r="A3356" s="1">
        <v>42803</v>
      </c>
      <c r="B3356">
        <v>1</v>
      </c>
      <c r="C3356">
        <v>2</v>
      </c>
      <c r="D3356">
        <v>43</v>
      </c>
    </row>
    <row r="3357" spans="1:4" x14ac:dyDescent="0.25">
      <c r="A3357" s="1">
        <v>42804</v>
      </c>
      <c r="B3357">
        <v>1</v>
      </c>
      <c r="C3357">
        <v>2</v>
      </c>
      <c r="D3357">
        <v>53</v>
      </c>
    </row>
    <row r="3358" spans="1:4" x14ac:dyDescent="0.25">
      <c r="A3358" s="1">
        <v>42805</v>
      </c>
      <c r="B3358">
        <v>1</v>
      </c>
      <c r="C3358">
        <v>2</v>
      </c>
      <c r="D3358">
        <v>54</v>
      </c>
    </row>
    <row r="3359" spans="1:4" x14ac:dyDescent="0.25">
      <c r="A3359" s="1">
        <v>42806</v>
      </c>
      <c r="B3359">
        <v>1</v>
      </c>
      <c r="C3359">
        <v>2</v>
      </c>
      <c r="D3359">
        <v>63</v>
      </c>
    </row>
    <row r="3360" spans="1:4" x14ac:dyDescent="0.25">
      <c r="A3360" s="1">
        <v>42807</v>
      </c>
      <c r="B3360">
        <v>1</v>
      </c>
      <c r="C3360">
        <v>2</v>
      </c>
      <c r="D3360">
        <v>52</v>
      </c>
    </row>
    <row r="3361" spans="1:4" x14ac:dyDescent="0.25">
      <c r="A3361" s="1">
        <v>42808</v>
      </c>
      <c r="B3361">
        <v>1</v>
      </c>
      <c r="C3361">
        <v>2</v>
      </c>
      <c r="D3361">
        <v>56</v>
      </c>
    </row>
    <row r="3362" spans="1:4" x14ac:dyDescent="0.25">
      <c r="A3362" s="1">
        <v>42809</v>
      </c>
      <c r="B3362">
        <v>1</v>
      </c>
      <c r="C3362">
        <v>2</v>
      </c>
      <c r="D3362">
        <v>59</v>
      </c>
    </row>
    <row r="3363" spans="1:4" x14ac:dyDescent="0.25">
      <c r="A3363" s="1">
        <v>42810</v>
      </c>
      <c r="B3363">
        <v>1</v>
      </c>
      <c r="C3363">
        <v>2</v>
      </c>
      <c r="D3363">
        <v>52</v>
      </c>
    </row>
    <row r="3364" spans="1:4" x14ac:dyDescent="0.25">
      <c r="A3364" s="1">
        <v>42811</v>
      </c>
      <c r="B3364">
        <v>1</v>
      </c>
      <c r="C3364">
        <v>2</v>
      </c>
      <c r="D3364">
        <v>52</v>
      </c>
    </row>
    <row r="3365" spans="1:4" x14ac:dyDescent="0.25">
      <c r="A3365" s="1">
        <v>42812</v>
      </c>
      <c r="B3365">
        <v>1</v>
      </c>
      <c r="C3365">
        <v>2</v>
      </c>
      <c r="D3365">
        <v>55</v>
      </c>
    </row>
    <row r="3366" spans="1:4" x14ac:dyDescent="0.25">
      <c r="A3366" s="1">
        <v>42813</v>
      </c>
      <c r="B3366">
        <v>1</v>
      </c>
      <c r="C3366">
        <v>2</v>
      </c>
      <c r="D3366">
        <v>65</v>
      </c>
    </row>
    <row r="3367" spans="1:4" x14ac:dyDescent="0.25">
      <c r="A3367" s="1">
        <v>42814</v>
      </c>
      <c r="B3367">
        <v>1</v>
      </c>
      <c r="C3367">
        <v>2</v>
      </c>
      <c r="D3367">
        <v>34</v>
      </c>
    </row>
    <row r="3368" spans="1:4" x14ac:dyDescent="0.25">
      <c r="A3368" s="1">
        <v>42815</v>
      </c>
      <c r="B3368">
        <v>1</v>
      </c>
      <c r="C3368">
        <v>2</v>
      </c>
      <c r="D3368">
        <v>47</v>
      </c>
    </row>
    <row r="3369" spans="1:4" x14ac:dyDescent="0.25">
      <c r="A3369" s="1">
        <v>42816</v>
      </c>
      <c r="B3369">
        <v>1</v>
      </c>
      <c r="C3369">
        <v>2</v>
      </c>
      <c r="D3369">
        <v>33</v>
      </c>
    </row>
    <row r="3370" spans="1:4" x14ac:dyDescent="0.25">
      <c r="A3370" s="1">
        <v>42817</v>
      </c>
      <c r="B3370">
        <v>1</v>
      </c>
      <c r="C3370">
        <v>2</v>
      </c>
      <c r="D3370">
        <v>51</v>
      </c>
    </row>
    <row r="3371" spans="1:4" x14ac:dyDescent="0.25">
      <c r="A3371" s="1">
        <v>42818</v>
      </c>
      <c r="B3371">
        <v>1</v>
      </c>
      <c r="C3371">
        <v>2</v>
      </c>
      <c r="D3371">
        <v>62</v>
      </c>
    </row>
    <row r="3372" spans="1:4" x14ac:dyDescent="0.25">
      <c r="A3372" s="1">
        <v>42819</v>
      </c>
      <c r="B3372">
        <v>1</v>
      </c>
      <c r="C3372">
        <v>2</v>
      </c>
      <c r="D3372">
        <v>55</v>
      </c>
    </row>
    <row r="3373" spans="1:4" x14ac:dyDescent="0.25">
      <c r="A3373" s="1">
        <v>42820</v>
      </c>
      <c r="B3373">
        <v>1</v>
      </c>
      <c r="C3373">
        <v>2</v>
      </c>
      <c r="D3373">
        <v>55</v>
      </c>
    </row>
    <row r="3374" spans="1:4" x14ac:dyDescent="0.25">
      <c r="A3374" s="1">
        <v>42821</v>
      </c>
      <c r="B3374">
        <v>1</v>
      </c>
      <c r="C3374">
        <v>2</v>
      </c>
      <c r="D3374">
        <v>40</v>
      </c>
    </row>
    <row r="3375" spans="1:4" x14ac:dyDescent="0.25">
      <c r="A3375" s="1">
        <v>42822</v>
      </c>
      <c r="B3375">
        <v>1</v>
      </c>
      <c r="C3375">
        <v>2</v>
      </c>
      <c r="D3375">
        <v>45</v>
      </c>
    </row>
    <row r="3376" spans="1:4" x14ac:dyDescent="0.25">
      <c r="A3376" s="1">
        <v>42823</v>
      </c>
      <c r="B3376">
        <v>1</v>
      </c>
      <c r="C3376">
        <v>2</v>
      </c>
      <c r="D3376">
        <v>45</v>
      </c>
    </row>
    <row r="3377" spans="1:4" x14ac:dyDescent="0.25">
      <c r="A3377" s="1">
        <v>42824</v>
      </c>
      <c r="B3377">
        <v>1</v>
      </c>
      <c r="C3377">
        <v>2</v>
      </c>
      <c r="D3377">
        <v>44</v>
      </c>
    </row>
    <row r="3378" spans="1:4" x14ac:dyDescent="0.25">
      <c r="A3378" s="1">
        <v>42825</v>
      </c>
      <c r="B3378">
        <v>1</v>
      </c>
      <c r="C3378">
        <v>2</v>
      </c>
      <c r="D3378">
        <v>57</v>
      </c>
    </row>
    <row r="3379" spans="1:4" x14ac:dyDescent="0.25">
      <c r="A3379" s="1">
        <v>42826</v>
      </c>
      <c r="B3379">
        <v>1</v>
      </c>
      <c r="C3379">
        <v>2</v>
      </c>
      <c r="D3379">
        <v>61</v>
      </c>
    </row>
    <row r="3380" spans="1:4" x14ac:dyDescent="0.25">
      <c r="A3380" s="1">
        <v>42827</v>
      </c>
      <c r="B3380">
        <v>1</v>
      </c>
      <c r="C3380">
        <v>2</v>
      </c>
      <c r="D3380">
        <v>66</v>
      </c>
    </row>
    <row r="3381" spans="1:4" x14ac:dyDescent="0.25">
      <c r="A3381" s="1">
        <v>42828</v>
      </c>
      <c r="B3381">
        <v>1</v>
      </c>
      <c r="C3381">
        <v>2</v>
      </c>
      <c r="D3381">
        <v>43</v>
      </c>
    </row>
    <row r="3382" spans="1:4" x14ac:dyDescent="0.25">
      <c r="A3382" s="1">
        <v>42829</v>
      </c>
      <c r="B3382">
        <v>1</v>
      </c>
      <c r="C3382">
        <v>2</v>
      </c>
      <c r="D3382">
        <v>53</v>
      </c>
    </row>
    <row r="3383" spans="1:4" x14ac:dyDescent="0.25">
      <c r="A3383" s="1">
        <v>42830</v>
      </c>
      <c r="B3383">
        <v>1</v>
      </c>
      <c r="C3383">
        <v>2</v>
      </c>
      <c r="D3383">
        <v>76</v>
      </c>
    </row>
    <row r="3384" spans="1:4" x14ac:dyDescent="0.25">
      <c r="A3384" s="1">
        <v>42831</v>
      </c>
      <c r="B3384">
        <v>1</v>
      </c>
      <c r="C3384">
        <v>2</v>
      </c>
      <c r="D3384">
        <v>62</v>
      </c>
    </row>
    <row r="3385" spans="1:4" x14ac:dyDescent="0.25">
      <c r="A3385" s="1">
        <v>42832</v>
      </c>
      <c r="B3385">
        <v>1</v>
      </c>
      <c r="C3385">
        <v>2</v>
      </c>
      <c r="D3385">
        <v>62</v>
      </c>
    </row>
    <row r="3386" spans="1:4" x14ac:dyDescent="0.25">
      <c r="A3386" s="1">
        <v>42833</v>
      </c>
      <c r="B3386">
        <v>1</v>
      </c>
      <c r="C3386">
        <v>2</v>
      </c>
      <c r="D3386">
        <v>77</v>
      </c>
    </row>
    <row r="3387" spans="1:4" x14ac:dyDescent="0.25">
      <c r="A3387" s="1">
        <v>42834</v>
      </c>
      <c r="B3387">
        <v>1</v>
      </c>
      <c r="C3387">
        <v>2</v>
      </c>
      <c r="D3387">
        <v>86</v>
      </c>
    </row>
    <row r="3388" spans="1:4" x14ac:dyDescent="0.25">
      <c r="A3388" s="1">
        <v>42835</v>
      </c>
      <c r="B3388">
        <v>1</v>
      </c>
      <c r="C3388">
        <v>2</v>
      </c>
      <c r="D3388">
        <v>52</v>
      </c>
    </row>
    <row r="3389" spans="1:4" x14ac:dyDescent="0.25">
      <c r="A3389" s="1">
        <v>42836</v>
      </c>
      <c r="B3389">
        <v>1</v>
      </c>
      <c r="C3389">
        <v>2</v>
      </c>
      <c r="D3389">
        <v>68</v>
      </c>
    </row>
    <row r="3390" spans="1:4" x14ac:dyDescent="0.25">
      <c r="A3390" s="1">
        <v>42837</v>
      </c>
      <c r="B3390">
        <v>1</v>
      </c>
      <c r="C3390">
        <v>2</v>
      </c>
      <c r="D3390">
        <v>59</v>
      </c>
    </row>
    <row r="3391" spans="1:4" x14ac:dyDescent="0.25">
      <c r="A3391" s="1">
        <v>42838</v>
      </c>
      <c r="B3391">
        <v>1</v>
      </c>
      <c r="C3391">
        <v>2</v>
      </c>
      <c r="D3391">
        <v>71</v>
      </c>
    </row>
    <row r="3392" spans="1:4" x14ac:dyDescent="0.25">
      <c r="A3392" s="1">
        <v>42839</v>
      </c>
      <c r="B3392">
        <v>1</v>
      </c>
      <c r="C3392">
        <v>2</v>
      </c>
      <c r="D3392">
        <v>78</v>
      </c>
    </row>
    <row r="3393" spans="1:4" x14ac:dyDescent="0.25">
      <c r="A3393" s="1">
        <v>42840</v>
      </c>
      <c r="B3393">
        <v>1</v>
      </c>
      <c r="C3393">
        <v>2</v>
      </c>
      <c r="D3393">
        <v>79</v>
      </c>
    </row>
    <row r="3394" spans="1:4" x14ac:dyDescent="0.25">
      <c r="A3394" s="1">
        <v>42841</v>
      </c>
      <c r="B3394">
        <v>1</v>
      </c>
      <c r="C3394">
        <v>2</v>
      </c>
      <c r="D3394">
        <v>60</v>
      </c>
    </row>
    <row r="3395" spans="1:4" x14ac:dyDescent="0.25">
      <c r="A3395" s="1">
        <v>42842</v>
      </c>
      <c r="B3395">
        <v>1</v>
      </c>
      <c r="C3395">
        <v>2</v>
      </c>
      <c r="D3395">
        <v>58</v>
      </c>
    </row>
    <row r="3396" spans="1:4" x14ac:dyDescent="0.25">
      <c r="A3396" s="1">
        <v>42843</v>
      </c>
      <c r="B3396">
        <v>1</v>
      </c>
      <c r="C3396">
        <v>2</v>
      </c>
      <c r="D3396">
        <v>51</v>
      </c>
    </row>
    <row r="3397" spans="1:4" x14ac:dyDescent="0.25">
      <c r="A3397" s="1">
        <v>42844</v>
      </c>
      <c r="B3397">
        <v>1</v>
      </c>
      <c r="C3397">
        <v>2</v>
      </c>
      <c r="D3397">
        <v>64</v>
      </c>
    </row>
    <row r="3398" spans="1:4" x14ac:dyDescent="0.25">
      <c r="A3398" s="1">
        <v>42845</v>
      </c>
      <c r="B3398">
        <v>1</v>
      </c>
      <c r="C3398">
        <v>2</v>
      </c>
      <c r="D3398">
        <v>48</v>
      </c>
    </row>
    <row r="3399" spans="1:4" x14ac:dyDescent="0.25">
      <c r="A3399" s="1">
        <v>42846</v>
      </c>
      <c r="B3399">
        <v>1</v>
      </c>
      <c r="C3399">
        <v>2</v>
      </c>
      <c r="D3399">
        <v>61</v>
      </c>
    </row>
    <row r="3400" spans="1:4" x14ac:dyDescent="0.25">
      <c r="A3400" s="1">
        <v>42847</v>
      </c>
      <c r="B3400">
        <v>1</v>
      </c>
      <c r="C3400">
        <v>2</v>
      </c>
      <c r="D3400">
        <v>71</v>
      </c>
    </row>
    <row r="3401" spans="1:4" x14ac:dyDescent="0.25">
      <c r="A3401" s="1">
        <v>42848</v>
      </c>
      <c r="B3401">
        <v>1</v>
      </c>
      <c r="C3401">
        <v>2</v>
      </c>
      <c r="D3401">
        <v>88</v>
      </c>
    </row>
    <row r="3402" spans="1:4" x14ac:dyDescent="0.25">
      <c r="A3402" s="1">
        <v>42849</v>
      </c>
      <c r="B3402">
        <v>1</v>
      </c>
      <c r="C3402">
        <v>2</v>
      </c>
      <c r="D3402">
        <v>54</v>
      </c>
    </row>
    <row r="3403" spans="1:4" x14ac:dyDescent="0.25">
      <c r="A3403" s="1">
        <v>42850</v>
      </c>
      <c r="B3403">
        <v>1</v>
      </c>
      <c r="C3403">
        <v>2</v>
      </c>
      <c r="D3403">
        <v>61</v>
      </c>
    </row>
    <row r="3404" spans="1:4" x14ac:dyDescent="0.25">
      <c r="A3404" s="1">
        <v>42851</v>
      </c>
      <c r="B3404">
        <v>1</v>
      </c>
      <c r="C3404">
        <v>2</v>
      </c>
      <c r="D3404">
        <v>59</v>
      </c>
    </row>
    <row r="3405" spans="1:4" x14ac:dyDescent="0.25">
      <c r="A3405" s="1">
        <v>42852</v>
      </c>
      <c r="B3405">
        <v>1</v>
      </c>
      <c r="C3405">
        <v>2</v>
      </c>
      <c r="D3405">
        <v>58</v>
      </c>
    </row>
    <row r="3406" spans="1:4" x14ac:dyDescent="0.25">
      <c r="A3406" s="1">
        <v>42853</v>
      </c>
      <c r="B3406">
        <v>1</v>
      </c>
      <c r="C3406">
        <v>2</v>
      </c>
      <c r="D3406">
        <v>61</v>
      </c>
    </row>
    <row r="3407" spans="1:4" x14ac:dyDescent="0.25">
      <c r="A3407" s="1">
        <v>42854</v>
      </c>
      <c r="B3407">
        <v>1</v>
      </c>
      <c r="C3407">
        <v>2</v>
      </c>
      <c r="D3407">
        <v>84</v>
      </c>
    </row>
    <row r="3408" spans="1:4" x14ac:dyDescent="0.25">
      <c r="A3408" s="1">
        <v>42855</v>
      </c>
      <c r="B3408">
        <v>1</v>
      </c>
      <c r="C3408">
        <v>2</v>
      </c>
      <c r="D3408">
        <v>80</v>
      </c>
    </row>
    <row r="3409" spans="1:4" x14ac:dyDescent="0.25">
      <c r="A3409" s="1">
        <v>42856</v>
      </c>
      <c r="B3409">
        <v>1</v>
      </c>
      <c r="C3409">
        <v>2</v>
      </c>
      <c r="D3409">
        <v>60</v>
      </c>
    </row>
    <row r="3410" spans="1:4" x14ac:dyDescent="0.25">
      <c r="A3410" s="1">
        <v>42857</v>
      </c>
      <c r="B3410">
        <v>1</v>
      </c>
      <c r="C3410">
        <v>2</v>
      </c>
      <c r="D3410">
        <v>66</v>
      </c>
    </row>
    <row r="3411" spans="1:4" x14ac:dyDescent="0.25">
      <c r="A3411" s="1">
        <v>42858</v>
      </c>
      <c r="B3411">
        <v>1</v>
      </c>
      <c r="C3411">
        <v>2</v>
      </c>
      <c r="D3411">
        <v>51</v>
      </c>
    </row>
    <row r="3412" spans="1:4" x14ac:dyDescent="0.25">
      <c r="A3412" s="1">
        <v>42859</v>
      </c>
      <c r="B3412">
        <v>1</v>
      </c>
      <c r="C3412">
        <v>2</v>
      </c>
      <c r="D3412">
        <v>63</v>
      </c>
    </row>
    <row r="3413" spans="1:4" x14ac:dyDescent="0.25">
      <c r="A3413" s="1">
        <v>42860</v>
      </c>
      <c r="B3413">
        <v>1</v>
      </c>
      <c r="C3413">
        <v>2</v>
      </c>
      <c r="D3413">
        <v>79</v>
      </c>
    </row>
    <row r="3414" spans="1:4" x14ac:dyDescent="0.25">
      <c r="A3414" s="1">
        <v>42861</v>
      </c>
      <c r="B3414">
        <v>1</v>
      </c>
      <c r="C3414">
        <v>2</v>
      </c>
      <c r="D3414">
        <v>76</v>
      </c>
    </row>
    <row r="3415" spans="1:4" x14ac:dyDescent="0.25">
      <c r="A3415" s="1">
        <v>42862</v>
      </c>
      <c r="B3415">
        <v>1</v>
      </c>
      <c r="C3415">
        <v>2</v>
      </c>
      <c r="D3415">
        <v>67</v>
      </c>
    </row>
    <row r="3416" spans="1:4" x14ac:dyDescent="0.25">
      <c r="A3416" s="1">
        <v>42863</v>
      </c>
      <c r="B3416">
        <v>1</v>
      </c>
      <c r="C3416">
        <v>2</v>
      </c>
      <c r="D3416">
        <v>64</v>
      </c>
    </row>
    <row r="3417" spans="1:4" x14ac:dyDescent="0.25">
      <c r="A3417" s="1">
        <v>42864</v>
      </c>
      <c r="B3417">
        <v>1</v>
      </c>
      <c r="C3417">
        <v>2</v>
      </c>
      <c r="D3417">
        <v>73</v>
      </c>
    </row>
    <row r="3418" spans="1:4" x14ac:dyDescent="0.25">
      <c r="A3418" s="1">
        <v>42865</v>
      </c>
      <c r="B3418">
        <v>1</v>
      </c>
      <c r="C3418">
        <v>2</v>
      </c>
      <c r="D3418">
        <v>55</v>
      </c>
    </row>
    <row r="3419" spans="1:4" x14ac:dyDescent="0.25">
      <c r="A3419" s="1">
        <v>42866</v>
      </c>
      <c r="B3419">
        <v>1</v>
      </c>
      <c r="C3419">
        <v>2</v>
      </c>
      <c r="D3419">
        <v>83</v>
      </c>
    </row>
    <row r="3420" spans="1:4" x14ac:dyDescent="0.25">
      <c r="A3420" s="1">
        <v>42867</v>
      </c>
      <c r="B3420">
        <v>1</v>
      </c>
      <c r="C3420">
        <v>2</v>
      </c>
      <c r="D3420">
        <v>82</v>
      </c>
    </row>
    <row r="3421" spans="1:4" x14ac:dyDescent="0.25">
      <c r="A3421" s="1">
        <v>42868</v>
      </c>
      <c r="B3421">
        <v>1</v>
      </c>
      <c r="C3421">
        <v>2</v>
      </c>
      <c r="D3421">
        <v>85</v>
      </c>
    </row>
    <row r="3422" spans="1:4" x14ac:dyDescent="0.25">
      <c r="A3422" s="1">
        <v>42869</v>
      </c>
      <c r="B3422">
        <v>1</v>
      </c>
      <c r="C3422">
        <v>2</v>
      </c>
      <c r="D3422">
        <v>85</v>
      </c>
    </row>
    <row r="3423" spans="1:4" x14ac:dyDescent="0.25">
      <c r="A3423" s="1">
        <v>42870</v>
      </c>
      <c r="B3423">
        <v>1</v>
      </c>
      <c r="C3423">
        <v>2</v>
      </c>
      <c r="D3423">
        <v>54</v>
      </c>
    </row>
    <row r="3424" spans="1:4" x14ac:dyDescent="0.25">
      <c r="A3424" s="1">
        <v>42871</v>
      </c>
      <c r="B3424">
        <v>1</v>
      </c>
      <c r="C3424">
        <v>2</v>
      </c>
      <c r="D3424">
        <v>61</v>
      </c>
    </row>
    <row r="3425" spans="1:4" x14ac:dyDescent="0.25">
      <c r="A3425" s="1">
        <v>42872</v>
      </c>
      <c r="B3425">
        <v>1</v>
      </c>
      <c r="C3425">
        <v>2</v>
      </c>
      <c r="D3425">
        <v>68</v>
      </c>
    </row>
    <row r="3426" spans="1:4" x14ac:dyDescent="0.25">
      <c r="A3426" s="1">
        <v>42873</v>
      </c>
      <c r="B3426">
        <v>1</v>
      </c>
      <c r="C3426">
        <v>2</v>
      </c>
      <c r="D3426">
        <v>76</v>
      </c>
    </row>
    <row r="3427" spans="1:4" x14ac:dyDescent="0.25">
      <c r="A3427" s="1">
        <v>42874</v>
      </c>
      <c r="B3427">
        <v>1</v>
      </c>
      <c r="C3427">
        <v>2</v>
      </c>
      <c r="D3427">
        <v>72</v>
      </c>
    </row>
    <row r="3428" spans="1:4" x14ac:dyDescent="0.25">
      <c r="A3428" s="1">
        <v>42875</v>
      </c>
      <c r="B3428">
        <v>1</v>
      </c>
      <c r="C3428">
        <v>2</v>
      </c>
      <c r="D3428">
        <v>89</v>
      </c>
    </row>
    <row r="3429" spans="1:4" x14ac:dyDescent="0.25">
      <c r="A3429" s="1">
        <v>42876</v>
      </c>
      <c r="B3429">
        <v>1</v>
      </c>
      <c r="C3429">
        <v>2</v>
      </c>
      <c r="D3429">
        <v>91</v>
      </c>
    </row>
    <row r="3430" spans="1:4" x14ac:dyDescent="0.25">
      <c r="A3430" s="1">
        <v>42877</v>
      </c>
      <c r="B3430">
        <v>1</v>
      </c>
      <c r="C3430">
        <v>2</v>
      </c>
      <c r="D3430">
        <v>48</v>
      </c>
    </row>
    <row r="3431" spans="1:4" x14ac:dyDescent="0.25">
      <c r="A3431" s="1">
        <v>42878</v>
      </c>
      <c r="B3431">
        <v>1</v>
      </c>
      <c r="C3431">
        <v>2</v>
      </c>
      <c r="D3431">
        <v>62</v>
      </c>
    </row>
    <row r="3432" spans="1:4" x14ac:dyDescent="0.25">
      <c r="A3432" s="1">
        <v>42879</v>
      </c>
      <c r="B3432">
        <v>1</v>
      </c>
      <c r="C3432">
        <v>2</v>
      </c>
      <c r="D3432">
        <v>73</v>
      </c>
    </row>
    <row r="3433" spans="1:4" x14ac:dyDescent="0.25">
      <c r="A3433" s="1">
        <v>42880</v>
      </c>
      <c r="B3433">
        <v>1</v>
      </c>
      <c r="C3433">
        <v>2</v>
      </c>
      <c r="D3433">
        <v>66</v>
      </c>
    </row>
    <row r="3434" spans="1:4" x14ac:dyDescent="0.25">
      <c r="A3434" s="1">
        <v>42881</v>
      </c>
      <c r="B3434">
        <v>1</v>
      </c>
      <c r="C3434">
        <v>2</v>
      </c>
      <c r="D3434">
        <v>66</v>
      </c>
    </row>
    <row r="3435" spans="1:4" x14ac:dyDescent="0.25">
      <c r="A3435" s="1">
        <v>42882</v>
      </c>
      <c r="B3435">
        <v>1</v>
      </c>
      <c r="C3435">
        <v>2</v>
      </c>
      <c r="D3435">
        <v>82</v>
      </c>
    </row>
    <row r="3436" spans="1:4" x14ac:dyDescent="0.25">
      <c r="A3436" s="1">
        <v>42883</v>
      </c>
      <c r="B3436">
        <v>1</v>
      </c>
      <c r="C3436">
        <v>2</v>
      </c>
      <c r="D3436">
        <v>48</v>
      </c>
    </row>
    <row r="3437" spans="1:4" x14ac:dyDescent="0.25">
      <c r="A3437" s="1">
        <v>42884</v>
      </c>
      <c r="B3437">
        <v>1</v>
      </c>
      <c r="C3437">
        <v>2</v>
      </c>
      <c r="D3437">
        <v>39</v>
      </c>
    </row>
    <row r="3438" spans="1:4" x14ac:dyDescent="0.25">
      <c r="A3438" s="1">
        <v>42885</v>
      </c>
      <c r="B3438">
        <v>1</v>
      </c>
      <c r="C3438">
        <v>2</v>
      </c>
      <c r="D3438">
        <v>57</v>
      </c>
    </row>
    <row r="3439" spans="1:4" x14ac:dyDescent="0.25">
      <c r="A3439" s="1">
        <v>42886</v>
      </c>
      <c r="B3439">
        <v>1</v>
      </c>
      <c r="C3439">
        <v>2</v>
      </c>
      <c r="D3439">
        <v>60</v>
      </c>
    </row>
    <row r="3440" spans="1:4" x14ac:dyDescent="0.25">
      <c r="A3440" s="1">
        <v>42887</v>
      </c>
      <c r="B3440">
        <v>1</v>
      </c>
      <c r="C3440">
        <v>2</v>
      </c>
      <c r="D3440">
        <v>83</v>
      </c>
    </row>
    <row r="3441" spans="1:4" x14ac:dyDescent="0.25">
      <c r="A3441" s="1">
        <v>42888</v>
      </c>
      <c r="B3441">
        <v>1</v>
      </c>
      <c r="C3441">
        <v>2</v>
      </c>
      <c r="D3441">
        <v>85</v>
      </c>
    </row>
    <row r="3442" spans="1:4" x14ac:dyDescent="0.25">
      <c r="A3442" s="1">
        <v>42889</v>
      </c>
      <c r="B3442">
        <v>1</v>
      </c>
      <c r="C3442">
        <v>2</v>
      </c>
      <c r="D3442">
        <v>106</v>
      </c>
    </row>
    <row r="3443" spans="1:4" x14ac:dyDescent="0.25">
      <c r="A3443" s="1">
        <v>42890</v>
      </c>
      <c r="B3443">
        <v>1</v>
      </c>
      <c r="C3443">
        <v>2</v>
      </c>
      <c r="D3443">
        <v>103</v>
      </c>
    </row>
    <row r="3444" spans="1:4" x14ac:dyDescent="0.25">
      <c r="A3444" s="1">
        <v>42891</v>
      </c>
      <c r="B3444">
        <v>1</v>
      </c>
      <c r="C3444">
        <v>2</v>
      </c>
      <c r="D3444">
        <v>54</v>
      </c>
    </row>
    <row r="3445" spans="1:4" x14ac:dyDescent="0.25">
      <c r="A3445" s="1">
        <v>42892</v>
      </c>
      <c r="B3445">
        <v>1</v>
      </c>
      <c r="C3445">
        <v>2</v>
      </c>
      <c r="D3445">
        <v>67</v>
      </c>
    </row>
    <row r="3446" spans="1:4" x14ac:dyDescent="0.25">
      <c r="A3446" s="1">
        <v>42893</v>
      </c>
      <c r="B3446">
        <v>1</v>
      </c>
      <c r="C3446">
        <v>2</v>
      </c>
      <c r="D3446">
        <v>67</v>
      </c>
    </row>
    <row r="3447" spans="1:4" x14ac:dyDescent="0.25">
      <c r="A3447" s="1">
        <v>42894</v>
      </c>
      <c r="B3447">
        <v>1</v>
      </c>
      <c r="C3447">
        <v>2</v>
      </c>
      <c r="D3447">
        <v>68</v>
      </c>
    </row>
    <row r="3448" spans="1:4" x14ac:dyDescent="0.25">
      <c r="A3448" s="1">
        <v>42895</v>
      </c>
      <c r="B3448">
        <v>1</v>
      </c>
      <c r="C3448">
        <v>2</v>
      </c>
      <c r="D3448">
        <v>75</v>
      </c>
    </row>
    <row r="3449" spans="1:4" x14ac:dyDescent="0.25">
      <c r="A3449" s="1">
        <v>42896</v>
      </c>
      <c r="B3449">
        <v>1</v>
      </c>
      <c r="C3449">
        <v>2</v>
      </c>
      <c r="D3449">
        <v>85</v>
      </c>
    </row>
    <row r="3450" spans="1:4" x14ac:dyDescent="0.25">
      <c r="A3450" s="1">
        <v>42897</v>
      </c>
      <c r="B3450">
        <v>1</v>
      </c>
      <c r="C3450">
        <v>2</v>
      </c>
      <c r="D3450">
        <v>87</v>
      </c>
    </row>
    <row r="3451" spans="1:4" x14ac:dyDescent="0.25">
      <c r="A3451" s="1">
        <v>42898</v>
      </c>
      <c r="B3451">
        <v>1</v>
      </c>
      <c r="C3451">
        <v>2</v>
      </c>
      <c r="D3451">
        <v>66</v>
      </c>
    </row>
    <row r="3452" spans="1:4" x14ac:dyDescent="0.25">
      <c r="A3452" s="1">
        <v>42899</v>
      </c>
      <c r="B3452">
        <v>1</v>
      </c>
      <c r="C3452">
        <v>2</v>
      </c>
      <c r="D3452">
        <v>79</v>
      </c>
    </row>
    <row r="3453" spans="1:4" x14ac:dyDescent="0.25">
      <c r="A3453" s="1">
        <v>42900</v>
      </c>
      <c r="B3453">
        <v>1</v>
      </c>
      <c r="C3453">
        <v>2</v>
      </c>
      <c r="D3453">
        <v>63</v>
      </c>
    </row>
    <row r="3454" spans="1:4" x14ac:dyDescent="0.25">
      <c r="A3454" s="1">
        <v>42901</v>
      </c>
      <c r="B3454">
        <v>1</v>
      </c>
      <c r="C3454">
        <v>2</v>
      </c>
      <c r="D3454">
        <v>77</v>
      </c>
    </row>
    <row r="3455" spans="1:4" x14ac:dyDescent="0.25">
      <c r="A3455" s="1">
        <v>42902</v>
      </c>
      <c r="B3455">
        <v>1</v>
      </c>
      <c r="C3455">
        <v>2</v>
      </c>
      <c r="D3455">
        <v>76</v>
      </c>
    </row>
    <row r="3456" spans="1:4" x14ac:dyDescent="0.25">
      <c r="A3456" s="1">
        <v>42903</v>
      </c>
      <c r="B3456">
        <v>1</v>
      </c>
      <c r="C3456">
        <v>2</v>
      </c>
      <c r="D3456">
        <v>82</v>
      </c>
    </row>
    <row r="3457" spans="1:4" x14ac:dyDescent="0.25">
      <c r="A3457" s="1">
        <v>42904</v>
      </c>
      <c r="B3457">
        <v>1</v>
      </c>
      <c r="C3457">
        <v>2</v>
      </c>
      <c r="D3457">
        <v>77</v>
      </c>
    </row>
    <row r="3458" spans="1:4" x14ac:dyDescent="0.25">
      <c r="A3458" s="1">
        <v>42905</v>
      </c>
      <c r="B3458">
        <v>1</v>
      </c>
      <c r="C3458">
        <v>2</v>
      </c>
      <c r="D3458">
        <v>54</v>
      </c>
    </row>
    <row r="3459" spans="1:4" x14ac:dyDescent="0.25">
      <c r="A3459" s="1">
        <v>42906</v>
      </c>
      <c r="B3459">
        <v>1</v>
      </c>
      <c r="C3459">
        <v>2</v>
      </c>
      <c r="D3459">
        <v>66</v>
      </c>
    </row>
    <row r="3460" spans="1:4" x14ac:dyDescent="0.25">
      <c r="A3460" s="1">
        <v>42907</v>
      </c>
      <c r="B3460">
        <v>1</v>
      </c>
      <c r="C3460">
        <v>2</v>
      </c>
      <c r="D3460">
        <v>56</v>
      </c>
    </row>
    <row r="3461" spans="1:4" x14ac:dyDescent="0.25">
      <c r="A3461" s="1">
        <v>42908</v>
      </c>
      <c r="B3461">
        <v>1</v>
      </c>
      <c r="C3461">
        <v>2</v>
      </c>
      <c r="D3461">
        <v>64</v>
      </c>
    </row>
    <row r="3462" spans="1:4" x14ac:dyDescent="0.25">
      <c r="A3462" s="1">
        <v>42909</v>
      </c>
      <c r="B3462">
        <v>1</v>
      </c>
      <c r="C3462">
        <v>2</v>
      </c>
      <c r="D3462">
        <v>75</v>
      </c>
    </row>
    <row r="3463" spans="1:4" x14ac:dyDescent="0.25">
      <c r="A3463" s="1">
        <v>42910</v>
      </c>
      <c r="B3463">
        <v>1</v>
      </c>
      <c r="C3463">
        <v>2</v>
      </c>
      <c r="D3463">
        <v>88</v>
      </c>
    </row>
    <row r="3464" spans="1:4" x14ac:dyDescent="0.25">
      <c r="A3464" s="1">
        <v>42911</v>
      </c>
      <c r="B3464">
        <v>1</v>
      </c>
      <c r="C3464">
        <v>2</v>
      </c>
      <c r="D3464">
        <v>101</v>
      </c>
    </row>
    <row r="3465" spans="1:4" x14ac:dyDescent="0.25">
      <c r="A3465" s="1">
        <v>42912</v>
      </c>
      <c r="B3465">
        <v>1</v>
      </c>
      <c r="C3465">
        <v>2</v>
      </c>
      <c r="D3465">
        <v>48</v>
      </c>
    </row>
    <row r="3466" spans="1:4" x14ac:dyDescent="0.25">
      <c r="A3466" s="1">
        <v>42913</v>
      </c>
      <c r="B3466">
        <v>1</v>
      </c>
      <c r="C3466">
        <v>2</v>
      </c>
      <c r="D3466">
        <v>53</v>
      </c>
    </row>
    <row r="3467" spans="1:4" x14ac:dyDescent="0.25">
      <c r="A3467" s="1">
        <v>42914</v>
      </c>
      <c r="B3467">
        <v>1</v>
      </c>
      <c r="C3467">
        <v>2</v>
      </c>
      <c r="D3467">
        <v>63</v>
      </c>
    </row>
    <row r="3468" spans="1:4" x14ac:dyDescent="0.25">
      <c r="A3468" s="1">
        <v>42915</v>
      </c>
      <c r="B3468">
        <v>1</v>
      </c>
      <c r="C3468">
        <v>2</v>
      </c>
      <c r="D3468">
        <v>64</v>
      </c>
    </row>
    <row r="3469" spans="1:4" x14ac:dyDescent="0.25">
      <c r="A3469" s="1">
        <v>42916</v>
      </c>
      <c r="B3469">
        <v>1</v>
      </c>
      <c r="C3469">
        <v>2</v>
      </c>
      <c r="D3469">
        <v>82</v>
      </c>
    </row>
    <row r="3470" spans="1:4" x14ac:dyDescent="0.25">
      <c r="A3470" s="1">
        <v>42917</v>
      </c>
      <c r="B3470">
        <v>1</v>
      </c>
      <c r="C3470">
        <v>2</v>
      </c>
      <c r="D3470">
        <v>83</v>
      </c>
    </row>
    <row r="3471" spans="1:4" x14ac:dyDescent="0.25">
      <c r="A3471" s="1">
        <v>42918</v>
      </c>
      <c r="B3471">
        <v>1</v>
      </c>
      <c r="C3471">
        <v>2</v>
      </c>
      <c r="D3471">
        <v>98</v>
      </c>
    </row>
    <row r="3472" spans="1:4" x14ac:dyDescent="0.25">
      <c r="A3472" s="1">
        <v>42919</v>
      </c>
      <c r="B3472">
        <v>1</v>
      </c>
      <c r="C3472">
        <v>2</v>
      </c>
      <c r="D3472">
        <v>52</v>
      </c>
    </row>
    <row r="3473" spans="1:4" x14ac:dyDescent="0.25">
      <c r="A3473" s="1">
        <v>42920</v>
      </c>
      <c r="B3473">
        <v>1</v>
      </c>
      <c r="C3473">
        <v>2</v>
      </c>
      <c r="D3473">
        <v>66</v>
      </c>
    </row>
    <row r="3474" spans="1:4" x14ac:dyDescent="0.25">
      <c r="A3474" s="1">
        <v>42921</v>
      </c>
      <c r="B3474">
        <v>1</v>
      </c>
      <c r="C3474">
        <v>2</v>
      </c>
      <c r="D3474">
        <v>67</v>
      </c>
    </row>
    <row r="3475" spans="1:4" x14ac:dyDescent="0.25">
      <c r="A3475" s="1">
        <v>42922</v>
      </c>
      <c r="B3475">
        <v>1</v>
      </c>
      <c r="C3475">
        <v>2</v>
      </c>
      <c r="D3475">
        <v>67</v>
      </c>
    </row>
    <row r="3476" spans="1:4" x14ac:dyDescent="0.25">
      <c r="A3476" s="1">
        <v>42923</v>
      </c>
      <c r="B3476">
        <v>1</v>
      </c>
      <c r="C3476">
        <v>2</v>
      </c>
      <c r="D3476">
        <v>80</v>
      </c>
    </row>
    <row r="3477" spans="1:4" x14ac:dyDescent="0.25">
      <c r="A3477" s="1">
        <v>42924</v>
      </c>
      <c r="B3477">
        <v>1</v>
      </c>
      <c r="C3477">
        <v>2</v>
      </c>
      <c r="D3477">
        <v>94</v>
      </c>
    </row>
    <row r="3478" spans="1:4" x14ac:dyDescent="0.25">
      <c r="A3478" s="1">
        <v>42925</v>
      </c>
      <c r="B3478">
        <v>1</v>
      </c>
      <c r="C3478">
        <v>2</v>
      </c>
      <c r="D3478">
        <v>97</v>
      </c>
    </row>
    <row r="3479" spans="1:4" x14ac:dyDescent="0.25">
      <c r="A3479" s="1">
        <v>42926</v>
      </c>
      <c r="B3479">
        <v>1</v>
      </c>
      <c r="C3479">
        <v>2</v>
      </c>
      <c r="D3479">
        <v>49</v>
      </c>
    </row>
    <row r="3480" spans="1:4" x14ac:dyDescent="0.25">
      <c r="A3480" s="1">
        <v>42927</v>
      </c>
      <c r="B3480">
        <v>1</v>
      </c>
      <c r="C3480">
        <v>2</v>
      </c>
      <c r="D3480">
        <v>65</v>
      </c>
    </row>
    <row r="3481" spans="1:4" x14ac:dyDescent="0.25">
      <c r="A3481" s="1">
        <v>42928</v>
      </c>
      <c r="B3481">
        <v>1</v>
      </c>
      <c r="C3481">
        <v>2</v>
      </c>
      <c r="D3481">
        <v>76</v>
      </c>
    </row>
    <row r="3482" spans="1:4" x14ac:dyDescent="0.25">
      <c r="A3482" s="1">
        <v>42929</v>
      </c>
      <c r="B3482">
        <v>1</v>
      </c>
      <c r="C3482">
        <v>2</v>
      </c>
      <c r="D3482">
        <v>63</v>
      </c>
    </row>
    <row r="3483" spans="1:4" x14ac:dyDescent="0.25">
      <c r="A3483" s="1">
        <v>42930</v>
      </c>
      <c r="B3483">
        <v>1</v>
      </c>
      <c r="C3483">
        <v>2</v>
      </c>
      <c r="D3483">
        <v>84</v>
      </c>
    </row>
    <row r="3484" spans="1:4" x14ac:dyDescent="0.25">
      <c r="A3484" s="1">
        <v>42931</v>
      </c>
      <c r="B3484">
        <v>1</v>
      </c>
      <c r="C3484">
        <v>2</v>
      </c>
      <c r="D3484">
        <v>86</v>
      </c>
    </row>
    <row r="3485" spans="1:4" x14ac:dyDescent="0.25">
      <c r="A3485" s="1">
        <v>42932</v>
      </c>
      <c r="B3485">
        <v>1</v>
      </c>
      <c r="C3485">
        <v>2</v>
      </c>
      <c r="D3485">
        <v>115</v>
      </c>
    </row>
    <row r="3486" spans="1:4" x14ac:dyDescent="0.25">
      <c r="A3486" s="1">
        <v>42933</v>
      </c>
      <c r="B3486">
        <v>1</v>
      </c>
      <c r="C3486">
        <v>2</v>
      </c>
      <c r="D3486">
        <v>64</v>
      </c>
    </row>
    <row r="3487" spans="1:4" x14ac:dyDescent="0.25">
      <c r="A3487" s="1">
        <v>42934</v>
      </c>
      <c r="B3487">
        <v>1</v>
      </c>
      <c r="C3487">
        <v>2</v>
      </c>
      <c r="D3487">
        <v>76</v>
      </c>
    </row>
    <row r="3488" spans="1:4" x14ac:dyDescent="0.25">
      <c r="A3488" s="1">
        <v>42935</v>
      </c>
      <c r="B3488">
        <v>1</v>
      </c>
      <c r="C3488">
        <v>2</v>
      </c>
      <c r="D3488">
        <v>81</v>
      </c>
    </row>
    <row r="3489" spans="1:4" x14ac:dyDescent="0.25">
      <c r="A3489" s="1">
        <v>42936</v>
      </c>
      <c r="B3489">
        <v>1</v>
      </c>
      <c r="C3489">
        <v>2</v>
      </c>
      <c r="D3489">
        <v>76</v>
      </c>
    </row>
    <row r="3490" spans="1:4" x14ac:dyDescent="0.25">
      <c r="A3490" s="1">
        <v>42937</v>
      </c>
      <c r="B3490">
        <v>1</v>
      </c>
      <c r="C3490">
        <v>2</v>
      </c>
      <c r="D3490">
        <v>81</v>
      </c>
    </row>
    <row r="3491" spans="1:4" x14ac:dyDescent="0.25">
      <c r="A3491" s="1">
        <v>42938</v>
      </c>
      <c r="B3491">
        <v>1</v>
      </c>
      <c r="C3491">
        <v>2</v>
      </c>
      <c r="D3491">
        <v>94</v>
      </c>
    </row>
    <row r="3492" spans="1:4" x14ac:dyDescent="0.25">
      <c r="A3492" s="1">
        <v>42939</v>
      </c>
      <c r="B3492">
        <v>1</v>
      </c>
      <c r="C3492">
        <v>2</v>
      </c>
      <c r="D3492">
        <v>89</v>
      </c>
    </row>
    <row r="3493" spans="1:4" x14ac:dyDescent="0.25">
      <c r="A3493" s="1">
        <v>42940</v>
      </c>
      <c r="B3493">
        <v>1</v>
      </c>
      <c r="C3493">
        <v>2</v>
      </c>
      <c r="D3493">
        <v>53</v>
      </c>
    </row>
    <row r="3494" spans="1:4" x14ac:dyDescent="0.25">
      <c r="A3494" s="1">
        <v>42941</v>
      </c>
      <c r="B3494">
        <v>1</v>
      </c>
      <c r="C3494">
        <v>2</v>
      </c>
      <c r="D3494">
        <v>70</v>
      </c>
    </row>
    <row r="3495" spans="1:4" x14ac:dyDescent="0.25">
      <c r="A3495" s="1">
        <v>42942</v>
      </c>
      <c r="B3495">
        <v>1</v>
      </c>
      <c r="C3495">
        <v>2</v>
      </c>
      <c r="D3495">
        <v>67</v>
      </c>
    </row>
    <row r="3496" spans="1:4" x14ac:dyDescent="0.25">
      <c r="A3496" s="1">
        <v>42943</v>
      </c>
      <c r="B3496">
        <v>1</v>
      </c>
      <c r="C3496">
        <v>2</v>
      </c>
      <c r="D3496">
        <v>73</v>
      </c>
    </row>
    <row r="3497" spans="1:4" x14ac:dyDescent="0.25">
      <c r="A3497" s="1">
        <v>42944</v>
      </c>
      <c r="B3497">
        <v>1</v>
      </c>
      <c r="C3497">
        <v>2</v>
      </c>
      <c r="D3497">
        <v>73</v>
      </c>
    </row>
    <row r="3498" spans="1:4" x14ac:dyDescent="0.25">
      <c r="A3498" s="1">
        <v>42945</v>
      </c>
      <c r="B3498">
        <v>1</v>
      </c>
      <c r="C3498">
        <v>2</v>
      </c>
      <c r="D3498">
        <v>86</v>
      </c>
    </row>
    <row r="3499" spans="1:4" x14ac:dyDescent="0.25">
      <c r="A3499" s="1">
        <v>42946</v>
      </c>
      <c r="B3499">
        <v>1</v>
      </c>
      <c r="C3499">
        <v>2</v>
      </c>
      <c r="D3499">
        <v>86</v>
      </c>
    </row>
    <row r="3500" spans="1:4" x14ac:dyDescent="0.25">
      <c r="A3500" s="1">
        <v>42947</v>
      </c>
      <c r="B3500">
        <v>1</v>
      </c>
      <c r="C3500">
        <v>2</v>
      </c>
      <c r="D3500">
        <v>59</v>
      </c>
    </row>
    <row r="3501" spans="1:4" x14ac:dyDescent="0.25">
      <c r="A3501" s="1">
        <v>42948</v>
      </c>
      <c r="B3501">
        <v>1</v>
      </c>
      <c r="C3501">
        <v>2</v>
      </c>
      <c r="D3501">
        <v>58</v>
      </c>
    </row>
    <row r="3502" spans="1:4" x14ac:dyDescent="0.25">
      <c r="A3502" s="1">
        <v>42949</v>
      </c>
      <c r="B3502">
        <v>1</v>
      </c>
      <c r="C3502">
        <v>2</v>
      </c>
      <c r="D3502">
        <v>59</v>
      </c>
    </row>
    <row r="3503" spans="1:4" x14ac:dyDescent="0.25">
      <c r="A3503" s="1">
        <v>42950</v>
      </c>
      <c r="B3503">
        <v>1</v>
      </c>
      <c r="C3503">
        <v>2</v>
      </c>
      <c r="D3503">
        <v>72</v>
      </c>
    </row>
    <row r="3504" spans="1:4" x14ac:dyDescent="0.25">
      <c r="A3504" s="1">
        <v>42951</v>
      </c>
      <c r="B3504">
        <v>1</v>
      </c>
      <c r="C3504">
        <v>2</v>
      </c>
      <c r="D3504">
        <v>77</v>
      </c>
    </row>
    <row r="3505" spans="1:4" x14ac:dyDescent="0.25">
      <c r="A3505" s="1">
        <v>42952</v>
      </c>
      <c r="B3505">
        <v>1</v>
      </c>
      <c r="C3505">
        <v>2</v>
      </c>
      <c r="D3505">
        <v>65</v>
      </c>
    </row>
    <row r="3506" spans="1:4" x14ac:dyDescent="0.25">
      <c r="A3506" s="1">
        <v>42953</v>
      </c>
      <c r="B3506">
        <v>1</v>
      </c>
      <c r="C3506">
        <v>2</v>
      </c>
      <c r="D3506">
        <v>89</v>
      </c>
    </row>
    <row r="3507" spans="1:4" x14ac:dyDescent="0.25">
      <c r="A3507" s="1">
        <v>42954</v>
      </c>
      <c r="B3507">
        <v>1</v>
      </c>
      <c r="C3507">
        <v>2</v>
      </c>
      <c r="D3507">
        <v>54</v>
      </c>
    </row>
    <row r="3508" spans="1:4" x14ac:dyDescent="0.25">
      <c r="A3508" s="1">
        <v>42955</v>
      </c>
      <c r="B3508">
        <v>1</v>
      </c>
      <c r="C3508">
        <v>2</v>
      </c>
      <c r="D3508">
        <v>81</v>
      </c>
    </row>
    <row r="3509" spans="1:4" x14ac:dyDescent="0.25">
      <c r="A3509" s="1">
        <v>42956</v>
      </c>
      <c r="B3509">
        <v>1</v>
      </c>
      <c r="C3509">
        <v>2</v>
      </c>
      <c r="D3509">
        <v>58</v>
      </c>
    </row>
    <row r="3510" spans="1:4" x14ac:dyDescent="0.25">
      <c r="A3510" s="1">
        <v>42957</v>
      </c>
      <c r="B3510">
        <v>1</v>
      </c>
      <c r="C3510">
        <v>2</v>
      </c>
      <c r="D3510">
        <v>72</v>
      </c>
    </row>
    <row r="3511" spans="1:4" x14ac:dyDescent="0.25">
      <c r="A3511" s="1">
        <v>42958</v>
      </c>
      <c r="B3511">
        <v>1</v>
      </c>
      <c r="C3511">
        <v>2</v>
      </c>
      <c r="D3511">
        <v>74</v>
      </c>
    </row>
    <row r="3512" spans="1:4" x14ac:dyDescent="0.25">
      <c r="A3512" s="1">
        <v>42959</v>
      </c>
      <c r="B3512">
        <v>1</v>
      </c>
      <c r="C3512">
        <v>2</v>
      </c>
      <c r="D3512">
        <v>67</v>
      </c>
    </row>
    <row r="3513" spans="1:4" x14ac:dyDescent="0.25">
      <c r="A3513" s="1">
        <v>42960</v>
      </c>
      <c r="B3513">
        <v>1</v>
      </c>
      <c r="C3513">
        <v>2</v>
      </c>
      <c r="D3513">
        <v>78</v>
      </c>
    </row>
    <row r="3514" spans="1:4" x14ac:dyDescent="0.25">
      <c r="A3514" s="1">
        <v>42961</v>
      </c>
      <c r="B3514">
        <v>1</v>
      </c>
      <c r="C3514">
        <v>2</v>
      </c>
      <c r="D3514">
        <v>50</v>
      </c>
    </row>
    <row r="3515" spans="1:4" x14ac:dyDescent="0.25">
      <c r="A3515" s="1">
        <v>42962</v>
      </c>
      <c r="B3515">
        <v>1</v>
      </c>
      <c r="C3515">
        <v>2</v>
      </c>
      <c r="D3515">
        <v>59</v>
      </c>
    </row>
    <row r="3516" spans="1:4" x14ac:dyDescent="0.25">
      <c r="A3516" s="1">
        <v>42963</v>
      </c>
      <c r="B3516">
        <v>1</v>
      </c>
      <c r="C3516">
        <v>2</v>
      </c>
      <c r="D3516">
        <v>48</v>
      </c>
    </row>
    <row r="3517" spans="1:4" x14ac:dyDescent="0.25">
      <c r="A3517" s="1">
        <v>42964</v>
      </c>
      <c r="B3517">
        <v>1</v>
      </c>
      <c r="C3517">
        <v>2</v>
      </c>
      <c r="D3517">
        <v>64</v>
      </c>
    </row>
    <row r="3518" spans="1:4" x14ac:dyDescent="0.25">
      <c r="A3518" s="1">
        <v>42965</v>
      </c>
      <c r="B3518">
        <v>1</v>
      </c>
      <c r="C3518">
        <v>2</v>
      </c>
      <c r="D3518">
        <v>70</v>
      </c>
    </row>
    <row r="3519" spans="1:4" x14ac:dyDescent="0.25">
      <c r="A3519" s="1">
        <v>42966</v>
      </c>
      <c r="B3519">
        <v>1</v>
      </c>
      <c r="C3519">
        <v>2</v>
      </c>
      <c r="D3519">
        <v>78</v>
      </c>
    </row>
    <row r="3520" spans="1:4" x14ac:dyDescent="0.25">
      <c r="A3520" s="1">
        <v>42967</v>
      </c>
      <c r="B3520">
        <v>1</v>
      </c>
      <c r="C3520">
        <v>2</v>
      </c>
      <c r="D3520">
        <v>90</v>
      </c>
    </row>
    <row r="3521" spans="1:4" x14ac:dyDescent="0.25">
      <c r="A3521" s="1">
        <v>42968</v>
      </c>
      <c r="B3521">
        <v>1</v>
      </c>
      <c r="C3521">
        <v>2</v>
      </c>
      <c r="D3521">
        <v>46</v>
      </c>
    </row>
    <row r="3522" spans="1:4" x14ac:dyDescent="0.25">
      <c r="A3522" s="1">
        <v>42969</v>
      </c>
      <c r="B3522">
        <v>1</v>
      </c>
      <c r="C3522">
        <v>2</v>
      </c>
      <c r="D3522">
        <v>62</v>
      </c>
    </row>
    <row r="3523" spans="1:4" x14ac:dyDescent="0.25">
      <c r="A3523" s="1">
        <v>42970</v>
      </c>
      <c r="B3523">
        <v>1</v>
      </c>
      <c r="C3523">
        <v>2</v>
      </c>
      <c r="D3523">
        <v>65</v>
      </c>
    </row>
    <row r="3524" spans="1:4" x14ac:dyDescent="0.25">
      <c r="A3524" s="1">
        <v>42971</v>
      </c>
      <c r="B3524">
        <v>1</v>
      </c>
      <c r="C3524">
        <v>2</v>
      </c>
      <c r="D3524">
        <v>69</v>
      </c>
    </row>
    <row r="3525" spans="1:4" x14ac:dyDescent="0.25">
      <c r="A3525" s="1">
        <v>42972</v>
      </c>
      <c r="B3525">
        <v>1</v>
      </c>
      <c r="C3525">
        <v>2</v>
      </c>
      <c r="D3525">
        <v>91</v>
      </c>
    </row>
    <row r="3526" spans="1:4" x14ac:dyDescent="0.25">
      <c r="A3526" s="1">
        <v>42973</v>
      </c>
      <c r="B3526">
        <v>1</v>
      </c>
      <c r="C3526">
        <v>2</v>
      </c>
      <c r="D3526">
        <v>70</v>
      </c>
    </row>
    <row r="3527" spans="1:4" x14ac:dyDescent="0.25">
      <c r="A3527" s="1">
        <v>42974</v>
      </c>
      <c r="B3527">
        <v>1</v>
      </c>
      <c r="C3527">
        <v>2</v>
      </c>
      <c r="D3527">
        <v>94</v>
      </c>
    </row>
    <row r="3528" spans="1:4" x14ac:dyDescent="0.25">
      <c r="A3528" s="1">
        <v>42975</v>
      </c>
      <c r="B3528">
        <v>1</v>
      </c>
      <c r="C3528">
        <v>2</v>
      </c>
      <c r="D3528">
        <v>55</v>
      </c>
    </row>
    <row r="3529" spans="1:4" x14ac:dyDescent="0.25">
      <c r="A3529" s="1">
        <v>42976</v>
      </c>
      <c r="B3529">
        <v>1</v>
      </c>
      <c r="C3529">
        <v>2</v>
      </c>
      <c r="D3529">
        <v>42</v>
      </c>
    </row>
    <row r="3530" spans="1:4" x14ac:dyDescent="0.25">
      <c r="A3530" s="1">
        <v>42977</v>
      </c>
      <c r="B3530">
        <v>1</v>
      </c>
      <c r="C3530">
        <v>2</v>
      </c>
      <c r="D3530">
        <v>77</v>
      </c>
    </row>
    <row r="3531" spans="1:4" x14ac:dyDescent="0.25">
      <c r="A3531" s="1">
        <v>42978</v>
      </c>
      <c r="B3531">
        <v>1</v>
      </c>
      <c r="C3531">
        <v>2</v>
      </c>
      <c r="D3531">
        <v>55</v>
      </c>
    </row>
    <row r="3532" spans="1:4" x14ac:dyDescent="0.25">
      <c r="A3532" s="1">
        <v>42979</v>
      </c>
      <c r="B3532">
        <v>1</v>
      </c>
      <c r="C3532">
        <v>2</v>
      </c>
      <c r="D3532">
        <v>67</v>
      </c>
    </row>
    <row r="3533" spans="1:4" x14ac:dyDescent="0.25">
      <c r="A3533" s="1">
        <v>42980</v>
      </c>
      <c r="B3533">
        <v>1</v>
      </c>
      <c r="C3533">
        <v>2</v>
      </c>
      <c r="D3533">
        <v>78</v>
      </c>
    </row>
    <row r="3534" spans="1:4" x14ac:dyDescent="0.25">
      <c r="A3534" s="1">
        <v>42981</v>
      </c>
      <c r="B3534">
        <v>1</v>
      </c>
      <c r="C3534">
        <v>2</v>
      </c>
      <c r="D3534">
        <v>87</v>
      </c>
    </row>
    <row r="3535" spans="1:4" x14ac:dyDescent="0.25">
      <c r="A3535" s="1">
        <v>42982</v>
      </c>
      <c r="B3535">
        <v>1</v>
      </c>
      <c r="C3535">
        <v>2</v>
      </c>
      <c r="D3535">
        <v>51</v>
      </c>
    </row>
    <row r="3536" spans="1:4" x14ac:dyDescent="0.25">
      <c r="A3536" s="1">
        <v>42983</v>
      </c>
      <c r="B3536">
        <v>1</v>
      </c>
      <c r="C3536">
        <v>2</v>
      </c>
      <c r="D3536">
        <v>54</v>
      </c>
    </row>
    <row r="3537" spans="1:4" x14ac:dyDescent="0.25">
      <c r="A3537" s="1">
        <v>42984</v>
      </c>
      <c r="B3537">
        <v>1</v>
      </c>
      <c r="C3537">
        <v>2</v>
      </c>
      <c r="D3537">
        <v>69</v>
      </c>
    </row>
    <row r="3538" spans="1:4" x14ac:dyDescent="0.25">
      <c r="A3538" s="1">
        <v>42985</v>
      </c>
      <c r="B3538">
        <v>1</v>
      </c>
      <c r="C3538">
        <v>2</v>
      </c>
      <c r="D3538">
        <v>59</v>
      </c>
    </row>
    <row r="3539" spans="1:4" x14ac:dyDescent="0.25">
      <c r="A3539" s="1">
        <v>42986</v>
      </c>
      <c r="B3539">
        <v>1</v>
      </c>
      <c r="C3539">
        <v>2</v>
      </c>
      <c r="D3539">
        <v>65</v>
      </c>
    </row>
    <row r="3540" spans="1:4" x14ac:dyDescent="0.25">
      <c r="A3540" s="1">
        <v>42987</v>
      </c>
      <c r="B3540">
        <v>1</v>
      </c>
      <c r="C3540">
        <v>2</v>
      </c>
      <c r="D3540">
        <v>71</v>
      </c>
    </row>
    <row r="3541" spans="1:4" x14ac:dyDescent="0.25">
      <c r="A3541" s="1">
        <v>42988</v>
      </c>
      <c r="B3541">
        <v>1</v>
      </c>
      <c r="C3541">
        <v>2</v>
      </c>
      <c r="D3541">
        <v>64</v>
      </c>
    </row>
    <row r="3542" spans="1:4" x14ac:dyDescent="0.25">
      <c r="A3542" s="1">
        <v>42989</v>
      </c>
      <c r="B3542">
        <v>1</v>
      </c>
      <c r="C3542">
        <v>2</v>
      </c>
      <c r="D3542">
        <v>44</v>
      </c>
    </row>
    <row r="3543" spans="1:4" x14ac:dyDescent="0.25">
      <c r="A3543" s="1">
        <v>42990</v>
      </c>
      <c r="B3543">
        <v>1</v>
      </c>
      <c r="C3543">
        <v>2</v>
      </c>
      <c r="D3543">
        <v>58</v>
      </c>
    </row>
    <row r="3544" spans="1:4" x14ac:dyDescent="0.25">
      <c r="A3544" s="1">
        <v>42991</v>
      </c>
      <c r="B3544">
        <v>1</v>
      </c>
      <c r="C3544">
        <v>2</v>
      </c>
      <c r="D3544">
        <v>57</v>
      </c>
    </row>
    <row r="3545" spans="1:4" x14ac:dyDescent="0.25">
      <c r="A3545" s="1">
        <v>42992</v>
      </c>
      <c r="B3545">
        <v>1</v>
      </c>
      <c r="C3545">
        <v>2</v>
      </c>
      <c r="D3545">
        <v>71</v>
      </c>
    </row>
    <row r="3546" spans="1:4" x14ac:dyDescent="0.25">
      <c r="A3546" s="1">
        <v>42993</v>
      </c>
      <c r="B3546">
        <v>1</v>
      </c>
      <c r="C3546">
        <v>2</v>
      </c>
      <c r="D3546">
        <v>60</v>
      </c>
    </row>
    <row r="3547" spans="1:4" x14ac:dyDescent="0.25">
      <c r="A3547" s="1">
        <v>42994</v>
      </c>
      <c r="B3547">
        <v>1</v>
      </c>
      <c r="C3547">
        <v>2</v>
      </c>
      <c r="D3547">
        <v>75</v>
      </c>
    </row>
    <row r="3548" spans="1:4" x14ac:dyDescent="0.25">
      <c r="A3548" s="1">
        <v>42995</v>
      </c>
      <c r="B3548">
        <v>1</v>
      </c>
      <c r="C3548">
        <v>2</v>
      </c>
      <c r="D3548">
        <v>58</v>
      </c>
    </row>
    <row r="3549" spans="1:4" x14ac:dyDescent="0.25">
      <c r="A3549" s="1">
        <v>42996</v>
      </c>
      <c r="B3549">
        <v>1</v>
      </c>
      <c r="C3549">
        <v>2</v>
      </c>
      <c r="D3549">
        <v>47</v>
      </c>
    </row>
    <row r="3550" spans="1:4" x14ac:dyDescent="0.25">
      <c r="A3550" s="1">
        <v>42997</v>
      </c>
      <c r="B3550">
        <v>1</v>
      </c>
      <c r="C3550">
        <v>2</v>
      </c>
      <c r="D3550">
        <v>66</v>
      </c>
    </row>
    <row r="3551" spans="1:4" x14ac:dyDescent="0.25">
      <c r="A3551" s="1">
        <v>42998</v>
      </c>
      <c r="B3551">
        <v>1</v>
      </c>
      <c r="C3551">
        <v>2</v>
      </c>
      <c r="D3551">
        <v>61</v>
      </c>
    </row>
    <row r="3552" spans="1:4" x14ac:dyDescent="0.25">
      <c r="A3552" s="1">
        <v>42999</v>
      </c>
      <c r="B3552">
        <v>1</v>
      </c>
      <c r="C3552">
        <v>2</v>
      </c>
      <c r="D3552">
        <v>66</v>
      </c>
    </row>
    <row r="3553" spans="1:4" x14ac:dyDescent="0.25">
      <c r="A3553" s="1">
        <v>43000</v>
      </c>
      <c r="B3553">
        <v>1</v>
      </c>
      <c r="C3553">
        <v>2</v>
      </c>
      <c r="D3553">
        <v>70</v>
      </c>
    </row>
    <row r="3554" spans="1:4" x14ac:dyDescent="0.25">
      <c r="A3554" s="1">
        <v>43001</v>
      </c>
      <c r="B3554">
        <v>1</v>
      </c>
      <c r="C3554">
        <v>2</v>
      </c>
      <c r="D3554">
        <v>85</v>
      </c>
    </row>
    <row r="3555" spans="1:4" x14ac:dyDescent="0.25">
      <c r="A3555" s="1">
        <v>43002</v>
      </c>
      <c r="B3555">
        <v>1</v>
      </c>
      <c r="C3555">
        <v>2</v>
      </c>
      <c r="D3555">
        <v>73</v>
      </c>
    </row>
    <row r="3556" spans="1:4" x14ac:dyDescent="0.25">
      <c r="A3556" s="1">
        <v>43003</v>
      </c>
      <c r="B3556">
        <v>1</v>
      </c>
      <c r="C3556">
        <v>2</v>
      </c>
      <c r="D3556">
        <v>49</v>
      </c>
    </row>
    <row r="3557" spans="1:4" x14ac:dyDescent="0.25">
      <c r="A3557" s="1">
        <v>43004</v>
      </c>
      <c r="B3557">
        <v>1</v>
      </c>
      <c r="C3557">
        <v>2</v>
      </c>
      <c r="D3557">
        <v>61</v>
      </c>
    </row>
    <row r="3558" spans="1:4" x14ac:dyDescent="0.25">
      <c r="A3558" s="1">
        <v>43005</v>
      </c>
      <c r="B3558">
        <v>1</v>
      </c>
      <c r="C3558">
        <v>2</v>
      </c>
      <c r="D3558">
        <v>57</v>
      </c>
    </row>
    <row r="3559" spans="1:4" x14ac:dyDescent="0.25">
      <c r="A3559" s="1">
        <v>43006</v>
      </c>
      <c r="B3559">
        <v>1</v>
      </c>
      <c r="C3559">
        <v>2</v>
      </c>
      <c r="D3559">
        <v>55</v>
      </c>
    </row>
    <row r="3560" spans="1:4" x14ac:dyDescent="0.25">
      <c r="A3560" s="1">
        <v>43007</v>
      </c>
      <c r="B3560">
        <v>1</v>
      </c>
      <c r="C3560">
        <v>2</v>
      </c>
      <c r="D3560">
        <v>66</v>
      </c>
    </row>
    <row r="3561" spans="1:4" x14ac:dyDescent="0.25">
      <c r="A3561" s="1">
        <v>43008</v>
      </c>
      <c r="B3561">
        <v>1</v>
      </c>
      <c r="C3561">
        <v>2</v>
      </c>
      <c r="D3561">
        <v>79</v>
      </c>
    </row>
    <row r="3562" spans="1:4" x14ac:dyDescent="0.25">
      <c r="A3562" s="1">
        <v>43009</v>
      </c>
      <c r="B3562">
        <v>1</v>
      </c>
      <c r="C3562">
        <v>2</v>
      </c>
      <c r="D3562">
        <v>60</v>
      </c>
    </row>
    <row r="3563" spans="1:4" x14ac:dyDescent="0.25">
      <c r="A3563" s="1">
        <v>43010</v>
      </c>
      <c r="B3563">
        <v>1</v>
      </c>
      <c r="C3563">
        <v>2</v>
      </c>
      <c r="D3563">
        <v>56</v>
      </c>
    </row>
    <row r="3564" spans="1:4" x14ac:dyDescent="0.25">
      <c r="A3564" s="1">
        <v>43011</v>
      </c>
      <c r="B3564">
        <v>1</v>
      </c>
      <c r="C3564">
        <v>2</v>
      </c>
      <c r="D3564">
        <v>55</v>
      </c>
    </row>
    <row r="3565" spans="1:4" x14ac:dyDescent="0.25">
      <c r="A3565" s="1">
        <v>43012</v>
      </c>
      <c r="B3565">
        <v>1</v>
      </c>
      <c r="C3565">
        <v>2</v>
      </c>
      <c r="D3565">
        <v>55</v>
      </c>
    </row>
    <row r="3566" spans="1:4" x14ac:dyDescent="0.25">
      <c r="A3566" s="1">
        <v>43013</v>
      </c>
      <c r="B3566">
        <v>1</v>
      </c>
      <c r="C3566">
        <v>2</v>
      </c>
      <c r="D3566">
        <v>59</v>
      </c>
    </row>
    <row r="3567" spans="1:4" x14ac:dyDescent="0.25">
      <c r="A3567" s="1">
        <v>43014</v>
      </c>
      <c r="B3567">
        <v>1</v>
      </c>
      <c r="C3567">
        <v>2</v>
      </c>
      <c r="D3567">
        <v>54</v>
      </c>
    </row>
    <row r="3568" spans="1:4" x14ac:dyDescent="0.25">
      <c r="A3568" s="1">
        <v>43015</v>
      </c>
      <c r="B3568">
        <v>1</v>
      </c>
      <c r="C3568">
        <v>2</v>
      </c>
      <c r="D3568">
        <v>61</v>
      </c>
    </row>
    <row r="3569" spans="1:4" x14ac:dyDescent="0.25">
      <c r="A3569" s="1">
        <v>43016</v>
      </c>
      <c r="B3569">
        <v>1</v>
      </c>
      <c r="C3569">
        <v>2</v>
      </c>
      <c r="D3569">
        <v>60</v>
      </c>
    </row>
    <row r="3570" spans="1:4" x14ac:dyDescent="0.25">
      <c r="A3570" s="1">
        <v>43017</v>
      </c>
      <c r="B3570">
        <v>1</v>
      </c>
      <c r="C3570">
        <v>2</v>
      </c>
      <c r="D3570">
        <v>46</v>
      </c>
    </row>
    <row r="3571" spans="1:4" x14ac:dyDescent="0.25">
      <c r="A3571" s="1">
        <v>43018</v>
      </c>
      <c r="B3571">
        <v>1</v>
      </c>
      <c r="C3571">
        <v>2</v>
      </c>
      <c r="D3571">
        <v>52</v>
      </c>
    </row>
    <row r="3572" spans="1:4" x14ac:dyDescent="0.25">
      <c r="A3572" s="1">
        <v>43019</v>
      </c>
      <c r="B3572">
        <v>1</v>
      </c>
      <c r="C3572">
        <v>2</v>
      </c>
      <c r="D3572">
        <v>55</v>
      </c>
    </row>
    <row r="3573" spans="1:4" x14ac:dyDescent="0.25">
      <c r="A3573" s="1">
        <v>43020</v>
      </c>
      <c r="B3573">
        <v>1</v>
      </c>
      <c r="C3573">
        <v>2</v>
      </c>
      <c r="D3573">
        <v>48</v>
      </c>
    </row>
    <row r="3574" spans="1:4" x14ac:dyDescent="0.25">
      <c r="A3574" s="1">
        <v>43021</v>
      </c>
      <c r="B3574">
        <v>1</v>
      </c>
      <c r="C3574">
        <v>2</v>
      </c>
      <c r="D3574">
        <v>53</v>
      </c>
    </row>
    <row r="3575" spans="1:4" x14ac:dyDescent="0.25">
      <c r="A3575" s="1">
        <v>43022</v>
      </c>
      <c r="B3575">
        <v>1</v>
      </c>
      <c r="C3575">
        <v>2</v>
      </c>
      <c r="D3575">
        <v>64</v>
      </c>
    </row>
    <row r="3576" spans="1:4" x14ac:dyDescent="0.25">
      <c r="A3576" s="1">
        <v>43023</v>
      </c>
      <c r="B3576">
        <v>1</v>
      </c>
      <c r="C3576">
        <v>2</v>
      </c>
      <c r="D3576">
        <v>64</v>
      </c>
    </row>
    <row r="3577" spans="1:4" x14ac:dyDescent="0.25">
      <c r="A3577" s="1">
        <v>43024</v>
      </c>
      <c r="B3577">
        <v>1</v>
      </c>
      <c r="C3577">
        <v>2</v>
      </c>
      <c r="D3577">
        <v>44</v>
      </c>
    </row>
    <row r="3578" spans="1:4" x14ac:dyDescent="0.25">
      <c r="A3578" s="1">
        <v>43025</v>
      </c>
      <c r="B3578">
        <v>1</v>
      </c>
      <c r="C3578">
        <v>2</v>
      </c>
      <c r="D3578">
        <v>47</v>
      </c>
    </row>
    <row r="3579" spans="1:4" x14ac:dyDescent="0.25">
      <c r="A3579" s="1">
        <v>43026</v>
      </c>
      <c r="B3579">
        <v>1</v>
      </c>
      <c r="C3579">
        <v>2</v>
      </c>
      <c r="D3579">
        <v>70</v>
      </c>
    </row>
    <row r="3580" spans="1:4" x14ac:dyDescent="0.25">
      <c r="A3580" s="1">
        <v>43027</v>
      </c>
      <c r="B3580">
        <v>1</v>
      </c>
      <c r="C3580">
        <v>2</v>
      </c>
      <c r="D3580">
        <v>45</v>
      </c>
    </row>
    <row r="3581" spans="1:4" x14ac:dyDescent="0.25">
      <c r="A3581" s="1">
        <v>43028</v>
      </c>
      <c r="B3581">
        <v>1</v>
      </c>
      <c r="C3581">
        <v>2</v>
      </c>
      <c r="D3581">
        <v>51</v>
      </c>
    </row>
    <row r="3582" spans="1:4" x14ac:dyDescent="0.25">
      <c r="A3582" s="1">
        <v>43029</v>
      </c>
      <c r="B3582">
        <v>1</v>
      </c>
      <c r="C3582">
        <v>2</v>
      </c>
      <c r="D3582">
        <v>70</v>
      </c>
    </row>
    <row r="3583" spans="1:4" x14ac:dyDescent="0.25">
      <c r="A3583" s="1">
        <v>43030</v>
      </c>
      <c r="B3583">
        <v>1</v>
      </c>
      <c r="C3583">
        <v>2</v>
      </c>
      <c r="D3583">
        <v>61</v>
      </c>
    </row>
    <row r="3584" spans="1:4" x14ac:dyDescent="0.25">
      <c r="A3584" s="1">
        <v>43031</v>
      </c>
      <c r="B3584">
        <v>1</v>
      </c>
      <c r="C3584">
        <v>2</v>
      </c>
      <c r="D3584">
        <v>45</v>
      </c>
    </row>
    <row r="3585" spans="1:4" x14ac:dyDescent="0.25">
      <c r="A3585" s="1">
        <v>43032</v>
      </c>
      <c r="B3585">
        <v>1</v>
      </c>
      <c r="C3585">
        <v>2</v>
      </c>
      <c r="D3585">
        <v>56</v>
      </c>
    </row>
    <row r="3586" spans="1:4" x14ac:dyDescent="0.25">
      <c r="A3586" s="1">
        <v>43033</v>
      </c>
      <c r="B3586">
        <v>1</v>
      </c>
      <c r="C3586">
        <v>2</v>
      </c>
      <c r="D3586">
        <v>66</v>
      </c>
    </row>
    <row r="3587" spans="1:4" x14ac:dyDescent="0.25">
      <c r="A3587" s="1">
        <v>43034</v>
      </c>
      <c r="B3587">
        <v>1</v>
      </c>
      <c r="C3587">
        <v>2</v>
      </c>
      <c r="D3587">
        <v>44</v>
      </c>
    </row>
    <row r="3588" spans="1:4" x14ac:dyDescent="0.25">
      <c r="A3588" s="1">
        <v>43035</v>
      </c>
      <c r="B3588">
        <v>1</v>
      </c>
      <c r="C3588">
        <v>2</v>
      </c>
      <c r="D3588">
        <v>66</v>
      </c>
    </row>
    <row r="3589" spans="1:4" x14ac:dyDescent="0.25">
      <c r="A3589" s="1">
        <v>43036</v>
      </c>
      <c r="B3589">
        <v>1</v>
      </c>
      <c r="C3589">
        <v>2</v>
      </c>
      <c r="D3589">
        <v>61</v>
      </c>
    </row>
    <row r="3590" spans="1:4" x14ac:dyDescent="0.25">
      <c r="A3590" s="1">
        <v>43037</v>
      </c>
      <c r="B3590">
        <v>1</v>
      </c>
      <c r="C3590">
        <v>2</v>
      </c>
      <c r="D3590">
        <v>77</v>
      </c>
    </row>
    <row r="3591" spans="1:4" x14ac:dyDescent="0.25">
      <c r="A3591" s="1">
        <v>43038</v>
      </c>
      <c r="B3591">
        <v>1</v>
      </c>
      <c r="C3591">
        <v>2</v>
      </c>
      <c r="D3591">
        <v>53</v>
      </c>
    </row>
    <row r="3592" spans="1:4" x14ac:dyDescent="0.25">
      <c r="A3592" s="1">
        <v>43039</v>
      </c>
      <c r="B3592">
        <v>1</v>
      </c>
      <c r="C3592">
        <v>2</v>
      </c>
      <c r="D3592">
        <v>50</v>
      </c>
    </row>
    <row r="3593" spans="1:4" x14ac:dyDescent="0.25">
      <c r="A3593" s="1">
        <v>43040</v>
      </c>
      <c r="B3593">
        <v>1</v>
      </c>
      <c r="C3593">
        <v>2</v>
      </c>
      <c r="D3593">
        <v>63</v>
      </c>
    </row>
    <row r="3594" spans="1:4" x14ac:dyDescent="0.25">
      <c r="A3594" s="1">
        <v>43041</v>
      </c>
      <c r="B3594">
        <v>1</v>
      </c>
      <c r="C3594">
        <v>2</v>
      </c>
      <c r="D3594">
        <v>67</v>
      </c>
    </row>
    <row r="3595" spans="1:4" x14ac:dyDescent="0.25">
      <c r="A3595" s="1">
        <v>43042</v>
      </c>
      <c r="B3595">
        <v>1</v>
      </c>
      <c r="C3595">
        <v>2</v>
      </c>
      <c r="D3595">
        <v>75</v>
      </c>
    </row>
    <row r="3596" spans="1:4" x14ac:dyDescent="0.25">
      <c r="A3596" s="1">
        <v>43043</v>
      </c>
      <c r="B3596">
        <v>1</v>
      </c>
      <c r="C3596">
        <v>2</v>
      </c>
      <c r="D3596">
        <v>68</v>
      </c>
    </row>
    <row r="3597" spans="1:4" x14ac:dyDescent="0.25">
      <c r="A3597" s="1">
        <v>43044</v>
      </c>
      <c r="B3597">
        <v>1</v>
      </c>
      <c r="C3597">
        <v>2</v>
      </c>
      <c r="D3597">
        <v>74</v>
      </c>
    </row>
    <row r="3598" spans="1:4" x14ac:dyDescent="0.25">
      <c r="A3598" s="1">
        <v>43045</v>
      </c>
      <c r="B3598">
        <v>1</v>
      </c>
      <c r="C3598">
        <v>2</v>
      </c>
      <c r="D3598">
        <v>69</v>
      </c>
    </row>
    <row r="3599" spans="1:4" x14ac:dyDescent="0.25">
      <c r="A3599" s="1">
        <v>43046</v>
      </c>
      <c r="B3599">
        <v>1</v>
      </c>
      <c r="C3599">
        <v>2</v>
      </c>
      <c r="D3599">
        <v>68</v>
      </c>
    </row>
    <row r="3600" spans="1:4" x14ac:dyDescent="0.25">
      <c r="A3600" s="1">
        <v>43047</v>
      </c>
      <c r="B3600">
        <v>1</v>
      </c>
      <c r="C3600">
        <v>2</v>
      </c>
      <c r="D3600">
        <v>58</v>
      </c>
    </row>
    <row r="3601" spans="1:4" x14ac:dyDescent="0.25">
      <c r="A3601" s="1">
        <v>43048</v>
      </c>
      <c r="B3601">
        <v>1</v>
      </c>
      <c r="C3601">
        <v>2</v>
      </c>
      <c r="D3601">
        <v>62</v>
      </c>
    </row>
    <row r="3602" spans="1:4" x14ac:dyDescent="0.25">
      <c r="A3602" s="1">
        <v>43049</v>
      </c>
      <c r="B3602">
        <v>1</v>
      </c>
      <c r="C3602">
        <v>2</v>
      </c>
      <c r="D3602">
        <v>58</v>
      </c>
    </row>
    <row r="3603" spans="1:4" x14ac:dyDescent="0.25">
      <c r="A3603" s="1">
        <v>43050</v>
      </c>
      <c r="B3603">
        <v>1</v>
      </c>
      <c r="C3603">
        <v>2</v>
      </c>
      <c r="D3603">
        <v>69</v>
      </c>
    </row>
    <row r="3604" spans="1:4" x14ac:dyDescent="0.25">
      <c r="A3604" s="1">
        <v>43051</v>
      </c>
      <c r="B3604">
        <v>1</v>
      </c>
      <c r="C3604">
        <v>2</v>
      </c>
      <c r="D3604">
        <v>76</v>
      </c>
    </row>
    <row r="3605" spans="1:4" x14ac:dyDescent="0.25">
      <c r="A3605" s="1">
        <v>43052</v>
      </c>
      <c r="B3605">
        <v>1</v>
      </c>
      <c r="C3605">
        <v>2</v>
      </c>
      <c r="D3605">
        <v>61</v>
      </c>
    </row>
    <row r="3606" spans="1:4" x14ac:dyDescent="0.25">
      <c r="A3606" s="1">
        <v>43053</v>
      </c>
      <c r="B3606">
        <v>1</v>
      </c>
      <c r="C3606">
        <v>2</v>
      </c>
      <c r="D3606">
        <v>57</v>
      </c>
    </row>
    <row r="3607" spans="1:4" x14ac:dyDescent="0.25">
      <c r="A3607" s="1">
        <v>43054</v>
      </c>
      <c r="B3607">
        <v>1</v>
      </c>
      <c r="C3607">
        <v>2</v>
      </c>
      <c r="D3607">
        <v>55</v>
      </c>
    </row>
    <row r="3608" spans="1:4" x14ac:dyDescent="0.25">
      <c r="A3608" s="1">
        <v>43055</v>
      </c>
      <c r="B3608">
        <v>1</v>
      </c>
      <c r="C3608">
        <v>2</v>
      </c>
      <c r="D3608">
        <v>53</v>
      </c>
    </row>
    <row r="3609" spans="1:4" x14ac:dyDescent="0.25">
      <c r="A3609" s="1">
        <v>43056</v>
      </c>
      <c r="B3609">
        <v>1</v>
      </c>
      <c r="C3609">
        <v>2</v>
      </c>
      <c r="D3609">
        <v>75</v>
      </c>
    </row>
    <row r="3610" spans="1:4" x14ac:dyDescent="0.25">
      <c r="A3610" s="1">
        <v>43057</v>
      </c>
      <c r="B3610">
        <v>1</v>
      </c>
      <c r="C3610">
        <v>2</v>
      </c>
      <c r="D3610">
        <v>78</v>
      </c>
    </row>
    <row r="3611" spans="1:4" x14ac:dyDescent="0.25">
      <c r="A3611" s="1">
        <v>43058</v>
      </c>
      <c r="B3611">
        <v>1</v>
      </c>
      <c r="C3611">
        <v>2</v>
      </c>
      <c r="D3611">
        <v>73</v>
      </c>
    </row>
    <row r="3612" spans="1:4" x14ac:dyDescent="0.25">
      <c r="A3612" s="1">
        <v>43059</v>
      </c>
      <c r="B3612">
        <v>1</v>
      </c>
      <c r="C3612">
        <v>2</v>
      </c>
      <c r="D3612">
        <v>54</v>
      </c>
    </row>
    <row r="3613" spans="1:4" x14ac:dyDescent="0.25">
      <c r="A3613" s="1">
        <v>43060</v>
      </c>
      <c r="B3613">
        <v>1</v>
      </c>
      <c r="C3613">
        <v>2</v>
      </c>
      <c r="D3613">
        <v>55</v>
      </c>
    </row>
    <row r="3614" spans="1:4" x14ac:dyDescent="0.25">
      <c r="A3614" s="1">
        <v>43061</v>
      </c>
      <c r="B3614">
        <v>1</v>
      </c>
      <c r="C3614">
        <v>2</v>
      </c>
      <c r="D3614">
        <v>51</v>
      </c>
    </row>
    <row r="3615" spans="1:4" x14ac:dyDescent="0.25">
      <c r="A3615" s="1">
        <v>43062</v>
      </c>
      <c r="B3615">
        <v>1</v>
      </c>
      <c r="C3615">
        <v>2</v>
      </c>
      <c r="D3615">
        <v>73</v>
      </c>
    </row>
    <row r="3616" spans="1:4" x14ac:dyDescent="0.25">
      <c r="A3616" s="1">
        <v>43063</v>
      </c>
      <c r="B3616">
        <v>1</v>
      </c>
      <c r="C3616">
        <v>2</v>
      </c>
      <c r="D3616">
        <v>68</v>
      </c>
    </row>
    <row r="3617" spans="1:4" x14ac:dyDescent="0.25">
      <c r="A3617" s="1">
        <v>43064</v>
      </c>
      <c r="B3617">
        <v>1</v>
      </c>
      <c r="C3617">
        <v>2</v>
      </c>
      <c r="D3617">
        <v>63</v>
      </c>
    </row>
    <row r="3618" spans="1:4" x14ac:dyDescent="0.25">
      <c r="A3618" s="1">
        <v>43065</v>
      </c>
      <c r="B3618">
        <v>1</v>
      </c>
      <c r="C3618">
        <v>2</v>
      </c>
      <c r="D3618">
        <v>78</v>
      </c>
    </row>
    <row r="3619" spans="1:4" x14ac:dyDescent="0.25">
      <c r="A3619" s="1">
        <v>43066</v>
      </c>
      <c r="B3619">
        <v>1</v>
      </c>
      <c r="C3619">
        <v>2</v>
      </c>
      <c r="D3619">
        <v>58</v>
      </c>
    </row>
    <row r="3620" spans="1:4" x14ac:dyDescent="0.25">
      <c r="A3620" s="1">
        <v>43067</v>
      </c>
      <c r="B3620">
        <v>1</v>
      </c>
      <c r="C3620">
        <v>2</v>
      </c>
      <c r="D3620">
        <v>57</v>
      </c>
    </row>
    <row r="3621" spans="1:4" x14ac:dyDescent="0.25">
      <c r="A3621" s="1">
        <v>43068</v>
      </c>
      <c r="B3621">
        <v>1</v>
      </c>
      <c r="C3621">
        <v>2</v>
      </c>
      <c r="D3621">
        <v>66</v>
      </c>
    </row>
    <row r="3622" spans="1:4" x14ac:dyDescent="0.25">
      <c r="A3622" s="1">
        <v>43069</v>
      </c>
      <c r="B3622">
        <v>1</v>
      </c>
      <c r="C3622">
        <v>2</v>
      </c>
      <c r="D3622">
        <v>80</v>
      </c>
    </row>
    <row r="3623" spans="1:4" x14ac:dyDescent="0.25">
      <c r="A3623" s="1">
        <v>43070</v>
      </c>
      <c r="B3623">
        <v>1</v>
      </c>
      <c r="C3623">
        <v>2</v>
      </c>
      <c r="D3623">
        <v>56</v>
      </c>
    </row>
    <row r="3624" spans="1:4" x14ac:dyDescent="0.25">
      <c r="A3624" s="1">
        <v>43071</v>
      </c>
      <c r="B3624">
        <v>1</v>
      </c>
      <c r="C3624">
        <v>2</v>
      </c>
      <c r="D3624">
        <v>64</v>
      </c>
    </row>
    <row r="3625" spans="1:4" x14ac:dyDescent="0.25">
      <c r="A3625" s="1">
        <v>43072</v>
      </c>
      <c r="B3625">
        <v>1</v>
      </c>
      <c r="C3625">
        <v>2</v>
      </c>
      <c r="D3625">
        <v>59</v>
      </c>
    </row>
    <row r="3626" spans="1:4" x14ac:dyDescent="0.25">
      <c r="A3626" s="1">
        <v>43073</v>
      </c>
      <c r="B3626">
        <v>1</v>
      </c>
      <c r="C3626">
        <v>2</v>
      </c>
      <c r="D3626">
        <v>33</v>
      </c>
    </row>
    <row r="3627" spans="1:4" x14ac:dyDescent="0.25">
      <c r="A3627" s="1">
        <v>43074</v>
      </c>
      <c r="B3627">
        <v>1</v>
      </c>
      <c r="C3627">
        <v>2</v>
      </c>
      <c r="D3627">
        <v>45</v>
      </c>
    </row>
    <row r="3628" spans="1:4" x14ac:dyDescent="0.25">
      <c r="A3628" s="1">
        <v>43075</v>
      </c>
      <c r="B3628">
        <v>1</v>
      </c>
      <c r="C3628">
        <v>2</v>
      </c>
      <c r="D3628">
        <v>50</v>
      </c>
    </row>
    <row r="3629" spans="1:4" x14ac:dyDescent="0.25">
      <c r="A3629" s="1">
        <v>43076</v>
      </c>
      <c r="B3629">
        <v>1</v>
      </c>
      <c r="C3629">
        <v>2</v>
      </c>
      <c r="D3629">
        <v>47</v>
      </c>
    </row>
    <row r="3630" spans="1:4" x14ac:dyDescent="0.25">
      <c r="A3630" s="1">
        <v>43077</v>
      </c>
      <c r="B3630">
        <v>1</v>
      </c>
      <c r="C3630">
        <v>2</v>
      </c>
      <c r="D3630">
        <v>44</v>
      </c>
    </row>
    <row r="3631" spans="1:4" x14ac:dyDescent="0.25">
      <c r="A3631" s="1">
        <v>43078</v>
      </c>
      <c r="B3631">
        <v>1</v>
      </c>
      <c r="C3631">
        <v>2</v>
      </c>
      <c r="D3631">
        <v>50</v>
      </c>
    </row>
    <row r="3632" spans="1:4" x14ac:dyDescent="0.25">
      <c r="A3632" s="1">
        <v>43079</v>
      </c>
      <c r="B3632">
        <v>1</v>
      </c>
      <c r="C3632">
        <v>2</v>
      </c>
      <c r="D3632">
        <v>50</v>
      </c>
    </row>
    <row r="3633" spans="1:4" x14ac:dyDescent="0.25">
      <c r="A3633" s="1">
        <v>43080</v>
      </c>
      <c r="B3633">
        <v>1</v>
      </c>
      <c r="C3633">
        <v>2</v>
      </c>
      <c r="D3633">
        <v>43</v>
      </c>
    </row>
    <row r="3634" spans="1:4" x14ac:dyDescent="0.25">
      <c r="A3634" s="1">
        <v>43081</v>
      </c>
      <c r="B3634">
        <v>1</v>
      </c>
      <c r="C3634">
        <v>2</v>
      </c>
      <c r="D3634">
        <v>37</v>
      </c>
    </row>
    <row r="3635" spans="1:4" x14ac:dyDescent="0.25">
      <c r="A3635" s="1">
        <v>43082</v>
      </c>
      <c r="B3635">
        <v>1</v>
      </c>
      <c r="C3635">
        <v>2</v>
      </c>
      <c r="D3635">
        <v>50</v>
      </c>
    </row>
    <row r="3636" spans="1:4" x14ac:dyDescent="0.25">
      <c r="A3636" s="1">
        <v>43083</v>
      </c>
      <c r="B3636">
        <v>1</v>
      </c>
      <c r="C3636">
        <v>2</v>
      </c>
      <c r="D3636">
        <v>42</v>
      </c>
    </row>
    <row r="3637" spans="1:4" x14ac:dyDescent="0.25">
      <c r="A3637" s="1">
        <v>43084</v>
      </c>
      <c r="B3637">
        <v>1</v>
      </c>
      <c r="C3637">
        <v>2</v>
      </c>
      <c r="D3637">
        <v>52</v>
      </c>
    </row>
    <row r="3638" spans="1:4" x14ac:dyDescent="0.25">
      <c r="A3638" s="1">
        <v>43085</v>
      </c>
      <c r="B3638">
        <v>1</v>
      </c>
      <c r="C3638">
        <v>2</v>
      </c>
      <c r="D3638">
        <v>48</v>
      </c>
    </row>
    <row r="3639" spans="1:4" x14ac:dyDescent="0.25">
      <c r="A3639" s="1">
        <v>43086</v>
      </c>
      <c r="B3639">
        <v>1</v>
      </c>
      <c r="C3639">
        <v>2</v>
      </c>
      <c r="D3639">
        <v>55</v>
      </c>
    </row>
    <row r="3640" spans="1:4" x14ac:dyDescent="0.25">
      <c r="A3640" s="1">
        <v>43087</v>
      </c>
      <c r="B3640">
        <v>1</v>
      </c>
      <c r="C3640">
        <v>2</v>
      </c>
      <c r="D3640">
        <v>37</v>
      </c>
    </row>
    <row r="3641" spans="1:4" x14ac:dyDescent="0.25">
      <c r="A3641" s="1">
        <v>43088</v>
      </c>
      <c r="B3641">
        <v>1</v>
      </c>
      <c r="C3641">
        <v>2</v>
      </c>
      <c r="D3641">
        <v>41</v>
      </c>
    </row>
    <row r="3642" spans="1:4" x14ac:dyDescent="0.25">
      <c r="A3642" s="1">
        <v>43089</v>
      </c>
      <c r="B3642">
        <v>1</v>
      </c>
      <c r="C3642">
        <v>2</v>
      </c>
      <c r="D3642">
        <v>35</v>
      </c>
    </row>
    <row r="3643" spans="1:4" x14ac:dyDescent="0.25">
      <c r="A3643" s="1">
        <v>43090</v>
      </c>
      <c r="B3643">
        <v>1</v>
      </c>
      <c r="C3643">
        <v>2</v>
      </c>
      <c r="D3643">
        <v>39</v>
      </c>
    </row>
    <row r="3644" spans="1:4" x14ac:dyDescent="0.25">
      <c r="A3644" s="1">
        <v>43091</v>
      </c>
      <c r="B3644">
        <v>1</v>
      </c>
      <c r="C3644">
        <v>2</v>
      </c>
      <c r="D3644">
        <v>41</v>
      </c>
    </row>
    <row r="3645" spans="1:4" x14ac:dyDescent="0.25">
      <c r="A3645" s="1">
        <v>43092</v>
      </c>
      <c r="B3645">
        <v>1</v>
      </c>
      <c r="C3645">
        <v>2</v>
      </c>
      <c r="D3645">
        <v>52</v>
      </c>
    </row>
    <row r="3646" spans="1:4" x14ac:dyDescent="0.25">
      <c r="A3646" s="1">
        <v>43093</v>
      </c>
      <c r="B3646">
        <v>1</v>
      </c>
      <c r="C3646">
        <v>2</v>
      </c>
      <c r="D3646">
        <v>47</v>
      </c>
    </row>
    <row r="3647" spans="1:4" x14ac:dyDescent="0.25">
      <c r="A3647" s="1">
        <v>43094</v>
      </c>
      <c r="B3647">
        <v>1</v>
      </c>
      <c r="C3647">
        <v>2</v>
      </c>
      <c r="D3647">
        <v>37</v>
      </c>
    </row>
    <row r="3648" spans="1:4" x14ac:dyDescent="0.25">
      <c r="A3648" s="1">
        <v>43095</v>
      </c>
      <c r="B3648">
        <v>1</v>
      </c>
      <c r="C3648">
        <v>2</v>
      </c>
      <c r="D3648">
        <v>43</v>
      </c>
    </row>
    <row r="3649" spans="1:4" x14ac:dyDescent="0.25">
      <c r="A3649" s="1">
        <v>43096</v>
      </c>
      <c r="B3649">
        <v>1</v>
      </c>
      <c r="C3649">
        <v>2</v>
      </c>
      <c r="D3649">
        <v>55</v>
      </c>
    </row>
    <row r="3650" spans="1:4" x14ac:dyDescent="0.25">
      <c r="A3650" s="1">
        <v>43097</v>
      </c>
      <c r="B3650">
        <v>1</v>
      </c>
      <c r="C3650">
        <v>2</v>
      </c>
      <c r="D3650">
        <v>50</v>
      </c>
    </row>
    <row r="3651" spans="1:4" x14ac:dyDescent="0.25">
      <c r="A3651" s="1">
        <v>43098</v>
      </c>
      <c r="B3651">
        <v>1</v>
      </c>
      <c r="C3651">
        <v>2</v>
      </c>
      <c r="D3651">
        <v>50</v>
      </c>
    </row>
    <row r="3652" spans="1:4" x14ac:dyDescent="0.25">
      <c r="A3652" s="1">
        <v>43099</v>
      </c>
      <c r="B3652">
        <v>1</v>
      </c>
      <c r="C3652">
        <v>2</v>
      </c>
      <c r="D3652">
        <v>56</v>
      </c>
    </row>
    <row r="3653" spans="1:4" x14ac:dyDescent="0.25">
      <c r="A3653" s="1">
        <v>43100</v>
      </c>
      <c r="B3653">
        <v>1</v>
      </c>
      <c r="C3653">
        <v>2</v>
      </c>
      <c r="D3653">
        <v>67</v>
      </c>
    </row>
    <row r="3654" spans="1:4" x14ac:dyDescent="0.25">
      <c r="A3654" s="1">
        <v>41275</v>
      </c>
      <c r="B3654">
        <v>1</v>
      </c>
      <c r="C3654">
        <v>3</v>
      </c>
      <c r="D3654">
        <v>15</v>
      </c>
    </row>
    <row r="3655" spans="1:4" x14ac:dyDescent="0.25">
      <c r="A3655" s="1">
        <v>41276</v>
      </c>
      <c r="B3655">
        <v>1</v>
      </c>
      <c r="C3655">
        <v>3</v>
      </c>
      <c r="D3655">
        <v>30</v>
      </c>
    </row>
    <row r="3656" spans="1:4" x14ac:dyDescent="0.25">
      <c r="A3656" s="1">
        <v>41277</v>
      </c>
      <c r="B3656">
        <v>1</v>
      </c>
      <c r="C3656">
        <v>3</v>
      </c>
      <c r="D3656">
        <v>14</v>
      </c>
    </row>
    <row r="3657" spans="1:4" x14ac:dyDescent="0.25">
      <c r="A3657" s="1">
        <v>41278</v>
      </c>
      <c r="B3657">
        <v>1</v>
      </c>
      <c r="C3657">
        <v>3</v>
      </c>
      <c r="D3657">
        <v>10</v>
      </c>
    </row>
    <row r="3658" spans="1:4" x14ac:dyDescent="0.25">
      <c r="A3658" s="1">
        <v>41279</v>
      </c>
      <c r="B3658">
        <v>1</v>
      </c>
      <c r="C3658">
        <v>3</v>
      </c>
      <c r="D3658">
        <v>23</v>
      </c>
    </row>
    <row r="3659" spans="1:4" x14ac:dyDescent="0.25">
      <c r="A3659" s="1">
        <v>41280</v>
      </c>
      <c r="B3659">
        <v>1</v>
      </c>
      <c r="C3659">
        <v>3</v>
      </c>
      <c r="D3659">
        <v>23</v>
      </c>
    </row>
    <row r="3660" spans="1:4" x14ac:dyDescent="0.25">
      <c r="A3660" s="1">
        <v>41281</v>
      </c>
      <c r="B3660">
        <v>1</v>
      </c>
      <c r="C3660">
        <v>3</v>
      </c>
      <c r="D3660">
        <v>10</v>
      </c>
    </row>
    <row r="3661" spans="1:4" x14ac:dyDescent="0.25">
      <c r="A3661" s="1">
        <v>41282</v>
      </c>
      <c r="B3661">
        <v>1</v>
      </c>
      <c r="C3661">
        <v>3</v>
      </c>
      <c r="D3661">
        <v>13</v>
      </c>
    </row>
    <row r="3662" spans="1:4" x14ac:dyDescent="0.25">
      <c r="A3662" s="1">
        <v>41283</v>
      </c>
      <c r="B3662">
        <v>1</v>
      </c>
      <c r="C3662">
        <v>3</v>
      </c>
      <c r="D3662">
        <v>16</v>
      </c>
    </row>
    <row r="3663" spans="1:4" x14ac:dyDescent="0.25">
      <c r="A3663" s="1">
        <v>41284</v>
      </c>
      <c r="B3663">
        <v>1</v>
      </c>
      <c r="C3663">
        <v>3</v>
      </c>
      <c r="D3663">
        <v>15</v>
      </c>
    </row>
    <row r="3664" spans="1:4" x14ac:dyDescent="0.25">
      <c r="A3664" s="1">
        <v>41285</v>
      </c>
      <c r="B3664">
        <v>1</v>
      </c>
      <c r="C3664">
        <v>3</v>
      </c>
      <c r="D3664">
        <v>24</v>
      </c>
    </row>
    <row r="3665" spans="1:4" x14ac:dyDescent="0.25">
      <c r="A3665" s="1">
        <v>41286</v>
      </c>
      <c r="B3665">
        <v>1</v>
      </c>
      <c r="C3665">
        <v>3</v>
      </c>
      <c r="D3665">
        <v>19</v>
      </c>
    </row>
    <row r="3666" spans="1:4" x14ac:dyDescent="0.25">
      <c r="A3666" s="1">
        <v>41287</v>
      </c>
      <c r="B3666">
        <v>1</v>
      </c>
      <c r="C3666">
        <v>3</v>
      </c>
      <c r="D3666">
        <v>19</v>
      </c>
    </row>
    <row r="3667" spans="1:4" x14ac:dyDescent="0.25">
      <c r="A3667" s="1">
        <v>41288</v>
      </c>
      <c r="B3667">
        <v>1</v>
      </c>
      <c r="C3667">
        <v>3</v>
      </c>
      <c r="D3667">
        <v>15</v>
      </c>
    </row>
    <row r="3668" spans="1:4" x14ac:dyDescent="0.25">
      <c r="A3668" s="1">
        <v>41289</v>
      </c>
      <c r="B3668">
        <v>1</v>
      </c>
      <c r="C3668">
        <v>3</v>
      </c>
      <c r="D3668">
        <v>12</v>
      </c>
    </row>
    <row r="3669" spans="1:4" x14ac:dyDescent="0.25">
      <c r="A3669" s="1">
        <v>41290</v>
      </c>
      <c r="B3669">
        <v>1</v>
      </c>
      <c r="C3669">
        <v>3</v>
      </c>
      <c r="D3669">
        <v>26</v>
      </c>
    </row>
    <row r="3670" spans="1:4" x14ac:dyDescent="0.25">
      <c r="A3670" s="1">
        <v>41291</v>
      </c>
      <c r="B3670">
        <v>1</v>
      </c>
      <c r="C3670">
        <v>3</v>
      </c>
      <c r="D3670">
        <v>14</v>
      </c>
    </row>
    <row r="3671" spans="1:4" x14ac:dyDescent="0.25">
      <c r="A3671" s="1">
        <v>41292</v>
      </c>
      <c r="B3671">
        <v>1</v>
      </c>
      <c r="C3671">
        <v>3</v>
      </c>
      <c r="D3671">
        <v>21</v>
      </c>
    </row>
    <row r="3672" spans="1:4" x14ac:dyDescent="0.25">
      <c r="A3672" s="1">
        <v>41293</v>
      </c>
      <c r="B3672">
        <v>1</v>
      </c>
      <c r="C3672">
        <v>3</v>
      </c>
      <c r="D3672">
        <v>13</v>
      </c>
    </row>
    <row r="3673" spans="1:4" x14ac:dyDescent="0.25">
      <c r="A3673" s="1">
        <v>41294</v>
      </c>
      <c r="B3673">
        <v>1</v>
      </c>
      <c r="C3673">
        <v>3</v>
      </c>
      <c r="D3673">
        <v>21</v>
      </c>
    </row>
    <row r="3674" spans="1:4" x14ac:dyDescent="0.25">
      <c r="A3674" s="1">
        <v>41295</v>
      </c>
      <c r="B3674">
        <v>1</v>
      </c>
      <c r="C3674">
        <v>3</v>
      </c>
      <c r="D3674">
        <v>18</v>
      </c>
    </row>
    <row r="3675" spans="1:4" x14ac:dyDescent="0.25">
      <c r="A3675" s="1">
        <v>41296</v>
      </c>
      <c r="B3675">
        <v>1</v>
      </c>
      <c r="C3675">
        <v>3</v>
      </c>
      <c r="D3675">
        <v>20</v>
      </c>
    </row>
    <row r="3676" spans="1:4" x14ac:dyDescent="0.25">
      <c r="A3676" s="1">
        <v>41297</v>
      </c>
      <c r="B3676">
        <v>1</v>
      </c>
      <c r="C3676">
        <v>3</v>
      </c>
      <c r="D3676">
        <v>14</v>
      </c>
    </row>
    <row r="3677" spans="1:4" x14ac:dyDescent="0.25">
      <c r="A3677" s="1">
        <v>41298</v>
      </c>
      <c r="B3677">
        <v>1</v>
      </c>
      <c r="C3677">
        <v>3</v>
      </c>
      <c r="D3677">
        <v>20</v>
      </c>
    </row>
    <row r="3678" spans="1:4" x14ac:dyDescent="0.25">
      <c r="A3678" s="1">
        <v>41299</v>
      </c>
      <c r="B3678">
        <v>1</v>
      </c>
      <c r="C3678">
        <v>3</v>
      </c>
      <c r="D3678">
        <v>21</v>
      </c>
    </row>
    <row r="3679" spans="1:4" x14ac:dyDescent="0.25">
      <c r="A3679" s="1">
        <v>41300</v>
      </c>
      <c r="B3679">
        <v>1</v>
      </c>
      <c r="C3679">
        <v>3</v>
      </c>
      <c r="D3679">
        <v>17</v>
      </c>
    </row>
    <row r="3680" spans="1:4" x14ac:dyDescent="0.25">
      <c r="A3680" s="1">
        <v>41301</v>
      </c>
      <c r="B3680">
        <v>1</v>
      </c>
      <c r="C3680">
        <v>3</v>
      </c>
      <c r="D3680">
        <v>17</v>
      </c>
    </row>
    <row r="3681" spans="1:4" x14ac:dyDescent="0.25">
      <c r="A3681" s="1">
        <v>41302</v>
      </c>
      <c r="B3681">
        <v>1</v>
      </c>
      <c r="C3681">
        <v>3</v>
      </c>
      <c r="D3681">
        <v>14</v>
      </c>
    </row>
    <row r="3682" spans="1:4" x14ac:dyDescent="0.25">
      <c r="A3682" s="1">
        <v>41303</v>
      </c>
      <c r="B3682">
        <v>1</v>
      </c>
      <c r="C3682">
        <v>3</v>
      </c>
      <c r="D3682">
        <v>15</v>
      </c>
    </row>
    <row r="3683" spans="1:4" x14ac:dyDescent="0.25">
      <c r="A3683" s="1">
        <v>41304</v>
      </c>
      <c r="B3683">
        <v>1</v>
      </c>
      <c r="C3683">
        <v>3</v>
      </c>
      <c r="D3683">
        <v>14</v>
      </c>
    </row>
    <row r="3684" spans="1:4" x14ac:dyDescent="0.25">
      <c r="A3684" s="1">
        <v>41305</v>
      </c>
      <c r="B3684">
        <v>1</v>
      </c>
      <c r="C3684">
        <v>3</v>
      </c>
      <c r="D3684">
        <v>24</v>
      </c>
    </row>
    <row r="3685" spans="1:4" x14ac:dyDescent="0.25">
      <c r="A3685" s="1">
        <v>41306</v>
      </c>
      <c r="B3685">
        <v>1</v>
      </c>
      <c r="C3685">
        <v>3</v>
      </c>
      <c r="D3685">
        <v>22</v>
      </c>
    </row>
    <row r="3686" spans="1:4" x14ac:dyDescent="0.25">
      <c r="A3686" s="1">
        <v>41307</v>
      </c>
      <c r="B3686">
        <v>1</v>
      </c>
      <c r="C3686">
        <v>3</v>
      </c>
      <c r="D3686">
        <v>32</v>
      </c>
    </row>
    <row r="3687" spans="1:4" x14ac:dyDescent="0.25">
      <c r="A3687" s="1">
        <v>41308</v>
      </c>
      <c r="B3687">
        <v>1</v>
      </c>
      <c r="C3687">
        <v>3</v>
      </c>
      <c r="D3687">
        <v>29</v>
      </c>
    </row>
    <row r="3688" spans="1:4" x14ac:dyDescent="0.25">
      <c r="A3688" s="1">
        <v>41309</v>
      </c>
      <c r="B3688">
        <v>1</v>
      </c>
      <c r="C3688">
        <v>3</v>
      </c>
      <c r="D3688">
        <v>21</v>
      </c>
    </row>
    <row r="3689" spans="1:4" x14ac:dyDescent="0.25">
      <c r="A3689" s="1">
        <v>41310</v>
      </c>
      <c r="B3689">
        <v>1</v>
      </c>
      <c r="C3689">
        <v>3</v>
      </c>
      <c r="D3689">
        <v>21</v>
      </c>
    </row>
    <row r="3690" spans="1:4" x14ac:dyDescent="0.25">
      <c r="A3690" s="1">
        <v>41311</v>
      </c>
      <c r="B3690">
        <v>1</v>
      </c>
      <c r="C3690">
        <v>3</v>
      </c>
      <c r="D3690">
        <v>19</v>
      </c>
    </row>
    <row r="3691" spans="1:4" x14ac:dyDescent="0.25">
      <c r="A3691" s="1">
        <v>41312</v>
      </c>
      <c r="B3691">
        <v>1</v>
      </c>
      <c r="C3691">
        <v>3</v>
      </c>
      <c r="D3691">
        <v>15</v>
      </c>
    </row>
    <row r="3692" spans="1:4" x14ac:dyDescent="0.25">
      <c r="A3692" s="1">
        <v>41313</v>
      </c>
      <c r="B3692">
        <v>1</v>
      </c>
      <c r="C3692">
        <v>3</v>
      </c>
      <c r="D3692">
        <v>26</v>
      </c>
    </row>
    <row r="3693" spans="1:4" x14ac:dyDescent="0.25">
      <c r="A3693" s="1">
        <v>41314</v>
      </c>
      <c r="B3693">
        <v>1</v>
      </c>
      <c r="C3693">
        <v>3</v>
      </c>
      <c r="D3693">
        <v>24</v>
      </c>
    </row>
    <row r="3694" spans="1:4" x14ac:dyDescent="0.25">
      <c r="A3694" s="1">
        <v>41315</v>
      </c>
      <c r="B3694">
        <v>1</v>
      </c>
      <c r="C3694">
        <v>3</v>
      </c>
      <c r="D3694">
        <v>24</v>
      </c>
    </row>
    <row r="3695" spans="1:4" x14ac:dyDescent="0.25">
      <c r="A3695" s="1">
        <v>41316</v>
      </c>
      <c r="B3695">
        <v>1</v>
      </c>
      <c r="C3695">
        <v>3</v>
      </c>
      <c r="D3695">
        <v>18</v>
      </c>
    </row>
    <row r="3696" spans="1:4" x14ac:dyDescent="0.25">
      <c r="A3696" s="1">
        <v>41317</v>
      </c>
      <c r="B3696">
        <v>1</v>
      </c>
      <c r="C3696">
        <v>3</v>
      </c>
      <c r="D3696">
        <v>17</v>
      </c>
    </row>
    <row r="3697" spans="1:4" x14ac:dyDescent="0.25">
      <c r="A3697" s="1">
        <v>41318</v>
      </c>
      <c r="B3697">
        <v>1</v>
      </c>
      <c r="C3697">
        <v>3</v>
      </c>
      <c r="D3697">
        <v>21</v>
      </c>
    </row>
    <row r="3698" spans="1:4" x14ac:dyDescent="0.25">
      <c r="A3698" s="1">
        <v>41319</v>
      </c>
      <c r="B3698">
        <v>1</v>
      </c>
      <c r="C3698">
        <v>3</v>
      </c>
      <c r="D3698">
        <v>12</v>
      </c>
    </row>
    <row r="3699" spans="1:4" x14ac:dyDescent="0.25">
      <c r="A3699" s="1">
        <v>41320</v>
      </c>
      <c r="B3699">
        <v>1</v>
      </c>
      <c r="C3699">
        <v>3</v>
      </c>
      <c r="D3699">
        <v>23</v>
      </c>
    </row>
    <row r="3700" spans="1:4" x14ac:dyDescent="0.25">
      <c r="A3700" s="1">
        <v>41321</v>
      </c>
      <c r="B3700">
        <v>1</v>
      </c>
      <c r="C3700">
        <v>3</v>
      </c>
      <c r="D3700">
        <v>23</v>
      </c>
    </row>
    <row r="3701" spans="1:4" x14ac:dyDescent="0.25">
      <c r="A3701" s="1">
        <v>41322</v>
      </c>
      <c r="B3701">
        <v>1</v>
      </c>
      <c r="C3701">
        <v>3</v>
      </c>
      <c r="D3701">
        <v>22</v>
      </c>
    </row>
    <row r="3702" spans="1:4" x14ac:dyDescent="0.25">
      <c r="A3702" s="1">
        <v>41323</v>
      </c>
      <c r="B3702">
        <v>1</v>
      </c>
      <c r="C3702">
        <v>3</v>
      </c>
      <c r="D3702">
        <v>16</v>
      </c>
    </row>
    <row r="3703" spans="1:4" x14ac:dyDescent="0.25">
      <c r="A3703" s="1">
        <v>41324</v>
      </c>
      <c r="B3703">
        <v>1</v>
      </c>
      <c r="C3703">
        <v>3</v>
      </c>
      <c r="D3703">
        <v>19</v>
      </c>
    </row>
    <row r="3704" spans="1:4" x14ac:dyDescent="0.25">
      <c r="A3704" s="1">
        <v>41325</v>
      </c>
      <c r="B3704">
        <v>1</v>
      </c>
      <c r="C3704">
        <v>3</v>
      </c>
      <c r="D3704">
        <v>25</v>
      </c>
    </row>
    <row r="3705" spans="1:4" x14ac:dyDescent="0.25">
      <c r="A3705" s="1">
        <v>41326</v>
      </c>
      <c r="B3705">
        <v>1</v>
      </c>
      <c r="C3705">
        <v>3</v>
      </c>
      <c r="D3705">
        <v>21</v>
      </c>
    </row>
    <row r="3706" spans="1:4" x14ac:dyDescent="0.25">
      <c r="A3706" s="1">
        <v>41327</v>
      </c>
      <c r="B3706">
        <v>1</v>
      </c>
      <c r="C3706">
        <v>3</v>
      </c>
      <c r="D3706">
        <v>24</v>
      </c>
    </row>
    <row r="3707" spans="1:4" x14ac:dyDescent="0.25">
      <c r="A3707" s="1">
        <v>41328</v>
      </c>
      <c r="B3707">
        <v>1</v>
      </c>
      <c r="C3707">
        <v>3</v>
      </c>
      <c r="D3707">
        <v>29</v>
      </c>
    </row>
    <row r="3708" spans="1:4" x14ac:dyDescent="0.25">
      <c r="A3708" s="1">
        <v>41329</v>
      </c>
      <c r="B3708">
        <v>1</v>
      </c>
      <c r="C3708">
        <v>3</v>
      </c>
      <c r="D3708">
        <v>15</v>
      </c>
    </row>
    <row r="3709" spans="1:4" x14ac:dyDescent="0.25">
      <c r="A3709" s="1">
        <v>41330</v>
      </c>
      <c r="B3709">
        <v>1</v>
      </c>
      <c r="C3709">
        <v>3</v>
      </c>
      <c r="D3709">
        <v>19</v>
      </c>
    </row>
    <row r="3710" spans="1:4" x14ac:dyDescent="0.25">
      <c r="A3710" s="1">
        <v>41331</v>
      </c>
      <c r="B3710">
        <v>1</v>
      </c>
      <c r="C3710">
        <v>3</v>
      </c>
      <c r="D3710">
        <v>17</v>
      </c>
    </row>
    <row r="3711" spans="1:4" x14ac:dyDescent="0.25">
      <c r="A3711" s="1">
        <v>41332</v>
      </c>
      <c r="B3711">
        <v>1</v>
      </c>
      <c r="C3711">
        <v>3</v>
      </c>
      <c r="D3711">
        <v>19</v>
      </c>
    </row>
    <row r="3712" spans="1:4" x14ac:dyDescent="0.25">
      <c r="A3712" s="1">
        <v>41333</v>
      </c>
      <c r="B3712">
        <v>1</v>
      </c>
      <c r="C3712">
        <v>3</v>
      </c>
      <c r="D3712">
        <v>24</v>
      </c>
    </row>
    <row r="3713" spans="1:4" x14ac:dyDescent="0.25">
      <c r="A3713" s="1">
        <v>41334</v>
      </c>
      <c r="B3713">
        <v>1</v>
      </c>
      <c r="C3713">
        <v>3</v>
      </c>
      <c r="D3713">
        <v>31</v>
      </c>
    </row>
    <row r="3714" spans="1:4" x14ac:dyDescent="0.25">
      <c r="A3714" s="1">
        <v>41335</v>
      </c>
      <c r="B3714">
        <v>1</v>
      </c>
      <c r="C3714">
        <v>3</v>
      </c>
      <c r="D3714">
        <v>32</v>
      </c>
    </row>
    <row r="3715" spans="1:4" x14ac:dyDescent="0.25">
      <c r="A3715" s="1">
        <v>41336</v>
      </c>
      <c r="B3715">
        <v>1</v>
      </c>
      <c r="C3715">
        <v>3</v>
      </c>
      <c r="D3715">
        <v>27</v>
      </c>
    </row>
    <row r="3716" spans="1:4" x14ac:dyDescent="0.25">
      <c r="A3716" s="1">
        <v>41337</v>
      </c>
      <c r="B3716">
        <v>1</v>
      </c>
      <c r="C3716">
        <v>3</v>
      </c>
      <c r="D3716">
        <v>19</v>
      </c>
    </row>
    <row r="3717" spans="1:4" x14ac:dyDescent="0.25">
      <c r="A3717" s="1">
        <v>41338</v>
      </c>
      <c r="B3717">
        <v>1</v>
      </c>
      <c r="C3717">
        <v>3</v>
      </c>
      <c r="D3717">
        <v>18</v>
      </c>
    </row>
    <row r="3718" spans="1:4" x14ac:dyDescent="0.25">
      <c r="A3718" s="1">
        <v>41339</v>
      </c>
      <c r="B3718">
        <v>1</v>
      </c>
      <c r="C3718">
        <v>3</v>
      </c>
      <c r="D3718">
        <v>19</v>
      </c>
    </row>
    <row r="3719" spans="1:4" x14ac:dyDescent="0.25">
      <c r="A3719" s="1">
        <v>41340</v>
      </c>
      <c r="B3719">
        <v>1</v>
      </c>
      <c r="C3719">
        <v>3</v>
      </c>
      <c r="D3719">
        <v>22</v>
      </c>
    </row>
    <row r="3720" spans="1:4" x14ac:dyDescent="0.25">
      <c r="A3720" s="1">
        <v>41341</v>
      </c>
      <c r="B3720">
        <v>1</v>
      </c>
      <c r="C3720">
        <v>3</v>
      </c>
      <c r="D3720">
        <v>22</v>
      </c>
    </row>
    <row r="3721" spans="1:4" x14ac:dyDescent="0.25">
      <c r="A3721" s="1">
        <v>41342</v>
      </c>
      <c r="B3721">
        <v>1</v>
      </c>
      <c r="C3721">
        <v>3</v>
      </c>
      <c r="D3721">
        <v>35</v>
      </c>
    </row>
    <row r="3722" spans="1:4" x14ac:dyDescent="0.25">
      <c r="A3722" s="1">
        <v>41343</v>
      </c>
      <c r="B3722">
        <v>1</v>
      </c>
      <c r="C3722">
        <v>3</v>
      </c>
      <c r="D3722">
        <v>33</v>
      </c>
    </row>
    <row r="3723" spans="1:4" x14ac:dyDescent="0.25">
      <c r="A3723" s="1">
        <v>41344</v>
      </c>
      <c r="B3723">
        <v>1</v>
      </c>
      <c r="C3723">
        <v>3</v>
      </c>
      <c r="D3723">
        <v>21</v>
      </c>
    </row>
    <row r="3724" spans="1:4" x14ac:dyDescent="0.25">
      <c r="A3724" s="1">
        <v>41345</v>
      </c>
      <c r="B3724">
        <v>1</v>
      </c>
      <c r="C3724">
        <v>3</v>
      </c>
      <c r="D3724">
        <v>27</v>
      </c>
    </row>
    <row r="3725" spans="1:4" x14ac:dyDescent="0.25">
      <c r="A3725" s="1">
        <v>41346</v>
      </c>
      <c r="B3725">
        <v>1</v>
      </c>
      <c r="C3725">
        <v>3</v>
      </c>
      <c r="D3725">
        <v>21</v>
      </c>
    </row>
    <row r="3726" spans="1:4" x14ac:dyDescent="0.25">
      <c r="A3726" s="1">
        <v>41347</v>
      </c>
      <c r="B3726">
        <v>1</v>
      </c>
      <c r="C3726">
        <v>3</v>
      </c>
      <c r="D3726">
        <v>22</v>
      </c>
    </row>
    <row r="3727" spans="1:4" x14ac:dyDescent="0.25">
      <c r="A3727" s="1">
        <v>41348</v>
      </c>
      <c r="B3727">
        <v>1</v>
      </c>
      <c r="C3727">
        <v>3</v>
      </c>
      <c r="D3727">
        <v>23</v>
      </c>
    </row>
    <row r="3728" spans="1:4" x14ac:dyDescent="0.25">
      <c r="A3728" s="1">
        <v>41349</v>
      </c>
      <c r="B3728">
        <v>1</v>
      </c>
      <c r="C3728">
        <v>3</v>
      </c>
      <c r="D3728">
        <v>30</v>
      </c>
    </row>
    <row r="3729" spans="1:4" x14ac:dyDescent="0.25">
      <c r="A3729" s="1">
        <v>41350</v>
      </c>
      <c r="B3729">
        <v>1</v>
      </c>
      <c r="C3729">
        <v>3</v>
      </c>
      <c r="D3729">
        <v>24</v>
      </c>
    </row>
    <row r="3730" spans="1:4" x14ac:dyDescent="0.25">
      <c r="A3730" s="1">
        <v>41351</v>
      </c>
      <c r="B3730">
        <v>1</v>
      </c>
      <c r="C3730">
        <v>3</v>
      </c>
      <c r="D3730">
        <v>19</v>
      </c>
    </row>
    <row r="3731" spans="1:4" x14ac:dyDescent="0.25">
      <c r="A3731" s="1">
        <v>41352</v>
      </c>
      <c r="B3731">
        <v>1</v>
      </c>
      <c r="C3731">
        <v>3</v>
      </c>
      <c r="D3731">
        <v>21</v>
      </c>
    </row>
    <row r="3732" spans="1:4" x14ac:dyDescent="0.25">
      <c r="A3732" s="1">
        <v>41353</v>
      </c>
      <c r="B3732">
        <v>1</v>
      </c>
      <c r="C3732">
        <v>3</v>
      </c>
      <c r="D3732">
        <v>25</v>
      </c>
    </row>
    <row r="3733" spans="1:4" x14ac:dyDescent="0.25">
      <c r="A3733" s="1">
        <v>41354</v>
      </c>
      <c r="B3733">
        <v>1</v>
      </c>
      <c r="C3733">
        <v>3</v>
      </c>
      <c r="D3733">
        <v>24</v>
      </c>
    </row>
    <row r="3734" spans="1:4" x14ac:dyDescent="0.25">
      <c r="A3734" s="1">
        <v>41355</v>
      </c>
      <c r="B3734">
        <v>1</v>
      </c>
      <c r="C3734">
        <v>3</v>
      </c>
      <c r="D3734">
        <v>31</v>
      </c>
    </row>
    <row r="3735" spans="1:4" x14ac:dyDescent="0.25">
      <c r="A3735" s="1">
        <v>41356</v>
      </c>
      <c r="B3735">
        <v>1</v>
      </c>
      <c r="C3735">
        <v>3</v>
      </c>
      <c r="D3735">
        <v>41</v>
      </c>
    </row>
    <row r="3736" spans="1:4" x14ac:dyDescent="0.25">
      <c r="A3736" s="1">
        <v>41357</v>
      </c>
      <c r="B3736">
        <v>1</v>
      </c>
      <c r="C3736">
        <v>3</v>
      </c>
      <c r="D3736">
        <v>27</v>
      </c>
    </row>
    <row r="3737" spans="1:4" x14ac:dyDescent="0.25">
      <c r="A3737" s="1">
        <v>41358</v>
      </c>
      <c r="B3737">
        <v>1</v>
      </c>
      <c r="C3737">
        <v>3</v>
      </c>
      <c r="D3737">
        <v>14</v>
      </c>
    </row>
    <row r="3738" spans="1:4" x14ac:dyDescent="0.25">
      <c r="A3738" s="1">
        <v>41359</v>
      </c>
      <c r="B3738">
        <v>1</v>
      </c>
      <c r="C3738">
        <v>3</v>
      </c>
      <c r="D3738">
        <v>30</v>
      </c>
    </row>
    <row r="3739" spans="1:4" x14ac:dyDescent="0.25">
      <c r="A3739" s="1">
        <v>41360</v>
      </c>
      <c r="B3739">
        <v>1</v>
      </c>
      <c r="C3739">
        <v>3</v>
      </c>
      <c r="D3739">
        <v>23</v>
      </c>
    </row>
    <row r="3740" spans="1:4" x14ac:dyDescent="0.25">
      <c r="A3740" s="1">
        <v>41361</v>
      </c>
      <c r="B3740">
        <v>1</v>
      </c>
      <c r="C3740">
        <v>3</v>
      </c>
      <c r="D3740">
        <v>23</v>
      </c>
    </row>
    <row r="3741" spans="1:4" x14ac:dyDescent="0.25">
      <c r="A3741" s="1">
        <v>41362</v>
      </c>
      <c r="B3741">
        <v>1</v>
      </c>
      <c r="C3741">
        <v>3</v>
      </c>
      <c r="D3741">
        <v>21</v>
      </c>
    </row>
    <row r="3742" spans="1:4" x14ac:dyDescent="0.25">
      <c r="A3742" s="1">
        <v>41363</v>
      </c>
      <c r="B3742">
        <v>1</v>
      </c>
      <c r="C3742">
        <v>3</v>
      </c>
      <c r="D3742">
        <v>30</v>
      </c>
    </row>
    <row r="3743" spans="1:4" x14ac:dyDescent="0.25">
      <c r="A3743" s="1">
        <v>41364</v>
      </c>
      <c r="B3743">
        <v>1</v>
      </c>
      <c r="C3743">
        <v>3</v>
      </c>
      <c r="D3743">
        <v>34</v>
      </c>
    </row>
    <row r="3744" spans="1:4" x14ac:dyDescent="0.25">
      <c r="A3744" s="1">
        <v>41365</v>
      </c>
      <c r="B3744">
        <v>1</v>
      </c>
      <c r="C3744">
        <v>3</v>
      </c>
      <c r="D3744">
        <v>23</v>
      </c>
    </row>
    <row r="3745" spans="1:4" x14ac:dyDescent="0.25">
      <c r="A3745" s="1">
        <v>41366</v>
      </c>
      <c r="B3745">
        <v>1</v>
      </c>
      <c r="C3745">
        <v>3</v>
      </c>
      <c r="D3745">
        <v>25</v>
      </c>
    </row>
    <row r="3746" spans="1:4" x14ac:dyDescent="0.25">
      <c r="A3746" s="1">
        <v>41367</v>
      </c>
      <c r="B3746">
        <v>1</v>
      </c>
      <c r="C3746">
        <v>3</v>
      </c>
      <c r="D3746">
        <v>18</v>
      </c>
    </row>
    <row r="3747" spans="1:4" x14ac:dyDescent="0.25">
      <c r="A3747" s="1">
        <v>41368</v>
      </c>
      <c r="B3747">
        <v>1</v>
      </c>
      <c r="C3747">
        <v>3</v>
      </c>
      <c r="D3747">
        <v>31</v>
      </c>
    </row>
    <row r="3748" spans="1:4" x14ac:dyDescent="0.25">
      <c r="A3748" s="1">
        <v>41369</v>
      </c>
      <c r="B3748">
        <v>1</v>
      </c>
      <c r="C3748">
        <v>3</v>
      </c>
      <c r="D3748">
        <v>43</v>
      </c>
    </row>
    <row r="3749" spans="1:4" x14ac:dyDescent="0.25">
      <c r="A3749" s="1">
        <v>41370</v>
      </c>
      <c r="B3749">
        <v>1</v>
      </c>
      <c r="C3749">
        <v>3</v>
      </c>
      <c r="D3749">
        <v>34</v>
      </c>
    </row>
    <row r="3750" spans="1:4" x14ac:dyDescent="0.25">
      <c r="A3750" s="1">
        <v>41371</v>
      </c>
      <c r="B3750">
        <v>1</v>
      </c>
      <c r="C3750">
        <v>3</v>
      </c>
      <c r="D3750">
        <v>37</v>
      </c>
    </row>
    <row r="3751" spans="1:4" x14ac:dyDescent="0.25">
      <c r="A3751" s="1">
        <v>41372</v>
      </c>
      <c r="B3751">
        <v>1</v>
      </c>
      <c r="C3751">
        <v>3</v>
      </c>
      <c r="D3751">
        <v>19</v>
      </c>
    </row>
    <row r="3752" spans="1:4" x14ac:dyDescent="0.25">
      <c r="A3752" s="1">
        <v>41373</v>
      </c>
      <c r="B3752">
        <v>1</v>
      </c>
      <c r="C3752">
        <v>3</v>
      </c>
      <c r="D3752">
        <v>17</v>
      </c>
    </row>
    <row r="3753" spans="1:4" x14ac:dyDescent="0.25">
      <c r="A3753" s="1">
        <v>41374</v>
      </c>
      <c r="B3753">
        <v>1</v>
      </c>
      <c r="C3753">
        <v>3</v>
      </c>
      <c r="D3753">
        <v>24</v>
      </c>
    </row>
    <row r="3754" spans="1:4" x14ac:dyDescent="0.25">
      <c r="A3754" s="1">
        <v>41375</v>
      </c>
      <c r="B3754">
        <v>1</v>
      </c>
      <c r="C3754">
        <v>3</v>
      </c>
      <c r="D3754">
        <v>34</v>
      </c>
    </row>
    <row r="3755" spans="1:4" x14ac:dyDescent="0.25">
      <c r="A3755" s="1">
        <v>41376</v>
      </c>
      <c r="B3755">
        <v>1</v>
      </c>
      <c r="C3755">
        <v>3</v>
      </c>
      <c r="D3755">
        <v>37</v>
      </c>
    </row>
    <row r="3756" spans="1:4" x14ac:dyDescent="0.25">
      <c r="A3756" s="1">
        <v>41377</v>
      </c>
      <c r="B3756">
        <v>1</v>
      </c>
      <c r="C3756">
        <v>3</v>
      </c>
      <c r="D3756">
        <v>31</v>
      </c>
    </row>
    <row r="3757" spans="1:4" x14ac:dyDescent="0.25">
      <c r="A3757" s="1">
        <v>41378</v>
      </c>
      <c r="B3757">
        <v>1</v>
      </c>
      <c r="C3757">
        <v>3</v>
      </c>
      <c r="D3757">
        <v>39</v>
      </c>
    </row>
    <row r="3758" spans="1:4" x14ac:dyDescent="0.25">
      <c r="A3758" s="1">
        <v>41379</v>
      </c>
      <c r="B3758">
        <v>1</v>
      </c>
      <c r="C3758">
        <v>3</v>
      </c>
      <c r="D3758">
        <v>24</v>
      </c>
    </row>
    <row r="3759" spans="1:4" x14ac:dyDescent="0.25">
      <c r="A3759" s="1">
        <v>41380</v>
      </c>
      <c r="B3759">
        <v>1</v>
      </c>
      <c r="C3759">
        <v>3</v>
      </c>
      <c r="D3759">
        <v>13</v>
      </c>
    </row>
    <row r="3760" spans="1:4" x14ac:dyDescent="0.25">
      <c r="A3760" s="1">
        <v>41381</v>
      </c>
      <c r="B3760">
        <v>1</v>
      </c>
      <c r="C3760">
        <v>3</v>
      </c>
      <c r="D3760">
        <v>25</v>
      </c>
    </row>
    <row r="3761" spans="1:4" x14ac:dyDescent="0.25">
      <c r="A3761" s="1">
        <v>41382</v>
      </c>
      <c r="B3761">
        <v>1</v>
      </c>
      <c r="C3761">
        <v>3</v>
      </c>
      <c r="D3761">
        <v>21</v>
      </c>
    </row>
    <row r="3762" spans="1:4" x14ac:dyDescent="0.25">
      <c r="A3762" s="1">
        <v>41383</v>
      </c>
      <c r="B3762">
        <v>1</v>
      </c>
      <c r="C3762">
        <v>3</v>
      </c>
      <c r="D3762">
        <v>40</v>
      </c>
    </row>
    <row r="3763" spans="1:4" x14ac:dyDescent="0.25">
      <c r="A3763" s="1">
        <v>41384</v>
      </c>
      <c r="B3763">
        <v>1</v>
      </c>
      <c r="C3763">
        <v>3</v>
      </c>
      <c r="D3763">
        <v>29</v>
      </c>
    </row>
    <row r="3764" spans="1:4" x14ac:dyDescent="0.25">
      <c r="A3764" s="1">
        <v>41385</v>
      </c>
      <c r="B3764">
        <v>1</v>
      </c>
      <c r="C3764">
        <v>3</v>
      </c>
      <c r="D3764">
        <v>35</v>
      </c>
    </row>
    <row r="3765" spans="1:4" x14ac:dyDescent="0.25">
      <c r="A3765" s="1">
        <v>41386</v>
      </c>
      <c r="B3765">
        <v>1</v>
      </c>
      <c r="C3765">
        <v>3</v>
      </c>
      <c r="D3765">
        <v>33</v>
      </c>
    </row>
    <row r="3766" spans="1:4" x14ac:dyDescent="0.25">
      <c r="A3766" s="1">
        <v>41387</v>
      </c>
      <c r="B3766">
        <v>1</v>
      </c>
      <c r="C3766">
        <v>3</v>
      </c>
      <c r="D3766">
        <v>32</v>
      </c>
    </row>
    <row r="3767" spans="1:4" x14ac:dyDescent="0.25">
      <c r="A3767" s="1">
        <v>41388</v>
      </c>
      <c r="B3767">
        <v>1</v>
      </c>
      <c r="C3767">
        <v>3</v>
      </c>
      <c r="D3767">
        <v>33</v>
      </c>
    </row>
    <row r="3768" spans="1:4" x14ac:dyDescent="0.25">
      <c r="A3768" s="1">
        <v>41389</v>
      </c>
      <c r="B3768">
        <v>1</v>
      </c>
      <c r="C3768">
        <v>3</v>
      </c>
      <c r="D3768">
        <v>31</v>
      </c>
    </row>
    <row r="3769" spans="1:4" x14ac:dyDescent="0.25">
      <c r="A3769" s="1">
        <v>41390</v>
      </c>
      <c r="B3769">
        <v>1</v>
      </c>
      <c r="C3769">
        <v>3</v>
      </c>
      <c r="D3769">
        <v>21</v>
      </c>
    </row>
    <row r="3770" spans="1:4" x14ac:dyDescent="0.25">
      <c r="A3770" s="1">
        <v>41391</v>
      </c>
      <c r="B3770">
        <v>1</v>
      </c>
      <c r="C3770">
        <v>3</v>
      </c>
      <c r="D3770">
        <v>32</v>
      </c>
    </row>
    <row r="3771" spans="1:4" x14ac:dyDescent="0.25">
      <c r="A3771" s="1">
        <v>41392</v>
      </c>
      <c r="B3771">
        <v>1</v>
      </c>
      <c r="C3771">
        <v>3</v>
      </c>
      <c r="D3771">
        <v>28</v>
      </c>
    </row>
    <row r="3772" spans="1:4" x14ac:dyDescent="0.25">
      <c r="A3772" s="1">
        <v>41393</v>
      </c>
      <c r="B3772">
        <v>1</v>
      </c>
      <c r="C3772">
        <v>3</v>
      </c>
      <c r="D3772">
        <v>16</v>
      </c>
    </row>
    <row r="3773" spans="1:4" x14ac:dyDescent="0.25">
      <c r="A3773" s="1">
        <v>41394</v>
      </c>
      <c r="B3773">
        <v>1</v>
      </c>
      <c r="C3773">
        <v>3</v>
      </c>
      <c r="D3773">
        <v>28</v>
      </c>
    </row>
    <row r="3774" spans="1:4" x14ac:dyDescent="0.25">
      <c r="A3774" s="1">
        <v>41395</v>
      </c>
      <c r="B3774">
        <v>1</v>
      </c>
      <c r="C3774">
        <v>3</v>
      </c>
      <c r="D3774">
        <v>38</v>
      </c>
    </row>
    <row r="3775" spans="1:4" x14ac:dyDescent="0.25">
      <c r="A3775" s="1">
        <v>41396</v>
      </c>
      <c r="B3775">
        <v>1</v>
      </c>
      <c r="C3775">
        <v>3</v>
      </c>
      <c r="D3775">
        <v>26</v>
      </c>
    </row>
    <row r="3776" spans="1:4" x14ac:dyDescent="0.25">
      <c r="A3776" s="1">
        <v>41397</v>
      </c>
      <c r="B3776">
        <v>1</v>
      </c>
      <c r="C3776">
        <v>3</v>
      </c>
      <c r="D3776">
        <v>41</v>
      </c>
    </row>
    <row r="3777" spans="1:4" x14ac:dyDescent="0.25">
      <c r="A3777" s="1">
        <v>41398</v>
      </c>
      <c r="B3777">
        <v>1</v>
      </c>
      <c r="C3777">
        <v>3</v>
      </c>
      <c r="D3777">
        <v>40</v>
      </c>
    </row>
    <row r="3778" spans="1:4" x14ac:dyDescent="0.25">
      <c r="A3778" s="1">
        <v>41399</v>
      </c>
      <c r="B3778">
        <v>1</v>
      </c>
      <c r="C3778">
        <v>3</v>
      </c>
      <c r="D3778">
        <v>33</v>
      </c>
    </row>
    <row r="3779" spans="1:4" x14ac:dyDescent="0.25">
      <c r="A3779" s="1">
        <v>41400</v>
      </c>
      <c r="B3779">
        <v>1</v>
      </c>
      <c r="C3779">
        <v>3</v>
      </c>
      <c r="D3779">
        <v>23</v>
      </c>
    </row>
    <row r="3780" spans="1:4" x14ac:dyDescent="0.25">
      <c r="A3780" s="1">
        <v>41401</v>
      </c>
      <c r="B3780">
        <v>1</v>
      </c>
      <c r="C3780">
        <v>3</v>
      </c>
      <c r="D3780">
        <v>29</v>
      </c>
    </row>
    <row r="3781" spans="1:4" x14ac:dyDescent="0.25">
      <c r="A3781" s="1">
        <v>41402</v>
      </c>
      <c r="B3781">
        <v>1</v>
      </c>
      <c r="C3781">
        <v>3</v>
      </c>
      <c r="D3781">
        <v>17</v>
      </c>
    </row>
    <row r="3782" spans="1:4" x14ac:dyDescent="0.25">
      <c r="A3782" s="1">
        <v>41403</v>
      </c>
      <c r="B3782">
        <v>1</v>
      </c>
      <c r="C3782">
        <v>3</v>
      </c>
      <c r="D3782">
        <v>23</v>
      </c>
    </row>
    <row r="3783" spans="1:4" x14ac:dyDescent="0.25">
      <c r="A3783" s="1">
        <v>41404</v>
      </c>
      <c r="B3783">
        <v>1</v>
      </c>
      <c r="C3783">
        <v>3</v>
      </c>
      <c r="D3783">
        <v>42</v>
      </c>
    </row>
    <row r="3784" spans="1:4" x14ac:dyDescent="0.25">
      <c r="A3784" s="1">
        <v>41405</v>
      </c>
      <c r="B3784">
        <v>1</v>
      </c>
      <c r="C3784">
        <v>3</v>
      </c>
      <c r="D3784">
        <v>34</v>
      </c>
    </row>
    <row r="3785" spans="1:4" x14ac:dyDescent="0.25">
      <c r="A3785" s="1">
        <v>41406</v>
      </c>
      <c r="B3785">
        <v>1</v>
      </c>
      <c r="C3785">
        <v>3</v>
      </c>
      <c r="D3785">
        <v>38</v>
      </c>
    </row>
    <row r="3786" spans="1:4" x14ac:dyDescent="0.25">
      <c r="A3786" s="1">
        <v>41407</v>
      </c>
      <c r="B3786">
        <v>1</v>
      </c>
      <c r="C3786">
        <v>3</v>
      </c>
      <c r="D3786">
        <v>17</v>
      </c>
    </row>
    <row r="3787" spans="1:4" x14ac:dyDescent="0.25">
      <c r="A3787" s="1">
        <v>41408</v>
      </c>
      <c r="B3787">
        <v>1</v>
      </c>
      <c r="C3787">
        <v>3</v>
      </c>
      <c r="D3787">
        <v>26</v>
      </c>
    </row>
    <row r="3788" spans="1:4" x14ac:dyDescent="0.25">
      <c r="A3788" s="1">
        <v>41409</v>
      </c>
      <c r="B3788">
        <v>1</v>
      </c>
      <c r="C3788">
        <v>3</v>
      </c>
      <c r="D3788">
        <v>34</v>
      </c>
    </row>
    <row r="3789" spans="1:4" x14ac:dyDescent="0.25">
      <c r="A3789" s="1">
        <v>41410</v>
      </c>
      <c r="B3789">
        <v>1</v>
      </c>
      <c r="C3789">
        <v>3</v>
      </c>
      <c r="D3789">
        <v>34</v>
      </c>
    </row>
    <row r="3790" spans="1:4" x14ac:dyDescent="0.25">
      <c r="A3790" s="1">
        <v>41411</v>
      </c>
      <c r="B3790">
        <v>1</v>
      </c>
      <c r="C3790">
        <v>3</v>
      </c>
      <c r="D3790">
        <v>34</v>
      </c>
    </row>
    <row r="3791" spans="1:4" x14ac:dyDescent="0.25">
      <c r="A3791" s="1">
        <v>41412</v>
      </c>
      <c r="B3791">
        <v>1</v>
      </c>
      <c r="C3791">
        <v>3</v>
      </c>
      <c r="D3791">
        <v>36</v>
      </c>
    </row>
    <row r="3792" spans="1:4" x14ac:dyDescent="0.25">
      <c r="A3792" s="1">
        <v>41413</v>
      </c>
      <c r="B3792">
        <v>1</v>
      </c>
      <c r="C3792">
        <v>3</v>
      </c>
      <c r="D3792">
        <v>41</v>
      </c>
    </row>
    <row r="3793" spans="1:4" x14ac:dyDescent="0.25">
      <c r="A3793" s="1">
        <v>41414</v>
      </c>
      <c r="B3793">
        <v>1</v>
      </c>
      <c r="C3793">
        <v>3</v>
      </c>
      <c r="D3793">
        <v>16</v>
      </c>
    </row>
    <row r="3794" spans="1:4" x14ac:dyDescent="0.25">
      <c r="A3794" s="1">
        <v>41415</v>
      </c>
      <c r="B3794">
        <v>1</v>
      </c>
      <c r="C3794">
        <v>3</v>
      </c>
      <c r="D3794">
        <v>35</v>
      </c>
    </row>
    <row r="3795" spans="1:4" x14ac:dyDescent="0.25">
      <c r="A3795" s="1">
        <v>41416</v>
      </c>
      <c r="B3795">
        <v>1</v>
      </c>
      <c r="C3795">
        <v>3</v>
      </c>
      <c r="D3795">
        <v>24</v>
      </c>
    </row>
    <row r="3796" spans="1:4" x14ac:dyDescent="0.25">
      <c r="A3796" s="1">
        <v>41417</v>
      </c>
      <c r="B3796">
        <v>1</v>
      </c>
      <c r="C3796">
        <v>3</v>
      </c>
      <c r="D3796">
        <v>39</v>
      </c>
    </row>
    <row r="3797" spans="1:4" x14ac:dyDescent="0.25">
      <c r="A3797" s="1">
        <v>41418</v>
      </c>
      <c r="B3797">
        <v>1</v>
      </c>
      <c r="C3797">
        <v>3</v>
      </c>
      <c r="D3797">
        <v>43</v>
      </c>
    </row>
    <row r="3798" spans="1:4" x14ac:dyDescent="0.25">
      <c r="A3798" s="1">
        <v>41419</v>
      </c>
      <c r="B3798">
        <v>1</v>
      </c>
      <c r="C3798">
        <v>3</v>
      </c>
      <c r="D3798">
        <v>34</v>
      </c>
    </row>
    <row r="3799" spans="1:4" x14ac:dyDescent="0.25">
      <c r="A3799" s="1">
        <v>41420</v>
      </c>
      <c r="B3799">
        <v>1</v>
      </c>
      <c r="C3799">
        <v>3</v>
      </c>
      <c r="D3799">
        <v>34</v>
      </c>
    </row>
    <row r="3800" spans="1:4" x14ac:dyDescent="0.25">
      <c r="A3800" s="1">
        <v>41421</v>
      </c>
      <c r="B3800">
        <v>1</v>
      </c>
      <c r="C3800">
        <v>3</v>
      </c>
      <c r="D3800">
        <v>26</v>
      </c>
    </row>
    <row r="3801" spans="1:4" x14ac:dyDescent="0.25">
      <c r="A3801" s="1">
        <v>41422</v>
      </c>
      <c r="B3801">
        <v>1</v>
      </c>
      <c r="C3801">
        <v>3</v>
      </c>
      <c r="D3801">
        <v>29</v>
      </c>
    </row>
    <row r="3802" spans="1:4" x14ac:dyDescent="0.25">
      <c r="A3802" s="1">
        <v>41423</v>
      </c>
      <c r="B3802">
        <v>1</v>
      </c>
      <c r="C3802">
        <v>3</v>
      </c>
      <c r="D3802">
        <v>33</v>
      </c>
    </row>
    <row r="3803" spans="1:4" x14ac:dyDescent="0.25">
      <c r="A3803" s="1">
        <v>41424</v>
      </c>
      <c r="B3803">
        <v>1</v>
      </c>
      <c r="C3803">
        <v>3</v>
      </c>
      <c r="D3803">
        <v>38</v>
      </c>
    </row>
    <row r="3804" spans="1:4" x14ac:dyDescent="0.25">
      <c r="A3804" s="1">
        <v>41425</v>
      </c>
      <c r="B3804">
        <v>1</v>
      </c>
      <c r="C3804">
        <v>3</v>
      </c>
      <c r="D3804">
        <v>36</v>
      </c>
    </row>
    <row r="3805" spans="1:4" x14ac:dyDescent="0.25">
      <c r="A3805" s="1">
        <v>41426</v>
      </c>
      <c r="B3805">
        <v>1</v>
      </c>
      <c r="C3805">
        <v>3</v>
      </c>
      <c r="D3805">
        <v>34</v>
      </c>
    </row>
    <row r="3806" spans="1:4" x14ac:dyDescent="0.25">
      <c r="A3806" s="1">
        <v>41427</v>
      </c>
      <c r="B3806">
        <v>1</v>
      </c>
      <c r="C3806">
        <v>3</v>
      </c>
      <c r="D3806">
        <v>34</v>
      </c>
    </row>
    <row r="3807" spans="1:4" x14ac:dyDescent="0.25">
      <c r="A3807" s="1">
        <v>41428</v>
      </c>
      <c r="B3807">
        <v>1</v>
      </c>
      <c r="C3807">
        <v>3</v>
      </c>
      <c r="D3807">
        <v>26</v>
      </c>
    </row>
    <row r="3808" spans="1:4" x14ac:dyDescent="0.25">
      <c r="A3808" s="1">
        <v>41429</v>
      </c>
      <c r="B3808">
        <v>1</v>
      </c>
      <c r="C3808">
        <v>3</v>
      </c>
      <c r="D3808">
        <v>32</v>
      </c>
    </row>
    <row r="3809" spans="1:4" x14ac:dyDescent="0.25">
      <c r="A3809" s="1">
        <v>41430</v>
      </c>
      <c r="B3809">
        <v>1</v>
      </c>
      <c r="C3809">
        <v>3</v>
      </c>
      <c r="D3809">
        <v>29</v>
      </c>
    </row>
    <row r="3810" spans="1:4" x14ac:dyDescent="0.25">
      <c r="A3810" s="1">
        <v>41431</v>
      </c>
      <c r="B3810">
        <v>1</v>
      </c>
      <c r="C3810">
        <v>3</v>
      </c>
      <c r="D3810">
        <v>29</v>
      </c>
    </row>
    <row r="3811" spans="1:4" x14ac:dyDescent="0.25">
      <c r="A3811" s="1">
        <v>41432</v>
      </c>
      <c r="B3811">
        <v>1</v>
      </c>
      <c r="C3811">
        <v>3</v>
      </c>
      <c r="D3811">
        <v>38</v>
      </c>
    </row>
    <row r="3812" spans="1:4" x14ac:dyDescent="0.25">
      <c r="A3812" s="1">
        <v>41433</v>
      </c>
      <c r="B3812">
        <v>1</v>
      </c>
      <c r="C3812">
        <v>3</v>
      </c>
      <c r="D3812">
        <v>36</v>
      </c>
    </row>
    <row r="3813" spans="1:4" x14ac:dyDescent="0.25">
      <c r="A3813" s="1">
        <v>41434</v>
      </c>
      <c r="B3813">
        <v>1</v>
      </c>
      <c r="C3813">
        <v>3</v>
      </c>
      <c r="D3813">
        <v>42</v>
      </c>
    </row>
    <row r="3814" spans="1:4" x14ac:dyDescent="0.25">
      <c r="A3814" s="1">
        <v>41435</v>
      </c>
      <c r="B3814">
        <v>1</v>
      </c>
      <c r="C3814">
        <v>3</v>
      </c>
      <c r="D3814">
        <v>27</v>
      </c>
    </row>
    <row r="3815" spans="1:4" x14ac:dyDescent="0.25">
      <c r="A3815" s="1">
        <v>41436</v>
      </c>
      <c r="B3815">
        <v>1</v>
      </c>
      <c r="C3815">
        <v>3</v>
      </c>
      <c r="D3815">
        <v>38</v>
      </c>
    </row>
    <row r="3816" spans="1:4" x14ac:dyDescent="0.25">
      <c r="A3816" s="1">
        <v>41437</v>
      </c>
      <c r="B3816">
        <v>1</v>
      </c>
      <c r="C3816">
        <v>3</v>
      </c>
      <c r="D3816">
        <v>30</v>
      </c>
    </row>
    <row r="3817" spans="1:4" x14ac:dyDescent="0.25">
      <c r="A3817" s="1">
        <v>41438</v>
      </c>
      <c r="B3817">
        <v>1</v>
      </c>
      <c r="C3817">
        <v>3</v>
      </c>
      <c r="D3817">
        <v>26</v>
      </c>
    </row>
    <row r="3818" spans="1:4" x14ac:dyDescent="0.25">
      <c r="A3818" s="1">
        <v>41439</v>
      </c>
      <c r="B3818">
        <v>1</v>
      </c>
      <c r="C3818">
        <v>3</v>
      </c>
      <c r="D3818">
        <v>25</v>
      </c>
    </row>
    <row r="3819" spans="1:4" x14ac:dyDescent="0.25">
      <c r="A3819" s="1">
        <v>41440</v>
      </c>
      <c r="B3819">
        <v>1</v>
      </c>
      <c r="C3819">
        <v>3</v>
      </c>
      <c r="D3819">
        <v>42</v>
      </c>
    </row>
    <row r="3820" spans="1:4" x14ac:dyDescent="0.25">
      <c r="A3820" s="1">
        <v>41441</v>
      </c>
      <c r="B3820">
        <v>1</v>
      </c>
      <c r="C3820">
        <v>3</v>
      </c>
      <c r="D3820">
        <v>46</v>
      </c>
    </row>
    <row r="3821" spans="1:4" x14ac:dyDescent="0.25">
      <c r="A3821" s="1">
        <v>41442</v>
      </c>
      <c r="B3821">
        <v>1</v>
      </c>
      <c r="C3821">
        <v>3</v>
      </c>
      <c r="D3821">
        <v>33</v>
      </c>
    </row>
    <row r="3822" spans="1:4" x14ac:dyDescent="0.25">
      <c r="A3822" s="1">
        <v>41443</v>
      </c>
      <c r="B3822">
        <v>1</v>
      </c>
      <c r="C3822">
        <v>3</v>
      </c>
      <c r="D3822">
        <v>27</v>
      </c>
    </row>
    <row r="3823" spans="1:4" x14ac:dyDescent="0.25">
      <c r="A3823" s="1">
        <v>41444</v>
      </c>
      <c r="B3823">
        <v>1</v>
      </c>
      <c r="C3823">
        <v>3</v>
      </c>
      <c r="D3823">
        <v>30</v>
      </c>
    </row>
    <row r="3824" spans="1:4" x14ac:dyDescent="0.25">
      <c r="A3824" s="1">
        <v>41445</v>
      </c>
      <c r="B3824">
        <v>1</v>
      </c>
      <c r="C3824">
        <v>3</v>
      </c>
      <c r="D3824">
        <v>35</v>
      </c>
    </row>
    <row r="3825" spans="1:4" x14ac:dyDescent="0.25">
      <c r="A3825" s="1">
        <v>41446</v>
      </c>
      <c r="B3825">
        <v>1</v>
      </c>
      <c r="C3825">
        <v>3</v>
      </c>
      <c r="D3825">
        <v>39</v>
      </c>
    </row>
    <row r="3826" spans="1:4" x14ac:dyDescent="0.25">
      <c r="A3826" s="1">
        <v>41447</v>
      </c>
      <c r="B3826">
        <v>1</v>
      </c>
      <c r="C3826">
        <v>3</v>
      </c>
      <c r="D3826">
        <v>23</v>
      </c>
    </row>
    <row r="3827" spans="1:4" x14ac:dyDescent="0.25">
      <c r="A3827" s="1">
        <v>41448</v>
      </c>
      <c r="B3827">
        <v>1</v>
      </c>
      <c r="C3827">
        <v>3</v>
      </c>
      <c r="D3827">
        <v>33</v>
      </c>
    </row>
    <row r="3828" spans="1:4" x14ac:dyDescent="0.25">
      <c r="A3828" s="1">
        <v>41449</v>
      </c>
      <c r="B3828">
        <v>1</v>
      </c>
      <c r="C3828">
        <v>3</v>
      </c>
      <c r="D3828">
        <v>27</v>
      </c>
    </row>
    <row r="3829" spans="1:4" x14ac:dyDescent="0.25">
      <c r="A3829" s="1">
        <v>41450</v>
      </c>
      <c r="B3829">
        <v>1</v>
      </c>
      <c r="C3829">
        <v>3</v>
      </c>
      <c r="D3829">
        <v>37</v>
      </c>
    </row>
    <row r="3830" spans="1:4" x14ac:dyDescent="0.25">
      <c r="A3830" s="1">
        <v>41451</v>
      </c>
      <c r="B3830">
        <v>1</v>
      </c>
      <c r="C3830">
        <v>3</v>
      </c>
      <c r="D3830">
        <v>29</v>
      </c>
    </row>
    <row r="3831" spans="1:4" x14ac:dyDescent="0.25">
      <c r="A3831" s="1">
        <v>41452</v>
      </c>
      <c r="B3831">
        <v>1</v>
      </c>
      <c r="C3831">
        <v>3</v>
      </c>
      <c r="D3831">
        <v>36</v>
      </c>
    </row>
    <row r="3832" spans="1:4" x14ac:dyDescent="0.25">
      <c r="A3832" s="1">
        <v>41453</v>
      </c>
      <c r="B3832">
        <v>1</v>
      </c>
      <c r="C3832">
        <v>3</v>
      </c>
      <c r="D3832">
        <v>33</v>
      </c>
    </row>
    <row r="3833" spans="1:4" x14ac:dyDescent="0.25">
      <c r="A3833" s="1">
        <v>41454</v>
      </c>
      <c r="B3833">
        <v>1</v>
      </c>
      <c r="C3833">
        <v>3</v>
      </c>
      <c r="D3833">
        <v>39</v>
      </c>
    </row>
    <row r="3834" spans="1:4" x14ac:dyDescent="0.25">
      <c r="A3834" s="1">
        <v>41455</v>
      </c>
      <c r="B3834">
        <v>1</v>
      </c>
      <c r="C3834">
        <v>3</v>
      </c>
      <c r="D3834">
        <v>41</v>
      </c>
    </row>
    <row r="3835" spans="1:4" x14ac:dyDescent="0.25">
      <c r="A3835" s="1">
        <v>41456</v>
      </c>
      <c r="B3835">
        <v>1</v>
      </c>
      <c r="C3835">
        <v>3</v>
      </c>
      <c r="D3835">
        <v>32</v>
      </c>
    </row>
    <row r="3836" spans="1:4" x14ac:dyDescent="0.25">
      <c r="A3836" s="1">
        <v>41457</v>
      </c>
      <c r="B3836">
        <v>1</v>
      </c>
      <c r="C3836">
        <v>3</v>
      </c>
      <c r="D3836">
        <v>33</v>
      </c>
    </row>
    <row r="3837" spans="1:4" x14ac:dyDescent="0.25">
      <c r="A3837" s="1">
        <v>41458</v>
      </c>
      <c r="B3837">
        <v>1</v>
      </c>
      <c r="C3837">
        <v>3</v>
      </c>
      <c r="D3837">
        <v>43</v>
      </c>
    </row>
    <row r="3838" spans="1:4" x14ac:dyDescent="0.25">
      <c r="A3838" s="1">
        <v>41459</v>
      </c>
      <c r="B3838">
        <v>1</v>
      </c>
      <c r="C3838">
        <v>3</v>
      </c>
      <c r="D3838">
        <v>37</v>
      </c>
    </row>
    <row r="3839" spans="1:4" x14ac:dyDescent="0.25">
      <c r="A3839" s="1">
        <v>41460</v>
      </c>
      <c r="B3839">
        <v>1</v>
      </c>
      <c r="C3839">
        <v>3</v>
      </c>
      <c r="D3839">
        <v>29</v>
      </c>
    </row>
    <row r="3840" spans="1:4" x14ac:dyDescent="0.25">
      <c r="A3840" s="1">
        <v>41461</v>
      </c>
      <c r="B3840">
        <v>1</v>
      </c>
      <c r="C3840">
        <v>3</v>
      </c>
      <c r="D3840">
        <v>27</v>
      </c>
    </row>
    <row r="3841" spans="1:4" x14ac:dyDescent="0.25">
      <c r="A3841" s="1">
        <v>41462</v>
      </c>
      <c r="B3841">
        <v>1</v>
      </c>
      <c r="C3841">
        <v>3</v>
      </c>
      <c r="D3841">
        <v>39</v>
      </c>
    </row>
    <row r="3842" spans="1:4" x14ac:dyDescent="0.25">
      <c r="A3842" s="1">
        <v>41463</v>
      </c>
      <c r="B3842">
        <v>1</v>
      </c>
      <c r="C3842">
        <v>3</v>
      </c>
      <c r="D3842">
        <v>27</v>
      </c>
    </row>
    <row r="3843" spans="1:4" x14ac:dyDescent="0.25">
      <c r="A3843" s="1">
        <v>41464</v>
      </c>
      <c r="B3843">
        <v>1</v>
      </c>
      <c r="C3843">
        <v>3</v>
      </c>
      <c r="D3843">
        <v>24</v>
      </c>
    </row>
    <row r="3844" spans="1:4" x14ac:dyDescent="0.25">
      <c r="A3844" s="1">
        <v>41465</v>
      </c>
      <c r="B3844">
        <v>1</v>
      </c>
      <c r="C3844">
        <v>3</v>
      </c>
      <c r="D3844">
        <v>36</v>
      </c>
    </row>
    <row r="3845" spans="1:4" x14ac:dyDescent="0.25">
      <c r="A3845" s="1">
        <v>41466</v>
      </c>
      <c r="B3845">
        <v>1</v>
      </c>
      <c r="C3845">
        <v>3</v>
      </c>
      <c r="D3845">
        <v>38</v>
      </c>
    </row>
    <row r="3846" spans="1:4" x14ac:dyDescent="0.25">
      <c r="A3846" s="1">
        <v>41467</v>
      </c>
      <c r="B3846">
        <v>1</v>
      </c>
      <c r="C3846">
        <v>3</v>
      </c>
      <c r="D3846">
        <v>47</v>
      </c>
    </row>
    <row r="3847" spans="1:4" x14ac:dyDescent="0.25">
      <c r="A3847" s="1">
        <v>41468</v>
      </c>
      <c r="B3847">
        <v>1</v>
      </c>
      <c r="C3847">
        <v>3</v>
      </c>
      <c r="D3847">
        <v>33</v>
      </c>
    </row>
    <row r="3848" spans="1:4" x14ac:dyDescent="0.25">
      <c r="A3848" s="1">
        <v>41469</v>
      </c>
      <c r="B3848">
        <v>1</v>
      </c>
      <c r="C3848">
        <v>3</v>
      </c>
      <c r="D3848">
        <v>45</v>
      </c>
    </row>
    <row r="3849" spans="1:4" x14ac:dyDescent="0.25">
      <c r="A3849" s="1">
        <v>41470</v>
      </c>
      <c r="B3849">
        <v>1</v>
      </c>
      <c r="C3849">
        <v>3</v>
      </c>
      <c r="D3849">
        <v>28</v>
      </c>
    </row>
    <row r="3850" spans="1:4" x14ac:dyDescent="0.25">
      <c r="A3850" s="1">
        <v>41471</v>
      </c>
      <c r="B3850">
        <v>1</v>
      </c>
      <c r="C3850">
        <v>3</v>
      </c>
      <c r="D3850">
        <v>41</v>
      </c>
    </row>
    <row r="3851" spans="1:4" x14ac:dyDescent="0.25">
      <c r="A3851" s="1">
        <v>41472</v>
      </c>
      <c r="B3851">
        <v>1</v>
      </c>
      <c r="C3851">
        <v>3</v>
      </c>
      <c r="D3851">
        <v>29</v>
      </c>
    </row>
    <row r="3852" spans="1:4" x14ac:dyDescent="0.25">
      <c r="A3852" s="1">
        <v>41473</v>
      </c>
      <c r="B3852">
        <v>1</v>
      </c>
      <c r="C3852">
        <v>3</v>
      </c>
      <c r="D3852">
        <v>37</v>
      </c>
    </row>
    <row r="3853" spans="1:4" x14ac:dyDescent="0.25">
      <c r="A3853" s="1">
        <v>41474</v>
      </c>
      <c r="B3853">
        <v>1</v>
      </c>
      <c r="C3853">
        <v>3</v>
      </c>
      <c r="D3853">
        <v>29</v>
      </c>
    </row>
    <row r="3854" spans="1:4" x14ac:dyDescent="0.25">
      <c r="A3854" s="1">
        <v>41475</v>
      </c>
      <c r="B3854">
        <v>1</v>
      </c>
      <c r="C3854">
        <v>3</v>
      </c>
      <c r="D3854">
        <v>43</v>
      </c>
    </row>
    <row r="3855" spans="1:4" x14ac:dyDescent="0.25">
      <c r="A3855" s="1">
        <v>41476</v>
      </c>
      <c r="B3855">
        <v>1</v>
      </c>
      <c r="C3855">
        <v>3</v>
      </c>
      <c r="D3855">
        <v>45</v>
      </c>
    </row>
    <row r="3856" spans="1:4" x14ac:dyDescent="0.25">
      <c r="A3856" s="1">
        <v>41477</v>
      </c>
      <c r="B3856">
        <v>1</v>
      </c>
      <c r="C3856">
        <v>3</v>
      </c>
      <c r="D3856">
        <v>22</v>
      </c>
    </row>
    <row r="3857" spans="1:4" x14ac:dyDescent="0.25">
      <c r="A3857" s="1">
        <v>41478</v>
      </c>
      <c r="B3857">
        <v>1</v>
      </c>
      <c r="C3857">
        <v>3</v>
      </c>
      <c r="D3857">
        <v>45</v>
      </c>
    </row>
    <row r="3858" spans="1:4" x14ac:dyDescent="0.25">
      <c r="A3858" s="1">
        <v>41479</v>
      </c>
      <c r="B3858">
        <v>1</v>
      </c>
      <c r="C3858">
        <v>3</v>
      </c>
      <c r="D3858">
        <v>43</v>
      </c>
    </row>
    <row r="3859" spans="1:4" x14ac:dyDescent="0.25">
      <c r="A3859" s="1">
        <v>41480</v>
      </c>
      <c r="B3859">
        <v>1</v>
      </c>
      <c r="C3859">
        <v>3</v>
      </c>
      <c r="D3859">
        <v>34</v>
      </c>
    </row>
    <row r="3860" spans="1:4" x14ac:dyDescent="0.25">
      <c r="A3860" s="1">
        <v>41481</v>
      </c>
      <c r="B3860">
        <v>1</v>
      </c>
      <c r="C3860">
        <v>3</v>
      </c>
      <c r="D3860">
        <v>42</v>
      </c>
    </row>
    <row r="3861" spans="1:4" x14ac:dyDescent="0.25">
      <c r="A3861" s="1">
        <v>41482</v>
      </c>
      <c r="B3861">
        <v>1</v>
      </c>
      <c r="C3861">
        <v>3</v>
      </c>
      <c r="D3861">
        <v>31</v>
      </c>
    </row>
    <row r="3862" spans="1:4" x14ac:dyDescent="0.25">
      <c r="A3862" s="1">
        <v>41483</v>
      </c>
      <c r="B3862">
        <v>1</v>
      </c>
      <c r="C3862">
        <v>3</v>
      </c>
      <c r="D3862">
        <v>50</v>
      </c>
    </row>
    <row r="3863" spans="1:4" x14ac:dyDescent="0.25">
      <c r="A3863" s="1">
        <v>41484</v>
      </c>
      <c r="B3863">
        <v>1</v>
      </c>
      <c r="C3863">
        <v>3</v>
      </c>
      <c r="D3863">
        <v>21</v>
      </c>
    </row>
    <row r="3864" spans="1:4" x14ac:dyDescent="0.25">
      <c r="A3864" s="1">
        <v>41485</v>
      </c>
      <c r="B3864">
        <v>1</v>
      </c>
      <c r="C3864">
        <v>3</v>
      </c>
      <c r="D3864">
        <v>38</v>
      </c>
    </row>
    <row r="3865" spans="1:4" x14ac:dyDescent="0.25">
      <c r="A3865" s="1">
        <v>41486</v>
      </c>
      <c r="B3865">
        <v>1</v>
      </c>
      <c r="C3865">
        <v>3</v>
      </c>
      <c r="D3865">
        <v>37</v>
      </c>
    </row>
    <row r="3866" spans="1:4" x14ac:dyDescent="0.25">
      <c r="A3866" s="1">
        <v>41487</v>
      </c>
      <c r="B3866">
        <v>1</v>
      </c>
      <c r="C3866">
        <v>3</v>
      </c>
      <c r="D3866">
        <v>28</v>
      </c>
    </row>
    <row r="3867" spans="1:4" x14ac:dyDescent="0.25">
      <c r="A3867" s="1">
        <v>41488</v>
      </c>
      <c r="B3867">
        <v>1</v>
      </c>
      <c r="C3867">
        <v>3</v>
      </c>
      <c r="D3867">
        <v>35</v>
      </c>
    </row>
    <row r="3868" spans="1:4" x14ac:dyDescent="0.25">
      <c r="A3868" s="1">
        <v>41489</v>
      </c>
      <c r="B3868">
        <v>1</v>
      </c>
      <c r="C3868">
        <v>3</v>
      </c>
      <c r="D3868">
        <v>36</v>
      </c>
    </row>
    <row r="3869" spans="1:4" x14ac:dyDescent="0.25">
      <c r="A3869" s="1">
        <v>41490</v>
      </c>
      <c r="B3869">
        <v>1</v>
      </c>
      <c r="C3869">
        <v>3</v>
      </c>
      <c r="D3869">
        <v>24</v>
      </c>
    </row>
    <row r="3870" spans="1:4" x14ac:dyDescent="0.25">
      <c r="A3870" s="1">
        <v>41491</v>
      </c>
      <c r="B3870">
        <v>1</v>
      </c>
      <c r="C3870">
        <v>3</v>
      </c>
      <c r="D3870">
        <v>18</v>
      </c>
    </row>
    <row r="3871" spans="1:4" x14ac:dyDescent="0.25">
      <c r="A3871" s="1">
        <v>41492</v>
      </c>
      <c r="B3871">
        <v>1</v>
      </c>
      <c r="C3871">
        <v>3</v>
      </c>
      <c r="D3871">
        <v>42</v>
      </c>
    </row>
    <row r="3872" spans="1:4" x14ac:dyDescent="0.25">
      <c r="A3872" s="1">
        <v>41493</v>
      </c>
      <c r="B3872">
        <v>1</v>
      </c>
      <c r="C3872">
        <v>3</v>
      </c>
      <c r="D3872">
        <v>27</v>
      </c>
    </row>
    <row r="3873" spans="1:4" x14ac:dyDescent="0.25">
      <c r="A3873" s="1">
        <v>41494</v>
      </c>
      <c r="B3873">
        <v>1</v>
      </c>
      <c r="C3873">
        <v>3</v>
      </c>
      <c r="D3873">
        <v>35</v>
      </c>
    </row>
    <row r="3874" spans="1:4" x14ac:dyDescent="0.25">
      <c r="A3874" s="1">
        <v>41495</v>
      </c>
      <c r="B3874">
        <v>1</v>
      </c>
      <c r="C3874">
        <v>3</v>
      </c>
      <c r="D3874">
        <v>39</v>
      </c>
    </row>
    <row r="3875" spans="1:4" x14ac:dyDescent="0.25">
      <c r="A3875" s="1">
        <v>41496</v>
      </c>
      <c r="B3875">
        <v>1</v>
      </c>
      <c r="C3875">
        <v>3</v>
      </c>
      <c r="D3875">
        <v>43</v>
      </c>
    </row>
    <row r="3876" spans="1:4" x14ac:dyDescent="0.25">
      <c r="A3876" s="1">
        <v>41497</v>
      </c>
      <c r="B3876">
        <v>1</v>
      </c>
      <c r="C3876">
        <v>3</v>
      </c>
      <c r="D3876">
        <v>30</v>
      </c>
    </row>
    <row r="3877" spans="1:4" x14ac:dyDescent="0.25">
      <c r="A3877" s="1">
        <v>41498</v>
      </c>
      <c r="B3877">
        <v>1</v>
      </c>
      <c r="C3877">
        <v>3</v>
      </c>
      <c r="D3877">
        <v>21</v>
      </c>
    </row>
    <row r="3878" spans="1:4" x14ac:dyDescent="0.25">
      <c r="A3878" s="1">
        <v>41499</v>
      </c>
      <c r="B3878">
        <v>1</v>
      </c>
      <c r="C3878">
        <v>3</v>
      </c>
      <c r="D3878">
        <v>34</v>
      </c>
    </row>
    <row r="3879" spans="1:4" x14ac:dyDescent="0.25">
      <c r="A3879" s="1">
        <v>41500</v>
      </c>
      <c r="B3879">
        <v>1</v>
      </c>
      <c r="C3879">
        <v>3</v>
      </c>
      <c r="D3879">
        <v>28</v>
      </c>
    </row>
    <row r="3880" spans="1:4" x14ac:dyDescent="0.25">
      <c r="A3880" s="1">
        <v>41501</v>
      </c>
      <c r="B3880">
        <v>1</v>
      </c>
      <c r="C3880">
        <v>3</v>
      </c>
      <c r="D3880">
        <v>36</v>
      </c>
    </row>
    <row r="3881" spans="1:4" x14ac:dyDescent="0.25">
      <c r="A3881" s="1">
        <v>41502</v>
      </c>
      <c r="B3881">
        <v>1</v>
      </c>
      <c r="C3881">
        <v>3</v>
      </c>
      <c r="D3881">
        <v>37</v>
      </c>
    </row>
    <row r="3882" spans="1:4" x14ac:dyDescent="0.25">
      <c r="A3882" s="1">
        <v>41503</v>
      </c>
      <c r="B3882">
        <v>1</v>
      </c>
      <c r="C3882">
        <v>3</v>
      </c>
      <c r="D3882">
        <v>29</v>
      </c>
    </row>
    <row r="3883" spans="1:4" x14ac:dyDescent="0.25">
      <c r="A3883" s="1">
        <v>41504</v>
      </c>
      <c r="B3883">
        <v>1</v>
      </c>
      <c r="C3883">
        <v>3</v>
      </c>
      <c r="D3883">
        <v>34</v>
      </c>
    </row>
    <row r="3884" spans="1:4" x14ac:dyDescent="0.25">
      <c r="A3884" s="1">
        <v>41505</v>
      </c>
      <c r="B3884">
        <v>1</v>
      </c>
      <c r="C3884">
        <v>3</v>
      </c>
      <c r="D3884">
        <v>36</v>
      </c>
    </row>
    <row r="3885" spans="1:4" x14ac:dyDescent="0.25">
      <c r="A3885" s="1">
        <v>41506</v>
      </c>
      <c r="B3885">
        <v>1</v>
      </c>
      <c r="C3885">
        <v>3</v>
      </c>
      <c r="D3885">
        <v>31</v>
      </c>
    </row>
    <row r="3886" spans="1:4" x14ac:dyDescent="0.25">
      <c r="A3886" s="1">
        <v>41507</v>
      </c>
      <c r="B3886">
        <v>1</v>
      </c>
      <c r="C3886">
        <v>3</v>
      </c>
      <c r="D3886">
        <v>22</v>
      </c>
    </row>
    <row r="3887" spans="1:4" x14ac:dyDescent="0.25">
      <c r="A3887" s="1">
        <v>41508</v>
      </c>
      <c r="B3887">
        <v>1</v>
      </c>
      <c r="C3887">
        <v>3</v>
      </c>
      <c r="D3887">
        <v>30</v>
      </c>
    </row>
    <row r="3888" spans="1:4" x14ac:dyDescent="0.25">
      <c r="A3888" s="1">
        <v>41509</v>
      </c>
      <c r="B3888">
        <v>1</v>
      </c>
      <c r="C3888">
        <v>3</v>
      </c>
      <c r="D3888">
        <v>38</v>
      </c>
    </row>
    <row r="3889" spans="1:4" x14ac:dyDescent="0.25">
      <c r="A3889" s="1">
        <v>41510</v>
      </c>
      <c r="B3889">
        <v>1</v>
      </c>
      <c r="C3889">
        <v>3</v>
      </c>
      <c r="D3889">
        <v>46</v>
      </c>
    </row>
    <row r="3890" spans="1:4" x14ac:dyDescent="0.25">
      <c r="A3890" s="1">
        <v>41511</v>
      </c>
      <c r="B3890">
        <v>1</v>
      </c>
      <c r="C3890">
        <v>3</v>
      </c>
      <c r="D3890">
        <v>34</v>
      </c>
    </row>
    <row r="3891" spans="1:4" x14ac:dyDescent="0.25">
      <c r="A3891" s="1">
        <v>41512</v>
      </c>
      <c r="B3891">
        <v>1</v>
      </c>
      <c r="C3891">
        <v>3</v>
      </c>
      <c r="D3891">
        <v>22</v>
      </c>
    </row>
    <row r="3892" spans="1:4" x14ac:dyDescent="0.25">
      <c r="A3892" s="1">
        <v>41513</v>
      </c>
      <c r="B3892">
        <v>1</v>
      </c>
      <c r="C3892">
        <v>3</v>
      </c>
      <c r="D3892">
        <v>29</v>
      </c>
    </row>
    <row r="3893" spans="1:4" x14ac:dyDescent="0.25">
      <c r="A3893" s="1">
        <v>41514</v>
      </c>
      <c r="B3893">
        <v>1</v>
      </c>
      <c r="C3893">
        <v>3</v>
      </c>
      <c r="D3893">
        <v>28</v>
      </c>
    </row>
    <row r="3894" spans="1:4" x14ac:dyDescent="0.25">
      <c r="A3894" s="1">
        <v>41515</v>
      </c>
      <c r="B3894">
        <v>1</v>
      </c>
      <c r="C3894">
        <v>3</v>
      </c>
      <c r="D3894">
        <v>26</v>
      </c>
    </row>
    <row r="3895" spans="1:4" x14ac:dyDescent="0.25">
      <c r="A3895" s="1">
        <v>41516</v>
      </c>
      <c r="B3895">
        <v>1</v>
      </c>
      <c r="C3895">
        <v>3</v>
      </c>
      <c r="D3895">
        <v>44</v>
      </c>
    </row>
    <row r="3896" spans="1:4" x14ac:dyDescent="0.25">
      <c r="A3896" s="1">
        <v>41517</v>
      </c>
      <c r="B3896">
        <v>1</v>
      </c>
      <c r="C3896">
        <v>3</v>
      </c>
      <c r="D3896">
        <v>34</v>
      </c>
    </row>
    <row r="3897" spans="1:4" x14ac:dyDescent="0.25">
      <c r="A3897" s="1">
        <v>41518</v>
      </c>
      <c r="B3897">
        <v>1</v>
      </c>
      <c r="C3897">
        <v>3</v>
      </c>
      <c r="D3897">
        <v>42</v>
      </c>
    </row>
    <row r="3898" spans="1:4" x14ac:dyDescent="0.25">
      <c r="A3898" s="1">
        <v>41519</v>
      </c>
      <c r="B3898">
        <v>1</v>
      </c>
      <c r="C3898">
        <v>3</v>
      </c>
      <c r="D3898">
        <v>28</v>
      </c>
    </row>
    <row r="3899" spans="1:4" x14ac:dyDescent="0.25">
      <c r="A3899" s="1">
        <v>41520</v>
      </c>
      <c r="B3899">
        <v>1</v>
      </c>
      <c r="C3899">
        <v>3</v>
      </c>
      <c r="D3899">
        <v>29</v>
      </c>
    </row>
    <row r="3900" spans="1:4" x14ac:dyDescent="0.25">
      <c r="A3900" s="1">
        <v>41521</v>
      </c>
      <c r="B3900">
        <v>1</v>
      </c>
      <c r="C3900">
        <v>3</v>
      </c>
      <c r="D3900">
        <v>21</v>
      </c>
    </row>
    <row r="3901" spans="1:4" x14ac:dyDescent="0.25">
      <c r="A3901" s="1">
        <v>41522</v>
      </c>
      <c r="B3901">
        <v>1</v>
      </c>
      <c r="C3901">
        <v>3</v>
      </c>
      <c r="D3901">
        <v>30</v>
      </c>
    </row>
    <row r="3902" spans="1:4" x14ac:dyDescent="0.25">
      <c r="A3902" s="1">
        <v>41523</v>
      </c>
      <c r="B3902">
        <v>1</v>
      </c>
      <c r="C3902">
        <v>3</v>
      </c>
      <c r="D3902">
        <v>31</v>
      </c>
    </row>
    <row r="3903" spans="1:4" x14ac:dyDescent="0.25">
      <c r="A3903" s="1">
        <v>41524</v>
      </c>
      <c r="B3903">
        <v>1</v>
      </c>
      <c r="C3903">
        <v>3</v>
      </c>
      <c r="D3903">
        <v>37</v>
      </c>
    </row>
    <row r="3904" spans="1:4" x14ac:dyDescent="0.25">
      <c r="A3904" s="1">
        <v>41525</v>
      </c>
      <c r="B3904">
        <v>1</v>
      </c>
      <c r="C3904">
        <v>3</v>
      </c>
      <c r="D3904">
        <v>40</v>
      </c>
    </row>
    <row r="3905" spans="1:4" x14ac:dyDescent="0.25">
      <c r="A3905" s="1">
        <v>41526</v>
      </c>
      <c r="B3905">
        <v>1</v>
      </c>
      <c r="C3905">
        <v>3</v>
      </c>
      <c r="D3905">
        <v>18</v>
      </c>
    </row>
    <row r="3906" spans="1:4" x14ac:dyDescent="0.25">
      <c r="A3906" s="1">
        <v>41527</v>
      </c>
      <c r="B3906">
        <v>1</v>
      </c>
      <c r="C3906">
        <v>3</v>
      </c>
      <c r="D3906">
        <v>34</v>
      </c>
    </row>
    <row r="3907" spans="1:4" x14ac:dyDescent="0.25">
      <c r="A3907" s="1">
        <v>41528</v>
      </c>
      <c r="B3907">
        <v>1</v>
      </c>
      <c r="C3907">
        <v>3</v>
      </c>
      <c r="D3907">
        <v>27</v>
      </c>
    </row>
    <row r="3908" spans="1:4" x14ac:dyDescent="0.25">
      <c r="A3908" s="1">
        <v>41529</v>
      </c>
      <c r="B3908">
        <v>1</v>
      </c>
      <c r="C3908">
        <v>3</v>
      </c>
      <c r="D3908">
        <v>32</v>
      </c>
    </row>
    <row r="3909" spans="1:4" x14ac:dyDescent="0.25">
      <c r="A3909" s="1">
        <v>41530</v>
      </c>
      <c r="B3909">
        <v>1</v>
      </c>
      <c r="C3909">
        <v>3</v>
      </c>
      <c r="D3909">
        <v>29</v>
      </c>
    </row>
    <row r="3910" spans="1:4" x14ac:dyDescent="0.25">
      <c r="A3910" s="1">
        <v>41531</v>
      </c>
      <c r="B3910">
        <v>1</v>
      </c>
      <c r="C3910">
        <v>3</v>
      </c>
      <c r="D3910">
        <v>34</v>
      </c>
    </row>
    <row r="3911" spans="1:4" x14ac:dyDescent="0.25">
      <c r="A3911" s="1">
        <v>41532</v>
      </c>
      <c r="B3911">
        <v>1</v>
      </c>
      <c r="C3911">
        <v>3</v>
      </c>
      <c r="D3911">
        <v>28</v>
      </c>
    </row>
    <row r="3912" spans="1:4" x14ac:dyDescent="0.25">
      <c r="A3912" s="1">
        <v>41533</v>
      </c>
      <c r="B3912">
        <v>1</v>
      </c>
      <c r="C3912">
        <v>3</v>
      </c>
      <c r="D3912">
        <v>20</v>
      </c>
    </row>
    <row r="3913" spans="1:4" x14ac:dyDescent="0.25">
      <c r="A3913" s="1">
        <v>41534</v>
      </c>
      <c r="B3913">
        <v>1</v>
      </c>
      <c r="C3913">
        <v>3</v>
      </c>
      <c r="D3913">
        <v>25</v>
      </c>
    </row>
    <row r="3914" spans="1:4" x14ac:dyDescent="0.25">
      <c r="A3914" s="1">
        <v>41535</v>
      </c>
      <c r="B3914">
        <v>1</v>
      </c>
      <c r="C3914">
        <v>3</v>
      </c>
      <c r="D3914">
        <v>31</v>
      </c>
    </row>
    <row r="3915" spans="1:4" x14ac:dyDescent="0.25">
      <c r="A3915" s="1">
        <v>41536</v>
      </c>
      <c r="B3915">
        <v>1</v>
      </c>
      <c r="C3915">
        <v>3</v>
      </c>
      <c r="D3915">
        <v>33</v>
      </c>
    </row>
    <row r="3916" spans="1:4" x14ac:dyDescent="0.25">
      <c r="A3916" s="1">
        <v>41537</v>
      </c>
      <c r="B3916">
        <v>1</v>
      </c>
      <c r="C3916">
        <v>3</v>
      </c>
      <c r="D3916">
        <v>27</v>
      </c>
    </row>
    <row r="3917" spans="1:4" x14ac:dyDescent="0.25">
      <c r="A3917" s="1">
        <v>41538</v>
      </c>
      <c r="B3917">
        <v>1</v>
      </c>
      <c r="C3917">
        <v>3</v>
      </c>
      <c r="D3917">
        <v>33</v>
      </c>
    </row>
    <row r="3918" spans="1:4" x14ac:dyDescent="0.25">
      <c r="A3918" s="1">
        <v>41539</v>
      </c>
      <c r="B3918">
        <v>1</v>
      </c>
      <c r="C3918">
        <v>3</v>
      </c>
      <c r="D3918">
        <v>37</v>
      </c>
    </row>
    <row r="3919" spans="1:4" x14ac:dyDescent="0.25">
      <c r="A3919" s="1">
        <v>41540</v>
      </c>
      <c r="B3919">
        <v>1</v>
      </c>
      <c r="C3919">
        <v>3</v>
      </c>
      <c r="D3919">
        <v>13</v>
      </c>
    </row>
    <row r="3920" spans="1:4" x14ac:dyDescent="0.25">
      <c r="A3920" s="1">
        <v>41541</v>
      </c>
      <c r="B3920">
        <v>1</v>
      </c>
      <c r="C3920">
        <v>3</v>
      </c>
      <c r="D3920">
        <v>34</v>
      </c>
    </row>
    <row r="3921" spans="1:4" x14ac:dyDescent="0.25">
      <c r="A3921" s="1">
        <v>41542</v>
      </c>
      <c r="B3921">
        <v>1</v>
      </c>
      <c r="C3921">
        <v>3</v>
      </c>
      <c r="D3921">
        <v>25</v>
      </c>
    </row>
    <row r="3922" spans="1:4" x14ac:dyDescent="0.25">
      <c r="A3922" s="1">
        <v>41543</v>
      </c>
      <c r="B3922">
        <v>1</v>
      </c>
      <c r="C3922">
        <v>3</v>
      </c>
      <c r="D3922">
        <v>30</v>
      </c>
    </row>
    <row r="3923" spans="1:4" x14ac:dyDescent="0.25">
      <c r="A3923" s="1">
        <v>41544</v>
      </c>
      <c r="B3923">
        <v>1</v>
      </c>
      <c r="C3923">
        <v>3</v>
      </c>
      <c r="D3923">
        <v>34</v>
      </c>
    </row>
    <row r="3924" spans="1:4" x14ac:dyDescent="0.25">
      <c r="A3924" s="1">
        <v>41545</v>
      </c>
      <c r="B3924">
        <v>1</v>
      </c>
      <c r="C3924">
        <v>3</v>
      </c>
      <c r="D3924">
        <v>36</v>
      </c>
    </row>
    <row r="3925" spans="1:4" x14ac:dyDescent="0.25">
      <c r="A3925" s="1">
        <v>41546</v>
      </c>
      <c r="B3925">
        <v>1</v>
      </c>
      <c r="C3925">
        <v>3</v>
      </c>
      <c r="D3925">
        <v>32</v>
      </c>
    </row>
    <row r="3926" spans="1:4" x14ac:dyDescent="0.25">
      <c r="A3926" s="1">
        <v>41547</v>
      </c>
      <c r="B3926">
        <v>1</v>
      </c>
      <c r="C3926">
        <v>3</v>
      </c>
      <c r="D3926">
        <v>21</v>
      </c>
    </row>
    <row r="3927" spans="1:4" x14ac:dyDescent="0.25">
      <c r="A3927" s="1">
        <v>41548</v>
      </c>
      <c r="B3927">
        <v>1</v>
      </c>
      <c r="C3927">
        <v>3</v>
      </c>
      <c r="D3927">
        <v>21</v>
      </c>
    </row>
    <row r="3928" spans="1:4" x14ac:dyDescent="0.25">
      <c r="A3928" s="1">
        <v>41549</v>
      </c>
      <c r="B3928">
        <v>1</v>
      </c>
      <c r="C3928">
        <v>3</v>
      </c>
      <c r="D3928">
        <v>32</v>
      </c>
    </row>
    <row r="3929" spans="1:4" x14ac:dyDescent="0.25">
      <c r="A3929" s="1">
        <v>41550</v>
      </c>
      <c r="B3929">
        <v>1</v>
      </c>
      <c r="C3929">
        <v>3</v>
      </c>
      <c r="D3929">
        <v>32</v>
      </c>
    </row>
    <row r="3930" spans="1:4" x14ac:dyDescent="0.25">
      <c r="A3930" s="1">
        <v>41551</v>
      </c>
      <c r="B3930">
        <v>1</v>
      </c>
      <c r="C3930">
        <v>3</v>
      </c>
      <c r="D3930">
        <v>30</v>
      </c>
    </row>
    <row r="3931" spans="1:4" x14ac:dyDescent="0.25">
      <c r="A3931" s="1">
        <v>41552</v>
      </c>
      <c r="B3931">
        <v>1</v>
      </c>
      <c r="C3931">
        <v>3</v>
      </c>
      <c r="D3931">
        <v>26</v>
      </c>
    </row>
    <row r="3932" spans="1:4" x14ac:dyDescent="0.25">
      <c r="A3932" s="1">
        <v>41553</v>
      </c>
      <c r="B3932">
        <v>1</v>
      </c>
      <c r="C3932">
        <v>3</v>
      </c>
      <c r="D3932">
        <v>30</v>
      </c>
    </row>
    <row r="3933" spans="1:4" x14ac:dyDescent="0.25">
      <c r="A3933" s="1">
        <v>41554</v>
      </c>
      <c r="B3933">
        <v>1</v>
      </c>
      <c r="C3933">
        <v>3</v>
      </c>
      <c r="D3933">
        <v>16</v>
      </c>
    </row>
    <row r="3934" spans="1:4" x14ac:dyDescent="0.25">
      <c r="A3934" s="1">
        <v>41555</v>
      </c>
      <c r="B3934">
        <v>1</v>
      </c>
      <c r="C3934">
        <v>3</v>
      </c>
      <c r="D3934">
        <v>21</v>
      </c>
    </row>
    <row r="3935" spans="1:4" x14ac:dyDescent="0.25">
      <c r="A3935" s="1">
        <v>41556</v>
      </c>
      <c r="B3935">
        <v>1</v>
      </c>
      <c r="C3935">
        <v>3</v>
      </c>
      <c r="D3935">
        <v>21</v>
      </c>
    </row>
    <row r="3936" spans="1:4" x14ac:dyDescent="0.25">
      <c r="A3936" s="1">
        <v>41557</v>
      </c>
      <c r="B3936">
        <v>1</v>
      </c>
      <c r="C3936">
        <v>3</v>
      </c>
      <c r="D3936">
        <v>32</v>
      </c>
    </row>
    <row r="3937" spans="1:4" x14ac:dyDescent="0.25">
      <c r="A3937" s="1">
        <v>41558</v>
      </c>
      <c r="B3937">
        <v>1</v>
      </c>
      <c r="C3937">
        <v>3</v>
      </c>
      <c r="D3937">
        <v>19</v>
      </c>
    </row>
    <row r="3938" spans="1:4" x14ac:dyDescent="0.25">
      <c r="A3938" s="1">
        <v>41559</v>
      </c>
      <c r="B3938">
        <v>1</v>
      </c>
      <c r="C3938">
        <v>3</v>
      </c>
      <c r="D3938">
        <v>23</v>
      </c>
    </row>
    <row r="3939" spans="1:4" x14ac:dyDescent="0.25">
      <c r="A3939" s="1">
        <v>41560</v>
      </c>
      <c r="B3939">
        <v>1</v>
      </c>
      <c r="C3939">
        <v>3</v>
      </c>
      <c r="D3939">
        <v>23</v>
      </c>
    </row>
    <row r="3940" spans="1:4" x14ac:dyDescent="0.25">
      <c r="A3940" s="1">
        <v>41561</v>
      </c>
      <c r="B3940">
        <v>1</v>
      </c>
      <c r="C3940">
        <v>3</v>
      </c>
      <c r="D3940">
        <v>19</v>
      </c>
    </row>
    <row r="3941" spans="1:4" x14ac:dyDescent="0.25">
      <c r="A3941" s="1">
        <v>41562</v>
      </c>
      <c r="B3941">
        <v>1</v>
      </c>
      <c r="C3941">
        <v>3</v>
      </c>
      <c r="D3941">
        <v>29</v>
      </c>
    </row>
    <row r="3942" spans="1:4" x14ac:dyDescent="0.25">
      <c r="A3942" s="1">
        <v>41563</v>
      </c>
      <c r="B3942">
        <v>1</v>
      </c>
      <c r="C3942">
        <v>3</v>
      </c>
      <c r="D3942">
        <v>23</v>
      </c>
    </row>
    <row r="3943" spans="1:4" x14ac:dyDescent="0.25">
      <c r="A3943" s="1">
        <v>41564</v>
      </c>
      <c r="B3943">
        <v>1</v>
      </c>
      <c r="C3943">
        <v>3</v>
      </c>
      <c r="D3943">
        <v>27</v>
      </c>
    </row>
    <row r="3944" spans="1:4" x14ac:dyDescent="0.25">
      <c r="A3944" s="1">
        <v>41565</v>
      </c>
      <c r="B3944">
        <v>1</v>
      </c>
      <c r="C3944">
        <v>3</v>
      </c>
      <c r="D3944">
        <v>21</v>
      </c>
    </row>
    <row r="3945" spans="1:4" x14ac:dyDescent="0.25">
      <c r="A3945" s="1">
        <v>41566</v>
      </c>
      <c r="B3945">
        <v>1</v>
      </c>
      <c r="C3945">
        <v>3</v>
      </c>
      <c r="D3945">
        <v>23</v>
      </c>
    </row>
    <row r="3946" spans="1:4" x14ac:dyDescent="0.25">
      <c r="A3946" s="1">
        <v>41567</v>
      </c>
      <c r="B3946">
        <v>1</v>
      </c>
      <c r="C3946">
        <v>3</v>
      </c>
      <c r="D3946">
        <v>37</v>
      </c>
    </row>
    <row r="3947" spans="1:4" x14ac:dyDescent="0.25">
      <c r="A3947" s="1">
        <v>41568</v>
      </c>
      <c r="B3947">
        <v>1</v>
      </c>
      <c r="C3947">
        <v>3</v>
      </c>
      <c r="D3947">
        <v>19</v>
      </c>
    </row>
    <row r="3948" spans="1:4" x14ac:dyDescent="0.25">
      <c r="A3948" s="1">
        <v>41569</v>
      </c>
      <c r="B3948">
        <v>1</v>
      </c>
      <c r="C3948">
        <v>3</v>
      </c>
      <c r="D3948">
        <v>22</v>
      </c>
    </row>
    <row r="3949" spans="1:4" x14ac:dyDescent="0.25">
      <c r="A3949" s="1">
        <v>41570</v>
      </c>
      <c r="B3949">
        <v>1</v>
      </c>
      <c r="C3949">
        <v>3</v>
      </c>
      <c r="D3949">
        <v>22</v>
      </c>
    </row>
    <row r="3950" spans="1:4" x14ac:dyDescent="0.25">
      <c r="A3950" s="1">
        <v>41571</v>
      </c>
      <c r="B3950">
        <v>1</v>
      </c>
      <c r="C3950">
        <v>3</v>
      </c>
      <c r="D3950">
        <v>28</v>
      </c>
    </row>
    <row r="3951" spans="1:4" x14ac:dyDescent="0.25">
      <c r="A3951" s="1">
        <v>41572</v>
      </c>
      <c r="B3951">
        <v>1</v>
      </c>
      <c r="C3951">
        <v>3</v>
      </c>
      <c r="D3951">
        <v>28</v>
      </c>
    </row>
    <row r="3952" spans="1:4" x14ac:dyDescent="0.25">
      <c r="A3952" s="1">
        <v>41573</v>
      </c>
      <c r="B3952">
        <v>1</v>
      </c>
      <c r="C3952">
        <v>3</v>
      </c>
      <c r="D3952">
        <v>31</v>
      </c>
    </row>
    <row r="3953" spans="1:4" x14ac:dyDescent="0.25">
      <c r="A3953" s="1">
        <v>41574</v>
      </c>
      <c r="B3953">
        <v>1</v>
      </c>
      <c r="C3953">
        <v>3</v>
      </c>
      <c r="D3953">
        <v>31</v>
      </c>
    </row>
    <row r="3954" spans="1:4" x14ac:dyDescent="0.25">
      <c r="A3954" s="1">
        <v>41575</v>
      </c>
      <c r="B3954">
        <v>1</v>
      </c>
      <c r="C3954">
        <v>3</v>
      </c>
      <c r="D3954">
        <v>16</v>
      </c>
    </row>
    <row r="3955" spans="1:4" x14ac:dyDescent="0.25">
      <c r="A3955" s="1">
        <v>41576</v>
      </c>
      <c r="B3955">
        <v>1</v>
      </c>
      <c r="C3955">
        <v>3</v>
      </c>
      <c r="D3955">
        <v>23</v>
      </c>
    </row>
    <row r="3956" spans="1:4" x14ac:dyDescent="0.25">
      <c r="A3956" s="1">
        <v>41577</v>
      </c>
      <c r="B3956">
        <v>1</v>
      </c>
      <c r="C3956">
        <v>3</v>
      </c>
      <c r="D3956">
        <v>23</v>
      </c>
    </row>
    <row r="3957" spans="1:4" x14ac:dyDescent="0.25">
      <c r="A3957" s="1">
        <v>41578</v>
      </c>
      <c r="B3957">
        <v>1</v>
      </c>
      <c r="C3957">
        <v>3</v>
      </c>
      <c r="D3957">
        <v>28</v>
      </c>
    </row>
    <row r="3958" spans="1:4" x14ac:dyDescent="0.25">
      <c r="A3958" s="1">
        <v>41579</v>
      </c>
      <c r="B3958">
        <v>1</v>
      </c>
      <c r="C3958">
        <v>3</v>
      </c>
      <c r="D3958">
        <v>38</v>
      </c>
    </row>
    <row r="3959" spans="1:4" x14ac:dyDescent="0.25">
      <c r="A3959" s="1">
        <v>41580</v>
      </c>
      <c r="B3959">
        <v>1</v>
      </c>
      <c r="C3959">
        <v>3</v>
      </c>
      <c r="D3959">
        <v>24</v>
      </c>
    </row>
    <row r="3960" spans="1:4" x14ac:dyDescent="0.25">
      <c r="A3960" s="1">
        <v>41581</v>
      </c>
      <c r="B3960">
        <v>1</v>
      </c>
      <c r="C3960">
        <v>3</v>
      </c>
      <c r="D3960">
        <v>33</v>
      </c>
    </row>
    <row r="3961" spans="1:4" x14ac:dyDescent="0.25">
      <c r="A3961" s="1">
        <v>41582</v>
      </c>
      <c r="B3961">
        <v>1</v>
      </c>
      <c r="C3961">
        <v>3</v>
      </c>
      <c r="D3961">
        <v>33</v>
      </c>
    </row>
    <row r="3962" spans="1:4" x14ac:dyDescent="0.25">
      <c r="A3962" s="1">
        <v>41583</v>
      </c>
      <c r="B3962">
        <v>1</v>
      </c>
      <c r="C3962">
        <v>3</v>
      </c>
      <c r="D3962">
        <v>27</v>
      </c>
    </row>
    <row r="3963" spans="1:4" x14ac:dyDescent="0.25">
      <c r="A3963" s="1">
        <v>41584</v>
      </c>
      <c r="B3963">
        <v>1</v>
      </c>
      <c r="C3963">
        <v>3</v>
      </c>
      <c r="D3963">
        <v>19</v>
      </c>
    </row>
    <row r="3964" spans="1:4" x14ac:dyDescent="0.25">
      <c r="A3964" s="1">
        <v>41585</v>
      </c>
      <c r="B3964">
        <v>1</v>
      </c>
      <c r="C3964">
        <v>3</v>
      </c>
      <c r="D3964">
        <v>30</v>
      </c>
    </row>
    <row r="3965" spans="1:4" x14ac:dyDescent="0.25">
      <c r="A3965" s="1">
        <v>41586</v>
      </c>
      <c r="B3965">
        <v>1</v>
      </c>
      <c r="C3965">
        <v>3</v>
      </c>
      <c r="D3965">
        <v>37</v>
      </c>
    </row>
    <row r="3966" spans="1:4" x14ac:dyDescent="0.25">
      <c r="A3966" s="1">
        <v>41587</v>
      </c>
      <c r="B3966">
        <v>1</v>
      </c>
      <c r="C3966">
        <v>3</v>
      </c>
      <c r="D3966">
        <v>31</v>
      </c>
    </row>
    <row r="3967" spans="1:4" x14ac:dyDescent="0.25">
      <c r="A3967" s="1">
        <v>41588</v>
      </c>
      <c r="B3967">
        <v>1</v>
      </c>
      <c r="C3967">
        <v>3</v>
      </c>
      <c r="D3967">
        <v>30</v>
      </c>
    </row>
    <row r="3968" spans="1:4" x14ac:dyDescent="0.25">
      <c r="A3968" s="1">
        <v>41589</v>
      </c>
      <c r="B3968">
        <v>1</v>
      </c>
      <c r="C3968">
        <v>3</v>
      </c>
      <c r="D3968">
        <v>22</v>
      </c>
    </row>
    <row r="3969" spans="1:4" x14ac:dyDescent="0.25">
      <c r="A3969" s="1">
        <v>41590</v>
      </c>
      <c r="B3969">
        <v>1</v>
      </c>
      <c r="C3969">
        <v>3</v>
      </c>
      <c r="D3969">
        <v>26</v>
      </c>
    </row>
    <row r="3970" spans="1:4" x14ac:dyDescent="0.25">
      <c r="A3970" s="1">
        <v>41591</v>
      </c>
      <c r="B3970">
        <v>1</v>
      </c>
      <c r="C3970">
        <v>3</v>
      </c>
      <c r="D3970">
        <v>14</v>
      </c>
    </row>
    <row r="3971" spans="1:4" x14ac:dyDescent="0.25">
      <c r="A3971" s="1">
        <v>41592</v>
      </c>
      <c r="B3971">
        <v>1</v>
      </c>
      <c r="C3971">
        <v>3</v>
      </c>
      <c r="D3971">
        <v>26</v>
      </c>
    </row>
    <row r="3972" spans="1:4" x14ac:dyDescent="0.25">
      <c r="A3972" s="1">
        <v>41593</v>
      </c>
      <c r="B3972">
        <v>1</v>
      </c>
      <c r="C3972">
        <v>3</v>
      </c>
      <c r="D3972">
        <v>35</v>
      </c>
    </row>
    <row r="3973" spans="1:4" x14ac:dyDescent="0.25">
      <c r="A3973" s="1">
        <v>41594</v>
      </c>
      <c r="B3973">
        <v>1</v>
      </c>
      <c r="C3973">
        <v>3</v>
      </c>
      <c r="D3973">
        <v>33</v>
      </c>
    </row>
    <row r="3974" spans="1:4" x14ac:dyDescent="0.25">
      <c r="A3974" s="1">
        <v>41595</v>
      </c>
      <c r="B3974">
        <v>1</v>
      </c>
      <c r="C3974">
        <v>3</v>
      </c>
      <c r="D3974">
        <v>37</v>
      </c>
    </row>
    <row r="3975" spans="1:4" x14ac:dyDescent="0.25">
      <c r="A3975" s="1">
        <v>41596</v>
      </c>
      <c r="B3975">
        <v>1</v>
      </c>
      <c r="C3975">
        <v>3</v>
      </c>
      <c r="D3975">
        <v>32</v>
      </c>
    </row>
    <row r="3976" spans="1:4" x14ac:dyDescent="0.25">
      <c r="A3976" s="1">
        <v>41597</v>
      </c>
      <c r="B3976">
        <v>1</v>
      </c>
      <c r="C3976">
        <v>3</v>
      </c>
      <c r="D3976">
        <v>34</v>
      </c>
    </row>
    <row r="3977" spans="1:4" x14ac:dyDescent="0.25">
      <c r="A3977" s="1">
        <v>41598</v>
      </c>
      <c r="B3977">
        <v>1</v>
      </c>
      <c r="C3977">
        <v>3</v>
      </c>
      <c r="D3977">
        <v>22</v>
      </c>
    </row>
    <row r="3978" spans="1:4" x14ac:dyDescent="0.25">
      <c r="A3978" s="1">
        <v>41599</v>
      </c>
      <c r="B3978">
        <v>1</v>
      </c>
      <c r="C3978">
        <v>3</v>
      </c>
      <c r="D3978">
        <v>34</v>
      </c>
    </row>
    <row r="3979" spans="1:4" x14ac:dyDescent="0.25">
      <c r="A3979" s="1">
        <v>41600</v>
      </c>
      <c r="B3979">
        <v>1</v>
      </c>
      <c r="C3979">
        <v>3</v>
      </c>
      <c r="D3979">
        <v>30</v>
      </c>
    </row>
    <row r="3980" spans="1:4" x14ac:dyDescent="0.25">
      <c r="A3980" s="1">
        <v>41601</v>
      </c>
      <c r="B3980">
        <v>1</v>
      </c>
      <c r="C3980">
        <v>3</v>
      </c>
      <c r="D3980">
        <v>32</v>
      </c>
    </row>
    <row r="3981" spans="1:4" x14ac:dyDescent="0.25">
      <c r="A3981" s="1">
        <v>41602</v>
      </c>
      <c r="B3981">
        <v>1</v>
      </c>
      <c r="C3981">
        <v>3</v>
      </c>
      <c r="D3981">
        <v>29</v>
      </c>
    </row>
    <row r="3982" spans="1:4" x14ac:dyDescent="0.25">
      <c r="A3982" s="1">
        <v>41603</v>
      </c>
      <c r="B3982">
        <v>1</v>
      </c>
      <c r="C3982">
        <v>3</v>
      </c>
      <c r="D3982">
        <v>25</v>
      </c>
    </row>
    <row r="3983" spans="1:4" x14ac:dyDescent="0.25">
      <c r="A3983" s="1">
        <v>41604</v>
      </c>
      <c r="B3983">
        <v>1</v>
      </c>
      <c r="C3983">
        <v>3</v>
      </c>
      <c r="D3983">
        <v>36</v>
      </c>
    </row>
    <row r="3984" spans="1:4" x14ac:dyDescent="0.25">
      <c r="A3984" s="1">
        <v>41605</v>
      </c>
      <c r="B3984">
        <v>1</v>
      </c>
      <c r="C3984">
        <v>3</v>
      </c>
      <c r="D3984">
        <v>31</v>
      </c>
    </row>
    <row r="3985" spans="1:4" x14ac:dyDescent="0.25">
      <c r="A3985" s="1">
        <v>41606</v>
      </c>
      <c r="B3985">
        <v>1</v>
      </c>
      <c r="C3985">
        <v>3</v>
      </c>
      <c r="D3985">
        <v>28</v>
      </c>
    </row>
    <row r="3986" spans="1:4" x14ac:dyDescent="0.25">
      <c r="A3986" s="1">
        <v>41607</v>
      </c>
      <c r="B3986">
        <v>1</v>
      </c>
      <c r="C3986">
        <v>3</v>
      </c>
      <c r="D3986">
        <v>36</v>
      </c>
    </row>
    <row r="3987" spans="1:4" x14ac:dyDescent="0.25">
      <c r="A3987" s="1">
        <v>41608</v>
      </c>
      <c r="B3987">
        <v>1</v>
      </c>
      <c r="C3987">
        <v>3</v>
      </c>
      <c r="D3987">
        <v>36</v>
      </c>
    </row>
    <row r="3988" spans="1:4" x14ac:dyDescent="0.25">
      <c r="A3988" s="1">
        <v>41609</v>
      </c>
      <c r="B3988">
        <v>1</v>
      </c>
      <c r="C3988">
        <v>3</v>
      </c>
      <c r="D3988">
        <v>20</v>
      </c>
    </row>
    <row r="3989" spans="1:4" x14ac:dyDescent="0.25">
      <c r="A3989" s="1">
        <v>41610</v>
      </c>
      <c r="B3989">
        <v>1</v>
      </c>
      <c r="C3989">
        <v>3</v>
      </c>
      <c r="D3989">
        <v>20</v>
      </c>
    </row>
    <row r="3990" spans="1:4" x14ac:dyDescent="0.25">
      <c r="A3990" s="1">
        <v>41611</v>
      </c>
      <c r="B3990">
        <v>1</v>
      </c>
      <c r="C3990">
        <v>3</v>
      </c>
      <c r="D3990">
        <v>21</v>
      </c>
    </row>
    <row r="3991" spans="1:4" x14ac:dyDescent="0.25">
      <c r="A3991" s="1">
        <v>41612</v>
      </c>
      <c r="B3991">
        <v>1</v>
      </c>
      <c r="C3991">
        <v>3</v>
      </c>
      <c r="D3991">
        <v>16</v>
      </c>
    </row>
    <row r="3992" spans="1:4" x14ac:dyDescent="0.25">
      <c r="A3992" s="1">
        <v>41613</v>
      </c>
      <c r="B3992">
        <v>1</v>
      </c>
      <c r="C3992">
        <v>3</v>
      </c>
      <c r="D3992">
        <v>22</v>
      </c>
    </row>
    <row r="3993" spans="1:4" x14ac:dyDescent="0.25">
      <c r="A3993" s="1">
        <v>41614</v>
      </c>
      <c r="B3993">
        <v>1</v>
      </c>
      <c r="C3993">
        <v>3</v>
      </c>
      <c r="D3993">
        <v>19</v>
      </c>
    </row>
    <row r="3994" spans="1:4" x14ac:dyDescent="0.25">
      <c r="A3994" s="1">
        <v>41615</v>
      </c>
      <c r="B3994">
        <v>1</v>
      </c>
      <c r="C3994">
        <v>3</v>
      </c>
      <c r="D3994">
        <v>21</v>
      </c>
    </row>
    <row r="3995" spans="1:4" x14ac:dyDescent="0.25">
      <c r="A3995" s="1">
        <v>41616</v>
      </c>
      <c r="B3995">
        <v>1</v>
      </c>
      <c r="C3995">
        <v>3</v>
      </c>
      <c r="D3995">
        <v>26</v>
      </c>
    </row>
    <row r="3996" spans="1:4" x14ac:dyDescent="0.25">
      <c r="A3996" s="1">
        <v>41617</v>
      </c>
      <c r="B3996">
        <v>1</v>
      </c>
      <c r="C3996">
        <v>3</v>
      </c>
      <c r="D3996">
        <v>19</v>
      </c>
    </row>
    <row r="3997" spans="1:4" x14ac:dyDescent="0.25">
      <c r="A3997" s="1">
        <v>41618</v>
      </c>
      <c r="B3997">
        <v>1</v>
      </c>
      <c r="C3997">
        <v>3</v>
      </c>
      <c r="D3997">
        <v>19</v>
      </c>
    </row>
    <row r="3998" spans="1:4" x14ac:dyDescent="0.25">
      <c r="A3998" s="1">
        <v>41619</v>
      </c>
      <c r="B3998">
        <v>1</v>
      </c>
      <c r="C3998">
        <v>3</v>
      </c>
      <c r="D3998">
        <v>19</v>
      </c>
    </row>
    <row r="3999" spans="1:4" x14ac:dyDescent="0.25">
      <c r="A3999" s="1">
        <v>41620</v>
      </c>
      <c r="B3999">
        <v>1</v>
      </c>
      <c r="C3999">
        <v>3</v>
      </c>
      <c r="D3999">
        <v>28</v>
      </c>
    </row>
    <row r="4000" spans="1:4" x14ac:dyDescent="0.25">
      <c r="A4000" s="1">
        <v>41621</v>
      </c>
      <c r="B4000">
        <v>1</v>
      </c>
      <c r="C4000">
        <v>3</v>
      </c>
      <c r="D4000">
        <v>21</v>
      </c>
    </row>
    <row r="4001" spans="1:4" x14ac:dyDescent="0.25">
      <c r="A4001" s="1">
        <v>41622</v>
      </c>
      <c r="B4001">
        <v>1</v>
      </c>
      <c r="C4001">
        <v>3</v>
      </c>
      <c r="D4001">
        <v>35</v>
      </c>
    </row>
    <row r="4002" spans="1:4" x14ac:dyDescent="0.25">
      <c r="A4002" s="1">
        <v>41623</v>
      </c>
      <c r="B4002">
        <v>1</v>
      </c>
      <c r="C4002">
        <v>3</v>
      </c>
      <c r="D4002">
        <v>26</v>
      </c>
    </row>
    <row r="4003" spans="1:4" x14ac:dyDescent="0.25">
      <c r="A4003" s="1">
        <v>41624</v>
      </c>
      <c r="B4003">
        <v>1</v>
      </c>
      <c r="C4003">
        <v>3</v>
      </c>
      <c r="D4003">
        <v>20</v>
      </c>
    </row>
    <row r="4004" spans="1:4" x14ac:dyDescent="0.25">
      <c r="A4004" s="1">
        <v>41625</v>
      </c>
      <c r="B4004">
        <v>1</v>
      </c>
      <c r="C4004">
        <v>3</v>
      </c>
      <c r="D4004">
        <v>19</v>
      </c>
    </row>
    <row r="4005" spans="1:4" x14ac:dyDescent="0.25">
      <c r="A4005" s="1">
        <v>41626</v>
      </c>
      <c r="B4005">
        <v>1</v>
      </c>
      <c r="C4005">
        <v>3</v>
      </c>
      <c r="D4005">
        <v>18</v>
      </c>
    </row>
    <row r="4006" spans="1:4" x14ac:dyDescent="0.25">
      <c r="A4006" s="1">
        <v>41627</v>
      </c>
      <c r="B4006">
        <v>1</v>
      </c>
      <c r="C4006">
        <v>3</v>
      </c>
      <c r="D4006">
        <v>19</v>
      </c>
    </row>
    <row r="4007" spans="1:4" x14ac:dyDescent="0.25">
      <c r="A4007" s="1">
        <v>41628</v>
      </c>
      <c r="B4007">
        <v>1</v>
      </c>
      <c r="C4007">
        <v>3</v>
      </c>
      <c r="D4007">
        <v>23</v>
      </c>
    </row>
    <row r="4008" spans="1:4" x14ac:dyDescent="0.25">
      <c r="A4008" s="1">
        <v>41629</v>
      </c>
      <c r="B4008">
        <v>1</v>
      </c>
      <c r="C4008">
        <v>3</v>
      </c>
      <c r="D4008">
        <v>23</v>
      </c>
    </row>
    <row r="4009" spans="1:4" x14ac:dyDescent="0.25">
      <c r="A4009" s="1">
        <v>41630</v>
      </c>
      <c r="B4009">
        <v>1</v>
      </c>
      <c r="C4009">
        <v>3</v>
      </c>
      <c r="D4009">
        <v>33</v>
      </c>
    </row>
    <row r="4010" spans="1:4" x14ac:dyDescent="0.25">
      <c r="A4010" s="1">
        <v>41631</v>
      </c>
      <c r="B4010">
        <v>1</v>
      </c>
      <c r="C4010">
        <v>3</v>
      </c>
      <c r="D4010">
        <v>18</v>
      </c>
    </row>
    <row r="4011" spans="1:4" x14ac:dyDescent="0.25">
      <c r="A4011" s="1">
        <v>41632</v>
      </c>
      <c r="B4011">
        <v>1</v>
      </c>
      <c r="C4011">
        <v>3</v>
      </c>
      <c r="D4011">
        <v>19</v>
      </c>
    </row>
    <row r="4012" spans="1:4" x14ac:dyDescent="0.25">
      <c r="A4012" s="1">
        <v>41633</v>
      </c>
      <c r="B4012">
        <v>1</v>
      </c>
      <c r="C4012">
        <v>3</v>
      </c>
      <c r="D4012">
        <v>27</v>
      </c>
    </row>
    <row r="4013" spans="1:4" x14ac:dyDescent="0.25">
      <c r="A4013" s="1">
        <v>41634</v>
      </c>
      <c r="B4013">
        <v>1</v>
      </c>
      <c r="C4013">
        <v>3</v>
      </c>
      <c r="D4013">
        <v>15</v>
      </c>
    </row>
    <row r="4014" spans="1:4" x14ac:dyDescent="0.25">
      <c r="A4014" s="1">
        <v>41635</v>
      </c>
      <c r="B4014">
        <v>1</v>
      </c>
      <c r="C4014">
        <v>3</v>
      </c>
      <c r="D4014">
        <v>19</v>
      </c>
    </row>
    <row r="4015" spans="1:4" x14ac:dyDescent="0.25">
      <c r="A4015" s="1">
        <v>41636</v>
      </c>
      <c r="B4015">
        <v>1</v>
      </c>
      <c r="C4015">
        <v>3</v>
      </c>
      <c r="D4015">
        <v>17</v>
      </c>
    </row>
    <row r="4016" spans="1:4" x14ac:dyDescent="0.25">
      <c r="A4016" s="1">
        <v>41637</v>
      </c>
      <c r="B4016">
        <v>1</v>
      </c>
      <c r="C4016">
        <v>3</v>
      </c>
      <c r="D4016">
        <v>23</v>
      </c>
    </row>
    <row r="4017" spans="1:4" x14ac:dyDescent="0.25">
      <c r="A4017" s="1">
        <v>41638</v>
      </c>
      <c r="B4017">
        <v>1</v>
      </c>
      <c r="C4017">
        <v>3</v>
      </c>
      <c r="D4017">
        <v>14</v>
      </c>
    </row>
    <row r="4018" spans="1:4" x14ac:dyDescent="0.25">
      <c r="A4018" s="1">
        <v>41639</v>
      </c>
      <c r="B4018">
        <v>1</v>
      </c>
      <c r="C4018">
        <v>3</v>
      </c>
      <c r="D4018">
        <v>18</v>
      </c>
    </row>
    <row r="4019" spans="1:4" x14ac:dyDescent="0.25">
      <c r="A4019" s="1">
        <v>41640</v>
      </c>
      <c r="B4019">
        <v>1</v>
      </c>
      <c r="C4019">
        <v>3</v>
      </c>
      <c r="D4019">
        <v>21</v>
      </c>
    </row>
    <row r="4020" spans="1:4" x14ac:dyDescent="0.25">
      <c r="A4020" s="1">
        <v>41641</v>
      </c>
      <c r="B4020">
        <v>1</v>
      </c>
      <c r="C4020">
        <v>3</v>
      </c>
      <c r="D4020">
        <v>24</v>
      </c>
    </row>
    <row r="4021" spans="1:4" x14ac:dyDescent="0.25">
      <c r="A4021" s="1">
        <v>41642</v>
      </c>
      <c r="B4021">
        <v>1</v>
      </c>
      <c r="C4021">
        <v>3</v>
      </c>
      <c r="D4021">
        <v>20</v>
      </c>
    </row>
    <row r="4022" spans="1:4" x14ac:dyDescent="0.25">
      <c r="A4022" s="1">
        <v>41643</v>
      </c>
      <c r="B4022">
        <v>1</v>
      </c>
      <c r="C4022">
        <v>3</v>
      </c>
      <c r="D4022">
        <v>19</v>
      </c>
    </row>
    <row r="4023" spans="1:4" x14ac:dyDescent="0.25">
      <c r="A4023" s="1">
        <v>41644</v>
      </c>
      <c r="B4023">
        <v>1</v>
      </c>
      <c r="C4023">
        <v>3</v>
      </c>
      <c r="D4023">
        <v>24</v>
      </c>
    </row>
    <row r="4024" spans="1:4" x14ac:dyDescent="0.25">
      <c r="A4024" s="1">
        <v>41645</v>
      </c>
      <c r="B4024">
        <v>1</v>
      </c>
      <c r="C4024">
        <v>3</v>
      </c>
      <c r="D4024">
        <v>15</v>
      </c>
    </row>
    <row r="4025" spans="1:4" x14ac:dyDescent="0.25">
      <c r="A4025" s="1">
        <v>41646</v>
      </c>
      <c r="B4025">
        <v>1</v>
      </c>
      <c r="C4025">
        <v>3</v>
      </c>
      <c r="D4025">
        <v>20</v>
      </c>
    </row>
    <row r="4026" spans="1:4" x14ac:dyDescent="0.25">
      <c r="A4026" s="1">
        <v>41647</v>
      </c>
      <c r="B4026">
        <v>1</v>
      </c>
      <c r="C4026">
        <v>3</v>
      </c>
      <c r="D4026">
        <v>22</v>
      </c>
    </row>
    <row r="4027" spans="1:4" x14ac:dyDescent="0.25">
      <c r="A4027" s="1">
        <v>41648</v>
      </c>
      <c r="B4027">
        <v>1</v>
      </c>
      <c r="C4027">
        <v>3</v>
      </c>
      <c r="D4027">
        <v>25</v>
      </c>
    </row>
    <row r="4028" spans="1:4" x14ac:dyDescent="0.25">
      <c r="A4028" s="1">
        <v>41649</v>
      </c>
      <c r="B4028">
        <v>1</v>
      </c>
      <c r="C4028">
        <v>3</v>
      </c>
      <c r="D4028">
        <v>27</v>
      </c>
    </row>
    <row r="4029" spans="1:4" x14ac:dyDescent="0.25">
      <c r="A4029" s="1">
        <v>41650</v>
      </c>
      <c r="B4029">
        <v>1</v>
      </c>
      <c r="C4029">
        <v>3</v>
      </c>
      <c r="D4029">
        <v>24</v>
      </c>
    </row>
    <row r="4030" spans="1:4" x14ac:dyDescent="0.25">
      <c r="A4030" s="1">
        <v>41651</v>
      </c>
      <c r="B4030">
        <v>1</v>
      </c>
      <c r="C4030">
        <v>3</v>
      </c>
      <c r="D4030">
        <v>24</v>
      </c>
    </row>
    <row r="4031" spans="1:4" x14ac:dyDescent="0.25">
      <c r="A4031" s="1">
        <v>41652</v>
      </c>
      <c r="B4031">
        <v>1</v>
      </c>
      <c r="C4031">
        <v>3</v>
      </c>
      <c r="D4031">
        <v>24</v>
      </c>
    </row>
    <row r="4032" spans="1:4" x14ac:dyDescent="0.25">
      <c r="A4032" s="1">
        <v>41653</v>
      </c>
      <c r="B4032">
        <v>1</v>
      </c>
      <c r="C4032">
        <v>3</v>
      </c>
      <c r="D4032">
        <v>19</v>
      </c>
    </row>
    <row r="4033" spans="1:4" x14ac:dyDescent="0.25">
      <c r="A4033" s="1">
        <v>41654</v>
      </c>
      <c r="B4033">
        <v>1</v>
      </c>
      <c r="C4033">
        <v>3</v>
      </c>
      <c r="D4033">
        <v>14</v>
      </c>
    </row>
    <row r="4034" spans="1:4" x14ac:dyDescent="0.25">
      <c r="A4034" s="1">
        <v>41655</v>
      </c>
      <c r="B4034">
        <v>1</v>
      </c>
      <c r="C4034">
        <v>3</v>
      </c>
      <c r="D4034">
        <v>22</v>
      </c>
    </row>
    <row r="4035" spans="1:4" x14ac:dyDescent="0.25">
      <c r="A4035" s="1">
        <v>41656</v>
      </c>
      <c r="B4035">
        <v>1</v>
      </c>
      <c r="C4035">
        <v>3</v>
      </c>
      <c r="D4035">
        <v>20</v>
      </c>
    </row>
    <row r="4036" spans="1:4" x14ac:dyDescent="0.25">
      <c r="A4036" s="1">
        <v>41657</v>
      </c>
      <c r="B4036">
        <v>1</v>
      </c>
      <c r="C4036">
        <v>3</v>
      </c>
      <c r="D4036">
        <v>29</v>
      </c>
    </row>
    <row r="4037" spans="1:4" x14ac:dyDescent="0.25">
      <c r="A4037" s="1">
        <v>41658</v>
      </c>
      <c r="B4037">
        <v>1</v>
      </c>
      <c r="C4037">
        <v>3</v>
      </c>
      <c r="D4037">
        <v>21</v>
      </c>
    </row>
    <row r="4038" spans="1:4" x14ac:dyDescent="0.25">
      <c r="A4038" s="1">
        <v>41659</v>
      </c>
      <c r="B4038">
        <v>1</v>
      </c>
      <c r="C4038">
        <v>3</v>
      </c>
      <c r="D4038">
        <v>21</v>
      </c>
    </row>
    <row r="4039" spans="1:4" x14ac:dyDescent="0.25">
      <c r="A4039" s="1">
        <v>41660</v>
      </c>
      <c r="B4039">
        <v>1</v>
      </c>
      <c r="C4039">
        <v>3</v>
      </c>
      <c r="D4039">
        <v>19</v>
      </c>
    </row>
    <row r="4040" spans="1:4" x14ac:dyDescent="0.25">
      <c r="A4040" s="1">
        <v>41661</v>
      </c>
      <c r="B4040">
        <v>1</v>
      </c>
      <c r="C4040">
        <v>3</v>
      </c>
      <c r="D4040">
        <v>20</v>
      </c>
    </row>
    <row r="4041" spans="1:4" x14ac:dyDescent="0.25">
      <c r="A4041" s="1">
        <v>41662</v>
      </c>
      <c r="B4041">
        <v>1</v>
      </c>
      <c r="C4041">
        <v>3</v>
      </c>
      <c r="D4041">
        <v>22</v>
      </c>
    </row>
    <row r="4042" spans="1:4" x14ac:dyDescent="0.25">
      <c r="A4042" s="1">
        <v>41663</v>
      </c>
      <c r="B4042">
        <v>1</v>
      </c>
      <c r="C4042">
        <v>3</v>
      </c>
      <c r="D4042">
        <v>22</v>
      </c>
    </row>
    <row r="4043" spans="1:4" x14ac:dyDescent="0.25">
      <c r="A4043" s="1">
        <v>41664</v>
      </c>
      <c r="B4043">
        <v>1</v>
      </c>
      <c r="C4043">
        <v>3</v>
      </c>
      <c r="D4043">
        <v>17</v>
      </c>
    </row>
    <row r="4044" spans="1:4" x14ac:dyDescent="0.25">
      <c r="A4044" s="1">
        <v>41665</v>
      </c>
      <c r="B4044">
        <v>1</v>
      </c>
      <c r="C4044">
        <v>3</v>
      </c>
      <c r="D4044">
        <v>24</v>
      </c>
    </row>
    <row r="4045" spans="1:4" x14ac:dyDescent="0.25">
      <c r="A4045" s="1">
        <v>41666</v>
      </c>
      <c r="B4045">
        <v>1</v>
      </c>
      <c r="C4045">
        <v>3</v>
      </c>
      <c r="D4045">
        <v>14</v>
      </c>
    </row>
    <row r="4046" spans="1:4" x14ac:dyDescent="0.25">
      <c r="A4046" s="1">
        <v>41667</v>
      </c>
      <c r="B4046">
        <v>1</v>
      </c>
      <c r="C4046">
        <v>3</v>
      </c>
      <c r="D4046">
        <v>31</v>
      </c>
    </row>
    <row r="4047" spans="1:4" x14ac:dyDescent="0.25">
      <c r="A4047" s="1">
        <v>41668</v>
      </c>
      <c r="B4047">
        <v>1</v>
      </c>
      <c r="C4047">
        <v>3</v>
      </c>
      <c r="D4047">
        <v>17</v>
      </c>
    </row>
    <row r="4048" spans="1:4" x14ac:dyDescent="0.25">
      <c r="A4048" s="1">
        <v>41669</v>
      </c>
      <c r="B4048">
        <v>1</v>
      </c>
      <c r="C4048">
        <v>3</v>
      </c>
      <c r="D4048">
        <v>16</v>
      </c>
    </row>
    <row r="4049" spans="1:4" x14ac:dyDescent="0.25">
      <c r="A4049" s="1">
        <v>41670</v>
      </c>
      <c r="B4049">
        <v>1</v>
      </c>
      <c r="C4049">
        <v>3</v>
      </c>
      <c r="D4049">
        <v>17</v>
      </c>
    </row>
    <row r="4050" spans="1:4" x14ac:dyDescent="0.25">
      <c r="A4050" s="1">
        <v>41671</v>
      </c>
      <c r="B4050">
        <v>1</v>
      </c>
      <c r="C4050">
        <v>3</v>
      </c>
      <c r="D4050">
        <v>27</v>
      </c>
    </row>
    <row r="4051" spans="1:4" x14ac:dyDescent="0.25">
      <c r="A4051" s="1">
        <v>41672</v>
      </c>
      <c r="B4051">
        <v>1</v>
      </c>
      <c r="C4051">
        <v>3</v>
      </c>
      <c r="D4051">
        <v>28</v>
      </c>
    </row>
    <row r="4052" spans="1:4" x14ac:dyDescent="0.25">
      <c r="A4052" s="1">
        <v>41673</v>
      </c>
      <c r="B4052">
        <v>1</v>
      </c>
      <c r="C4052">
        <v>3</v>
      </c>
      <c r="D4052">
        <v>13</v>
      </c>
    </row>
    <row r="4053" spans="1:4" x14ac:dyDescent="0.25">
      <c r="A4053" s="1">
        <v>41674</v>
      </c>
      <c r="B4053">
        <v>1</v>
      </c>
      <c r="C4053">
        <v>3</v>
      </c>
      <c r="D4053">
        <v>22</v>
      </c>
    </row>
    <row r="4054" spans="1:4" x14ac:dyDescent="0.25">
      <c r="A4054" s="1">
        <v>41675</v>
      </c>
      <c r="B4054">
        <v>1</v>
      </c>
      <c r="C4054">
        <v>3</v>
      </c>
      <c r="D4054">
        <v>25</v>
      </c>
    </row>
    <row r="4055" spans="1:4" x14ac:dyDescent="0.25">
      <c r="A4055" s="1">
        <v>41676</v>
      </c>
      <c r="B4055">
        <v>1</v>
      </c>
      <c r="C4055">
        <v>3</v>
      </c>
      <c r="D4055">
        <v>23</v>
      </c>
    </row>
    <row r="4056" spans="1:4" x14ac:dyDescent="0.25">
      <c r="A4056" s="1">
        <v>41677</v>
      </c>
      <c r="B4056">
        <v>1</v>
      </c>
      <c r="C4056">
        <v>3</v>
      </c>
      <c r="D4056">
        <v>38</v>
      </c>
    </row>
    <row r="4057" spans="1:4" x14ac:dyDescent="0.25">
      <c r="A4057" s="1">
        <v>41678</v>
      </c>
      <c r="B4057">
        <v>1</v>
      </c>
      <c r="C4057">
        <v>3</v>
      </c>
      <c r="D4057">
        <v>33</v>
      </c>
    </row>
    <row r="4058" spans="1:4" x14ac:dyDescent="0.25">
      <c r="A4058" s="1">
        <v>41679</v>
      </c>
      <c r="B4058">
        <v>1</v>
      </c>
      <c r="C4058">
        <v>3</v>
      </c>
      <c r="D4058">
        <v>34</v>
      </c>
    </row>
    <row r="4059" spans="1:4" x14ac:dyDescent="0.25">
      <c r="A4059" s="1">
        <v>41680</v>
      </c>
      <c r="B4059">
        <v>1</v>
      </c>
      <c r="C4059">
        <v>3</v>
      </c>
      <c r="D4059">
        <v>27</v>
      </c>
    </row>
    <row r="4060" spans="1:4" x14ac:dyDescent="0.25">
      <c r="A4060" s="1">
        <v>41681</v>
      </c>
      <c r="B4060">
        <v>1</v>
      </c>
      <c r="C4060">
        <v>3</v>
      </c>
      <c r="D4060">
        <v>19</v>
      </c>
    </row>
    <row r="4061" spans="1:4" x14ac:dyDescent="0.25">
      <c r="A4061" s="1">
        <v>41682</v>
      </c>
      <c r="B4061">
        <v>1</v>
      </c>
      <c r="C4061">
        <v>3</v>
      </c>
      <c r="D4061">
        <v>21</v>
      </c>
    </row>
    <row r="4062" spans="1:4" x14ac:dyDescent="0.25">
      <c r="A4062" s="1">
        <v>41683</v>
      </c>
      <c r="B4062">
        <v>1</v>
      </c>
      <c r="C4062">
        <v>3</v>
      </c>
      <c r="D4062">
        <v>26</v>
      </c>
    </row>
    <row r="4063" spans="1:4" x14ac:dyDescent="0.25">
      <c r="A4063" s="1">
        <v>41684</v>
      </c>
      <c r="B4063">
        <v>1</v>
      </c>
      <c r="C4063">
        <v>3</v>
      </c>
      <c r="D4063">
        <v>25</v>
      </c>
    </row>
    <row r="4064" spans="1:4" x14ac:dyDescent="0.25">
      <c r="A4064" s="1">
        <v>41685</v>
      </c>
      <c r="B4064">
        <v>1</v>
      </c>
      <c r="C4064">
        <v>3</v>
      </c>
      <c r="D4064">
        <v>26</v>
      </c>
    </row>
    <row r="4065" spans="1:4" x14ac:dyDescent="0.25">
      <c r="A4065" s="1">
        <v>41686</v>
      </c>
      <c r="B4065">
        <v>1</v>
      </c>
      <c r="C4065">
        <v>3</v>
      </c>
      <c r="D4065">
        <v>28</v>
      </c>
    </row>
    <row r="4066" spans="1:4" x14ac:dyDescent="0.25">
      <c r="A4066" s="1">
        <v>41687</v>
      </c>
      <c r="B4066">
        <v>1</v>
      </c>
      <c r="C4066">
        <v>3</v>
      </c>
      <c r="D4066">
        <v>17</v>
      </c>
    </row>
    <row r="4067" spans="1:4" x14ac:dyDescent="0.25">
      <c r="A4067" s="1">
        <v>41688</v>
      </c>
      <c r="B4067">
        <v>1</v>
      </c>
      <c r="C4067">
        <v>3</v>
      </c>
      <c r="D4067">
        <v>25</v>
      </c>
    </row>
    <row r="4068" spans="1:4" x14ac:dyDescent="0.25">
      <c r="A4068" s="1">
        <v>41689</v>
      </c>
      <c r="B4068">
        <v>1</v>
      </c>
      <c r="C4068">
        <v>3</v>
      </c>
      <c r="D4068">
        <v>18</v>
      </c>
    </row>
    <row r="4069" spans="1:4" x14ac:dyDescent="0.25">
      <c r="A4069" s="1">
        <v>41690</v>
      </c>
      <c r="B4069">
        <v>1</v>
      </c>
      <c r="C4069">
        <v>3</v>
      </c>
      <c r="D4069">
        <v>27</v>
      </c>
    </row>
    <row r="4070" spans="1:4" x14ac:dyDescent="0.25">
      <c r="A4070" s="1">
        <v>41691</v>
      </c>
      <c r="B4070">
        <v>1</v>
      </c>
      <c r="C4070">
        <v>3</v>
      </c>
      <c r="D4070">
        <v>21</v>
      </c>
    </row>
    <row r="4071" spans="1:4" x14ac:dyDescent="0.25">
      <c r="A4071" s="1">
        <v>41692</v>
      </c>
      <c r="B4071">
        <v>1</v>
      </c>
      <c r="C4071">
        <v>3</v>
      </c>
      <c r="D4071">
        <v>26</v>
      </c>
    </row>
    <row r="4072" spans="1:4" x14ac:dyDescent="0.25">
      <c r="A4072" s="1">
        <v>41693</v>
      </c>
      <c r="B4072">
        <v>1</v>
      </c>
      <c r="C4072">
        <v>3</v>
      </c>
      <c r="D4072">
        <v>24</v>
      </c>
    </row>
    <row r="4073" spans="1:4" x14ac:dyDescent="0.25">
      <c r="A4073" s="1">
        <v>41694</v>
      </c>
      <c r="B4073">
        <v>1</v>
      </c>
      <c r="C4073">
        <v>3</v>
      </c>
      <c r="D4073">
        <v>22</v>
      </c>
    </row>
    <row r="4074" spans="1:4" x14ac:dyDescent="0.25">
      <c r="A4074" s="1">
        <v>41695</v>
      </c>
      <c r="B4074">
        <v>1</v>
      </c>
      <c r="C4074">
        <v>3</v>
      </c>
      <c r="D4074">
        <v>20</v>
      </c>
    </row>
    <row r="4075" spans="1:4" x14ac:dyDescent="0.25">
      <c r="A4075" s="1">
        <v>41696</v>
      </c>
      <c r="B4075">
        <v>1</v>
      </c>
      <c r="C4075">
        <v>3</v>
      </c>
      <c r="D4075">
        <v>25</v>
      </c>
    </row>
    <row r="4076" spans="1:4" x14ac:dyDescent="0.25">
      <c r="A4076" s="1">
        <v>41697</v>
      </c>
      <c r="B4076">
        <v>1</v>
      </c>
      <c r="C4076">
        <v>3</v>
      </c>
      <c r="D4076">
        <v>15</v>
      </c>
    </row>
    <row r="4077" spans="1:4" x14ac:dyDescent="0.25">
      <c r="A4077" s="1">
        <v>41698</v>
      </c>
      <c r="B4077">
        <v>1</v>
      </c>
      <c r="C4077">
        <v>3</v>
      </c>
      <c r="D4077">
        <v>19</v>
      </c>
    </row>
    <row r="4078" spans="1:4" x14ac:dyDescent="0.25">
      <c r="A4078" s="1">
        <v>41699</v>
      </c>
      <c r="B4078">
        <v>1</v>
      </c>
      <c r="C4078">
        <v>3</v>
      </c>
      <c r="D4078">
        <v>29</v>
      </c>
    </row>
    <row r="4079" spans="1:4" x14ac:dyDescent="0.25">
      <c r="A4079" s="1">
        <v>41700</v>
      </c>
      <c r="B4079">
        <v>1</v>
      </c>
      <c r="C4079">
        <v>3</v>
      </c>
      <c r="D4079">
        <v>36</v>
      </c>
    </row>
    <row r="4080" spans="1:4" x14ac:dyDescent="0.25">
      <c r="A4080" s="1">
        <v>41701</v>
      </c>
      <c r="B4080">
        <v>1</v>
      </c>
      <c r="C4080">
        <v>3</v>
      </c>
      <c r="D4080">
        <v>28</v>
      </c>
    </row>
    <row r="4081" spans="1:4" x14ac:dyDescent="0.25">
      <c r="A4081" s="1">
        <v>41702</v>
      </c>
      <c r="B4081">
        <v>1</v>
      </c>
      <c r="C4081">
        <v>3</v>
      </c>
      <c r="D4081">
        <v>20</v>
      </c>
    </row>
    <row r="4082" spans="1:4" x14ac:dyDescent="0.25">
      <c r="A4082" s="1">
        <v>41703</v>
      </c>
      <c r="B4082">
        <v>1</v>
      </c>
      <c r="C4082">
        <v>3</v>
      </c>
      <c r="D4082">
        <v>18</v>
      </c>
    </row>
    <row r="4083" spans="1:4" x14ac:dyDescent="0.25">
      <c r="A4083" s="1">
        <v>41704</v>
      </c>
      <c r="B4083">
        <v>1</v>
      </c>
      <c r="C4083">
        <v>3</v>
      </c>
      <c r="D4083">
        <v>23</v>
      </c>
    </row>
    <row r="4084" spans="1:4" x14ac:dyDescent="0.25">
      <c r="A4084" s="1">
        <v>41705</v>
      </c>
      <c r="B4084">
        <v>1</v>
      </c>
      <c r="C4084">
        <v>3</v>
      </c>
      <c r="D4084">
        <v>31</v>
      </c>
    </row>
    <row r="4085" spans="1:4" x14ac:dyDescent="0.25">
      <c r="A4085" s="1">
        <v>41706</v>
      </c>
      <c r="B4085">
        <v>1</v>
      </c>
      <c r="C4085">
        <v>3</v>
      </c>
      <c r="D4085">
        <v>32</v>
      </c>
    </row>
    <row r="4086" spans="1:4" x14ac:dyDescent="0.25">
      <c r="A4086" s="1">
        <v>41707</v>
      </c>
      <c r="B4086">
        <v>1</v>
      </c>
      <c r="C4086">
        <v>3</v>
      </c>
      <c r="D4086">
        <v>33</v>
      </c>
    </row>
    <row r="4087" spans="1:4" x14ac:dyDescent="0.25">
      <c r="A4087" s="1">
        <v>41708</v>
      </c>
      <c r="B4087">
        <v>1</v>
      </c>
      <c r="C4087">
        <v>3</v>
      </c>
      <c r="D4087">
        <v>17</v>
      </c>
    </row>
    <row r="4088" spans="1:4" x14ac:dyDescent="0.25">
      <c r="A4088" s="1">
        <v>41709</v>
      </c>
      <c r="B4088">
        <v>1</v>
      </c>
      <c r="C4088">
        <v>3</v>
      </c>
      <c r="D4088">
        <v>26</v>
      </c>
    </row>
    <row r="4089" spans="1:4" x14ac:dyDescent="0.25">
      <c r="A4089" s="1">
        <v>41710</v>
      </c>
      <c r="B4089">
        <v>1</v>
      </c>
      <c r="C4089">
        <v>3</v>
      </c>
      <c r="D4089">
        <v>25</v>
      </c>
    </row>
    <row r="4090" spans="1:4" x14ac:dyDescent="0.25">
      <c r="A4090" s="1">
        <v>41711</v>
      </c>
      <c r="B4090">
        <v>1</v>
      </c>
      <c r="C4090">
        <v>3</v>
      </c>
      <c r="D4090">
        <v>32</v>
      </c>
    </row>
    <row r="4091" spans="1:4" x14ac:dyDescent="0.25">
      <c r="A4091" s="1">
        <v>41712</v>
      </c>
      <c r="B4091">
        <v>1</v>
      </c>
      <c r="C4091">
        <v>3</v>
      </c>
      <c r="D4091">
        <v>30</v>
      </c>
    </row>
    <row r="4092" spans="1:4" x14ac:dyDescent="0.25">
      <c r="A4092" s="1">
        <v>41713</v>
      </c>
      <c r="B4092">
        <v>1</v>
      </c>
      <c r="C4092">
        <v>3</v>
      </c>
      <c r="D4092">
        <v>33</v>
      </c>
    </row>
    <row r="4093" spans="1:4" x14ac:dyDescent="0.25">
      <c r="A4093" s="1">
        <v>41714</v>
      </c>
      <c r="B4093">
        <v>1</v>
      </c>
      <c r="C4093">
        <v>3</v>
      </c>
      <c r="D4093">
        <v>32</v>
      </c>
    </row>
    <row r="4094" spans="1:4" x14ac:dyDescent="0.25">
      <c r="A4094" s="1">
        <v>41715</v>
      </c>
      <c r="B4094">
        <v>1</v>
      </c>
      <c r="C4094">
        <v>3</v>
      </c>
      <c r="D4094">
        <v>27</v>
      </c>
    </row>
    <row r="4095" spans="1:4" x14ac:dyDescent="0.25">
      <c r="A4095" s="1">
        <v>41716</v>
      </c>
      <c r="B4095">
        <v>1</v>
      </c>
      <c r="C4095">
        <v>3</v>
      </c>
      <c r="D4095">
        <v>19</v>
      </c>
    </row>
    <row r="4096" spans="1:4" x14ac:dyDescent="0.25">
      <c r="A4096" s="1">
        <v>41717</v>
      </c>
      <c r="B4096">
        <v>1</v>
      </c>
      <c r="C4096">
        <v>3</v>
      </c>
      <c r="D4096">
        <v>30</v>
      </c>
    </row>
    <row r="4097" spans="1:4" x14ac:dyDescent="0.25">
      <c r="A4097" s="1">
        <v>41718</v>
      </c>
      <c r="B4097">
        <v>1</v>
      </c>
      <c r="C4097">
        <v>3</v>
      </c>
      <c r="D4097">
        <v>26</v>
      </c>
    </row>
    <row r="4098" spans="1:4" x14ac:dyDescent="0.25">
      <c r="A4098" s="1">
        <v>41719</v>
      </c>
      <c r="B4098">
        <v>1</v>
      </c>
      <c r="C4098">
        <v>3</v>
      </c>
      <c r="D4098">
        <v>30</v>
      </c>
    </row>
    <row r="4099" spans="1:4" x14ac:dyDescent="0.25">
      <c r="A4099" s="1">
        <v>41720</v>
      </c>
      <c r="B4099">
        <v>1</v>
      </c>
      <c r="C4099">
        <v>3</v>
      </c>
      <c r="D4099">
        <v>33</v>
      </c>
    </row>
    <row r="4100" spans="1:4" x14ac:dyDescent="0.25">
      <c r="A4100" s="1">
        <v>41721</v>
      </c>
      <c r="B4100">
        <v>1</v>
      </c>
      <c r="C4100">
        <v>3</v>
      </c>
      <c r="D4100">
        <v>25</v>
      </c>
    </row>
    <row r="4101" spans="1:4" x14ac:dyDescent="0.25">
      <c r="A4101" s="1">
        <v>41722</v>
      </c>
      <c r="B4101">
        <v>1</v>
      </c>
      <c r="C4101">
        <v>3</v>
      </c>
      <c r="D4101">
        <v>23</v>
      </c>
    </row>
    <row r="4102" spans="1:4" x14ac:dyDescent="0.25">
      <c r="A4102" s="1">
        <v>41723</v>
      </c>
      <c r="B4102">
        <v>1</v>
      </c>
      <c r="C4102">
        <v>3</v>
      </c>
      <c r="D4102">
        <v>24</v>
      </c>
    </row>
    <row r="4103" spans="1:4" x14ac:dyDescent="0.25">
      <c r="A4103" s="1">
        <v>41724</v>
      </c>
      <c r="B4103">
        <v>1</v>
      </c>
      <c r="C4103">
        <v>3</v>
      </c>
      <c r="D4103">
        <v>23</v>
      </c>
    </row>
    <row r="4104" spans="1:4" x14ac:dyDescent="0.25">
      <c r="A4104" s="1">
        <v>41725</v>
      </c>
      <c r="B4104">
        <v>1</v>
      </c>
      <c r="C4104">
        <v>3</v>
      </c>
      <c r="D4104">
        <v>36</v>
      </c>
    </row>
    <row r="4105" spans="1:4" x14ac:dyDescent="0.25">
      <c r="A4105" s="1">
        <v>41726</v>
      </c>
      <c r="B4105">
        <v>1</v>
      </c>
      <c r="C4105">
        <v>3</v>
      </c>
      <c r="D4105">
        <v>35</v>
      </c>
    </row>
    <row r="4106" spans="1:4" x14ac:dyDescent="0.25">
      <c r="A4106" s="1">
        <v>41727</v>
      </c>
      <c r="B4106">
        <v>1</v>
      </c>
      <c r="C4106">
        <v>3</v>
      </c>
      <c r="D4106">
        <v>37</v>
      </c>
    </row>
    <row r="4107" spans="1:4" x14ac:dyDescent="0.25">
      <c r="A4107" s="1">
        <v>41728</v>
      </c>
      <c r="B4107">
        <v>1</v>
      </c>
      <c r="C4107">
        <v>3</v>
      </c>
      <c r="D4107">
        <v>47</v>
      </c>
    </row>
    <row r="4108" spans="1:4" x14ac:dyDescent="0.25">
      <c r="A4108" s="1">
        <v>41729</v>
      </c>
      <c r="B4108">
        <v>1</v>
      </c>
      <c r="C4108">
        <v>3</v>
      </c>
      <c r="D4108">
        <v>25</v>
      </c>
    </row>
    <row r="4109" spans="1:4" x14ac:dyDescent="0.25">
      <c r="A4109" s="1">
        <v>41730</v>
      </c>
      <c r="B4109">
        <v>1</v>
      </c>
      <c r="C4109">
        <v>3</v>
      </c>
      <c r="D4109">
        <v>27</v>
      </c>
    </row>
    <row r="4110" spans="1:4" x14ac:dyDescent="0.25">
      <c r="A4110" s="1">
        <v>41731</v>
      </c>
      <c r="B4110">
        <v>1</v>
      </c>
      <c r="C4110">
        <v>3</v>
      </c>
      <c r="D4110">
        <v>40</v>
      </c>
    </row>
    <row r="4111" spans="1:4" x14ac:dyDescent="0.25">
      <c r="A4111" s="1">
        <v>41732</v>
      </c>
      <c r="B4111">
        <v>1</v>
      </c>
      <c r="C4111">
        <v>3</v>
      </c>
      <c r="D4111">
        <v>34</v>
      </c>
    </row>
    <row r="4112" spans="1:4" x14ac:dyDescent="0.25">
      <c r="A4112" s="1">
        <v>41733</v>
      </c>
      <c r="B4112">
        <v>1</v>
      </c>
      <c r="C4112">
        <v>3</v>
      </c>
      <c r="D4112">
        <v>40</v>
      </c>
    </row>
    <row r="4113" spans="1:4" x14ac:dyDescent="0.25">
      <c r="A4113" s="1">
        <v>41734</v>
      </c>
      <c r="B4113">
        <v>1</v>
      </c>
      <c r="C4113">
        <v>3</v>
      </c>
      <c r="D4113">
        <v>35</v>
      </c>
    </row>
    <row r="4114" spans="1:4" x14ac:dyDescent="0.25">
      <c r="A4114" s="1">
        <v>41735</v>
      </c>
      <c r="B4114">
        <v>1</v>
      </c>
      <c r="C4114">
        <v>3</v>
      </c>
      <c r="D4114">
        <v>30</v>
      </c>
    </row>
    <row r="4115" spans="1:4" x14ac:dyDescent="0.25">
      <c r="A4115" s="1">
        <v>41736</v>
      </c>
      <c r="B4115">
        <v>1</v>
      </c>
      <c r="C4115">
        <v>3</v>
      </c>
      <c r="D4115">
        <v>33</v>
      </c>
    </row>
    <row r="4116" spans="1:4" x14ac:dyDescent="0.25">
      <c r="A4116" s="1">
        <v>41737</v>
      </c>
      <c r="B4116">
        <v>1</v>
      </c>
      <c r="C4116">
        <v>3</v>
      </c>
      <c r="D4116">
        <v>32</v>
      </c>
    </row>
    <row r="4117" spans="1:4" x14ac:dyDescent="0.25">
      <c r="A4117" s="1">
        <v>41738</v>
      </c>
      <c r="B4117">
        <v>1</v>
      </c>
      <c r="C4117">
        <v>3</v>
      </c>
      <c r="D4117">
        <v>31</v>
      </c>
    </row>
    <row r="4118" spans="1:4" x14ac:dyDescent="0.25">
      <c r="A4118" s="1">
        <v>41739</v>
      </c>
      <c r="B4118">
        <v>1</v>
      </c>
      <c r="C4118">
        <v>3</v>
      </c>
      <c r="D4118">
        <v>26</v>
      </c>
    </row>
    <row r="4119" spans="1:4" x14ac:dyDescent="0.25">
      <c r="A4119" s="1">
        <v>41740</v>
      </c>
      <c r="B4119">
        <v>1</v>
      </c>
      <c r="C4119">
        <v>3</v>
      </c>
      <c r="D4119">
        <v>31</v>
      </c>
    </row>
    <row r="4120" spans="1:4" x14ac:dyDescent="0.25">
      <c r="A4120" s="1">
        <v>41741</v>
      </c>
      <c r="B4120">
        <v>1</v>
      </c>
      <c r="C4120">
        <v>3</v>
      </c>
      <c r="D4120">
        <v>28</v>
      </c>
    </row>
    <row r="4121" spans="1:4" x14ac:dyDescent="0.25">
      <c r="A4121" s="1">
        <v>41742</v>
      </c>
      <c r="B4121">
        <v>1</v>
      </c>
      <c r="C4121">
        <v>3</v>
      </c>
      <c r="D4121">
        <v>36</v>
      </c>
    </row>
    <row r="4122" spans="1:4" x14ac:dyDescent="0.25">
      <c r="A4122" s="1">
        <v>41743</v>
      </c>
      <c r="B4122">
        <v>1</v>
      </c>
      <c r="C4122">
        <v>3</v>
      </c>
      <c r="D4122">
        <v>26</v>
      </c>
    </row>
    <row r="4123" spans="1:4" x14ac:dyDescent="0.25">
      <c r="A4123" s="1">
        <v>41744</v>
      </c>
      <c r="B4123">
        <v>1</v>
      </c>
      <c r="C4123">
        <v>3</v>
      </c>
      <c r="D4123">
        <v>26</v>
      </c>
    </row>
    <row r="4124" spans="1:4" x14ac:dyDescent="0.25">
      <c r="A4124" s="1">
        <v>41745</v>
      </c>
      <c r="B4124">
        <v>1</v>
      </c>
      <c r="C4124">
        <v>3</v>
      </c>
      <c r="D4124">
        <v>25</v>
      </c>
    </row>
    <row r="4125" spans="1:4" x14ac:dyDescent="0.25">
      <c r="A4125" s="1">
        <v>41746</v>
      </c>
      <c r="B4125">
        <v>1</v>
      </c>
      <c r="C4125">
        <v>3</v>
      </c>
      <c r="D4125">
        <v>39</v>
      </c>
    </row>
    <row r="4126" spans="1:4" x14ac:dyDescent="0.25">
      <c r="A4126" s="1">
        <v>41747</v>
      </c>
      <c r="B4126">
        <v>1</v>
      </c>
      <c r="C4126">
        <v>3</v>
      </c>
      <c r="D4126">
        <v>37</v>
      </c>
    </row>
    <row r="4127" spans="1:4" x14ac:dyDescent="0.25">
      <c r="A4127" s="1">
        <v>41748</v>
      </c>
      <c r="B4127">
        <v>1</v>
      </c>
      <c r="C4127">
        <v>3</v>
      </c>
      <c r="D4127">
        <v>35</v>
      </c>
    </row>
    <row r="4128" spans="1:4" x14ac:dyDescent="0.25">
      <c r="A4128" s="1">
        <v>41749</v>
      </c>
      <c r="B4128">
        <v>1</v>
      </c>
      <c r="C4128">
        <v>3</v>
      </c>
      <c r="D4128">
        <v>46</v>
      </c>
    </row>
    <row r="4129" spans="1:4" x14ac:dyDescent="0.25">
      <c r="A4129" s="1">
        <v>41750</v>
      </c>
      <c r="B4129">
        <v>1</v>
      </c>
      <c r="C4129">
        <v>3</v>
      </c>
      <c r="D4129">
        <v>37</v>
      </c>
    </row>
    <row r="4130" spans="1:4" x14ac:dyDescent="0.25">
      <c r="A4130" s="1">
        <v>41751</v>
      </c>
      <c r="B4130">
        <v>1</v>
      </c>
      <c r="C4130">
        <v>3</v>
      </c>
      <c r="D4130">
        <v>30</v>
      </c>
    </row>
    <row r="4131" spans="1:4" x14ac:dyDescent="0.25">
      <c r="A4131" s="1">
        <v>41752</v>
      </c>
      <c r="B4131">
        <v>1</v>
      </c>
      <c r="C4131">
        <v>3</v>
      </c>
      <c r="D4131">
        <v>30</v>
      </c>
    </row>
    <row r="4132" spans="1:4" x14ac:dyDescent="0.25">
      <c r="A4132" s="1">
        <v>41753</v>
      </c>
      <c r="B4132">
        <v>1</v>
      </c>
      <c r="C4132">
        <v>3</v>
      </c>
      <c r="D4132">
        <v>28</v>
      </c>
    </row>
    <row r="4133" spans="1:4" x14ac:dyDescent="0.25">
      <c r="A4133" s="1">
        <v>41754</v>
      </c>
      <c r="B4133">
        <v>1</v>
      </c>
      <c r="C4133">
        <v>3</v>
      </c>
      <c r="D4133">
        <v>34</v>
      </c>
    </row>
    <row r="4134" spans="1:4" x14ac:dyDescent="0.25">
      <c r="A4134" s="1">
        <v>41755</v>
      </c>
      <c r="B4134">
        <v>1</v>
      </c>
      <c r="C4134">
        <v>3</v>
      </c>
      <c r="D4134">
        <v>35</v>
      </c>
    </row>
    <row r="4135" spans="1:4" x14ac:dyDescent="0.25">
      <c r="A4135" s="1">
        <v>41756</v>
      </c>
      <c r="B4135">
        <v>1</v>
      </c>
      <c r="C4135">
        <v>3</v>
      </c>
      <c r="D4135">
        <v>29</v>
      </c>
    </row>
    <row r="4136" spans="1:4" x14ac:dyDescent="0.25">
      <c r="A4136" s="1">
        <v>41757</v>
      </c>
      <c r="B4136">
        <v>1</v>
      </c>
      <c r="C4136">
        <v>3</v>
      </c>
      <c r="D4136">
        <v>25</v>
      </c>
    </row>
    <row r="4137" spans="1:4" x14ac:dyDescent="0.25">
      <c r="A4137" s="1">
        <v>41758</v>
      </c>
      <c r="B4137">
        <v>1</v>
      </c>
      <c r="C4137">
        <v>3</v>
      </c>
      <c r="D4137">
        <v>30</v>
      </c>
    </row>
    <row r="4138" spans="1:4" x14ac:dyDescent="0.25">
      <c r="A4138" s="1">
        <v>41759</v>
      </c>
      <c r="B4138">
        <v>1</v>
      </c>
      <c r="C4138">
        <v>3</v>
      </c>
      <c r="D4138">
        <v>38</v>
      </c>
    </row>
    <row r="4139" spans="1:4" x14ac:dyDescent="0.25">
      <c r="A4139" s="1">
        <v>41760</v>
      </c>
      <c r="B4139">
        <v>1</v>
      </c>
      <c r="C4139">
        <v>3</v>
      </c>
      <c r="D4139">
        <v>33</v>
      </c>
    </row>
    <row r="4140" spans="1:4" x14ac:dyDescent="0.25">
      <c r="A4140" s="1">
        <v>41761</v>
      </c>
      <c r="B4140">
        <v>1</v>
      </c>
      <c r="C4140">
        <v>3</v>
      </c>
      <c r="D4140">
        <v>41</v>
      </c>
    </row>
    <row r="4141" spans="1:4" x14ac:dyDescent="0.25">
      <c r="A4141" s="1">
        <v>41762</v>
      </c>
      <c r="B4141">
        <v>1</v>
      </c>
      <c r="C4141">
        <v>3</v>
      </c>
      <c r="D4141">
        <v>46</v>
      </c>
    </row>
    <row r="4142" spans="1:4" x14ac:dyDescent="0.25">
      <c r="A4142" s="1">
        <v>41763</v>
      </c>
      <c r="B4142">
        <v>1</v>
      </c>
      <c r="C4142">
        <v>3</v>
      </c>
      <c r="D4142">
        <v>40</v>
      </c>
    </row>
    <row r="4143" spans="1:4" x14ac:dyDescent="0.25">
      <c r="A4143" s="1">
        <v>41764</v>
      </c>
      <c r="B4143">
        <v>1</v>
      </c>
      <c r="C4143">
        <v>3</v>
      </c>
      <c r="D4143">
        <v>33</v>
      </c>
    </row>
    <row r="4144" spans="1:4" x14ac:dyDescent="0.25">
      <c r="A4144" s="1">
        <v>41765</v>
      </c>
      <c r="B4144">
        <v>1</v>
      </c>
      <c r="C4144">
        <v>3</v>
      </c>
      <c r="D4144">
        <v>23</v>
      </c>
    </row>
    <row r="4145" spans="1:4" x14ac:dyDescent="0.25">
      <c r="A4145" s="1">
        <v>41766</v>
      </c>
      <c r="B4145">
        <v>1</v>
      </c>
      <c r="C4145">
        <v>3</v>
      </c>
      <c r="D4145">
        <v>43</v>
      </c>
    </row>
    <row r="4146" spans="1:4" x14ac:dyDescent="0.25">
      <c r="A4146" s="1">
        <v>41767</v>
      </c>
      <c r="B4146">
        <v>1</v>
      </c>
      <c r="C4146">
        <v>3</v>
      </c>
      <c r="D4146">
        <v>30</v>
      </c>
    </row>
    <row r="4147" spans="1:4" x14ac:dyDescent="0.25">
      <c r="A4147" s="1">
        <v>41768</v>
      </c>
      <c r="B4147">
        <v>1</v>
      </c>
      <c r="C4147">
        <v>3</v>
      </c>
      <c r="D4147">
        <v>35</v>
      </c>
    </row>
    <row r="4148" spans="1:4" x14ac:dyDescent="0.25">
      <c r="A4148" s="1">
        <v>41769</v>
      </c>
      <c r="B4148">
        <v>1</v>
      </c>
      <c r="C4148">
        <v>3</v>
      </c>
      <c r="D4148">
        <v>38</v>
      </c>
    </row>
    <row r="4149" spans="1:4" x14ac:dyDescent="0.25">
      <c r="A4149" s="1">
        <v>41770</v>
      </c>
      <c r="B4149">
        <v>1</v>
      </c>
      <c r="C4149">
        <v>3</v>
      </c>
      <c r="D4149">
        <v>46</v>
      </c>
    </row>
    <row r="4150" spans="1:4" x14ac:dyDescent="0.25">
      <c r="A4150" s="1">
        <v>41771</v>
      </c>
      <c r="B4150">
        <v>1</v>
      </c>
      <c r="C4150">
        <v>3</v>
      </c>
      <c r="D4150">
        <v>27</v>
      </c>
    </row>
    <row r="4151" spans="1:4" x14ac:dyDescent="0.25">
      <c r="A4151" s="1">
        <v>41772</v>
      </c>
      <c r="B4151">
        <v>1</v>
      </c>
      <c r="C4151">
        <v>3</v>
      </c>
      <c r="D4151">
        <v>37</v>
      </c>
    </row>
    <row r="4152" spans="1:4" x14ac:dyDescent="0.25">
      <c r="A4152" s="1">
        <v>41773</v>
      </c>
      <c r="B4152">
        <v>1</v>
      </c>
      <c r="C4152">
        <v>3</v>
      </c>
      <c r="D4152">
        <v>28</v>
      </c>
    </row>
    <row r="4153" spans="1:4" x14ac:dyDescent="0.25">
      <c r="A4153" s="1">
        <v>41774</v>
      </c>
      <c r="B4153">
        <v>1</v>
      </c>
      <c r="C4153">
        <v>3</v>
      </c>
      <c r="D4153">
        <v>42</v>
      </c>
    </row>
    <row r="4154" spans="1:4" x14ac:dyDescent="0.25">
      <c r="A4154" s="1">
        <v>41775</v>
      </c>
      <c r="B4154">
        <v>1</v>
      </c>
      <c r="C4154">
        <v>3</v>
      </c>
      <c r="D4154">
        <v>43</v>
      </c>
    </row>
    <row r="4155" spans="1:4" x14ac:dyDescent="0.25">
      <c r="A4155" s="1">
        <v>41776</v>
      </c>
      <c r="B4155">
        <v>1</v>
      </c>
      <c r="C4155">
        <v>3</v>
      </c>
      <c r="D4155">
        <v>49</v>
      </c>
    </row>
    <row r="4156" spans="1:4" x14ac:dyDescent="0.25">
      <c r="A4156" s="1">
        <v>41777</v>
      </c>
      <c r="B4156">
        <v>1</v>
      </c>
      <c r="C4156">
        <v>3</v>
      </c>
      <c r="D4156">
        <v>49</v>
      </c>
    </row>
    <row r="4157" spans="1:4" x14ac:dyDescent="0.25">
      <c r="A4157" s="1">
        <v>41778</v>
      </c>
      <c r="B4157">
        <v>1</v>
      </c>
      <c r="C4157">
        <v>3</v>
      </c>
      <c r="D4157">
        <v>30</v>
      </c>
    </row>
    <row r="4158" spans="1:4" x14ac:dyDescent="0.25">
      <c r="A4158" s="1">
        <v>41779</v>
      </c>
      <c r="B4158">
        <v>1</v>
      </c>
      <c r="C4158">
        <v>3</v>
      </c>
      <c r="D4158">
        <v>37</v>
      </c>
    </row>
    <row r="4159" spans="1:4" x14ac:dyDescent="0.25">
      <c r="A4159" s="1">
        <v>41780</v>
      </c>
      <c r="B4159">
        <v>1</v>
      </c>
      <c r="C4159">
        <v>3</v>
      </c>
      <c r="D4159">
        <v>41</v>
      </c>
    </row>
    <row r="4160" spans="1:4" x14ac:dyDescent="0.25">
      <c r="A4160" s="1">
        <v>41781</v>
      </c>
      <c r="B4160">
        <v>1</v>
      </c>
      <c r="C4160">
        <v>3</v>
      </c>
      <c r="D4160">
        <v>37</v>
      </c>
    </row>
    <row r="4161" spans="1:4" x14ac:dyDescent="0.25">
      <c r="A4161" s="1">
        <v>41782</v>
      </c>
      <c r="B4161">
        <v>1</v>
      </c>
      <c r="C4161">
        <v>3</v>
      </c>
      <c r="D4161">
        <v>37</v>
      </c>
    </row>
    <row r="4162" spans="1:4" x14ac:dyDescent="0.25">
      <c r="A4162" s="1">
        <v>41783</v>
      </c>
      <c r="B4162">
        <v>1</v>
      </c>
      <c r="C4162">
        <v>3</v>
      </c>
      <c r="D4162">
        <v>38</v>
      </c>
    </row>
    <row r="4163" spans="1:4" x14ac:dyDescent="0.25">
      <c r="A4163" s="1">
        <v>41784</v>
      </c>
      <c r="B4163">
        <v>1</v>
      </c>
      <c r="C4163">
        <v>3</v>
      </c>
      <c r="D4163">
        <v>57</v>
      </c>
    </row>
    <row r="4164" spans="1:4" x14ac:dyDescent="0.25">
      <c r="A4164" s="1">
        <v>41785</v>
      </c>
      <c r="B4164">
        <v>1</v>
      </c>
      <c r="C4164">
        <v>3</v>
      </c>
      <c r="D4164">
        <v>30</v>
      </c>
    </row>
    <row r="4165" spans="1:4" x14ac:dyDescent="0.25">
      <c r="A4165" s="1">
        <v>41786</v>
      </c>
      <c r="B4165">
        <v>1</v>
      </c>
      <c r="C4165">
        <v>3</v>
      </c>
      <c r="D4165">
        <v>37</v>
      </c>
    </row>
    <row r="4166" spans="1:4" x14ac:dyDescent="0.25">
      <c r="A4166" s="1">
        <v>41787</v>
      </c>
      <c r="B4166">
        <v>1</v>
      </c>
      <c r="C4166">
        <v>3</v>
      </c>
      <c r="D4166">
        <v>36</v>
      </c>
    </row>
    <row r="4167" spans="1:4" x14ac:dyDescent="0.25">
      <c r="A4167" s="1">
        <v>41788</v>
      </c>
      <c r="B4167">
        <v>1</v>
      </c>
      <c r="C4167">
        <v>3</v>
      </c>
      <c r="D4167">
        <v>37</v>
      </c>
    </row>
    <row r="4168" spans="1:4" x14ac:dyDescent="0.25">
      <c r="A4168" s="1">
        <v>41789</v>
      </c>
      <c r="B4168">
        <v>1</v>
      </c>
      <c r="C4168">
        <v>3</v>
      </c>
      <c r="D4168">
        <v>31</v>
      </c>
    </row>
    <row r="4169" spans="1:4" x14ac:dyDescent="0.25">
      <c r="A4169" s="1">
        <v>41790</v>
      </c>
      <c r="B4169">
        <v>1</v>
      </c>
      <c r="C4169">
        <v>3</v>
      </c>
      <c r="D4169">
        <v>37</v>
      </c>
    </row>
    <row r="4170" spans="1:4" x14ac:dyDescent="0.25">
      <c r="A4170" s="1">
        <v>41791</v>
      </c>
      <c r="B4170">
        <v>1</v>
      </c>
      <c r="C4170">
        <v>3</v>
      </c>
      <c r="D4170">
        <v>45</v>
      </c>
    </row>
    <row r="4171" spans="1:4" x14ac:dyDescent="0.25">
      <c r="A4171" s="1">
        <v>41792</v>
      </c>
      <c r="B4171">
        <v>1</v>
      </c>
      <c r="C4171">
        <v>3</v>
      </c>
      <c r="D4171">
        <v>44</v>
      </c>
    </row>
    <row r="4172" spans="1:4" x14ac:dyDescent="0.25">
      <c r="A4172" s="1">
        <v>41793</v>
      </c>
      <c r="B4172">
        <v>1</v>
      </c>
      <c r="C4172">
        <v>3</v>
      </c>
      <c r="D4172">
        <v>34</v>
      </c>
    </row>
    <row r="4173" spans="1:4" x14ac:dyDescent="0.25">
      <c r="A4173" s="1">
        <v>41794</v>
      </c>
      <c r="B4173">
        <v>1</v>
      </c>
      <c r="C4173">
        <v>3</v>
      </c>
      <c r="D4173">
        <v>22</v>
      </c>
    </row>
    <row r="4174" spans="1:4" x14ac:dyDescent="0.25">
      <c r="A4174" s="1">
        <v>41795</v>
      </c>
      <c r="B4174">
        <v>1</v>
      </c>
      <c r="C4174">
        <v>3</v>
      </c>
      <c r="D4174">
        <v>31</v>
      </c>
    </row>
    <row r="4175" spans="1:4" x14ac:dyDescent="0.25">
      <c r="A4175" s="1">
        <v>41796</v>
      </c>
      <c r="B4175">
        <v>1</v>
      </c>
      <c r="C4175">
        <v>3</v>
      </c>
      <c r="D4175">
        <v>40</v>
      </c>
    </row>
    <row r="4176" spans="1:4" x14ac:dyDescent="0.25">
      <c r="A4176" s="1">
        <v>41797</v>
      </c>
      <c r="B4176">
        <v>1</v>
      </c>
      <c r="C4176">
        <v>3</v>
      </c>
      <c r="D4176">
        <v>33</v>
      </c>
    </row>
    <row r="4177" spans="1:4" x14ac:dyDescent="0.25">
      <c r="A4177" s="1">
        <v>41798</v>
      </c>
      <c r="B4177">
        <v>1</v>
      </c>
      <c r="C4177">
        <v>3</v>
      </c>
      <c r="D4177">
        <v>52</v>
      </c>
    </row>
    <row r="4178" spans="1:4" x14ac:dyDescent="0.25">
      <c r="A4178" s="1">
        <v>41799</v>
      </c>
      <c r="B4178">
        <v>1</v>
      </c>
      <c r="C4178">
        <v>3</v>
      </c>
      <c r="D4178">
        <v>33</v>
      </c>
    </row>
    <row r="4179" spans="1:4" x14ac:dyDescent="0.25">
      <c r="A4179" s="1">
        <v>41800</v>
      </c>
      <c r="B4179">
        <v>1</v>
      </c>
      <c r="C4179">
        <v>3</v>
      </c>
      <c r="D4179">
        <v>33</v>
      </c>
    </row>
    <row r="4180" spans="1:4" x14ac:dyDescent="0.25">
      <c r="A4180" s="1">
        <v>41801</v>
      </c>
      <c r="B4180">
        <v>1</v>
      </c>
      <c r="C4180">
        <v>3</v>
      </c>
      <c r="D4180">
        <v>42</v>
      </c>
    </row>
    <row r="4181" spans="1:4" x14ac:dyDescent="0.25">
      <c r="A4181" s="1">
        <v>41802</v>
      </c>
      <c r="B4181">
        <v>1</v>
      </c>
      <c r="C4181">
        <v>3</v>
      </c>
      <c r="D4181">
        <v>44</v>
      </c>
    </row>
    <row r="4182" spans="1:4" x14ac:dyDescent="0.25">
      <c r="A4182" s="1">
        <v>41803</v>
      </c>
      <c r="B4182">
        <v>1</v>
      </c>
      <c r="C4182">
        <v>3</v>
      </c>
      <c r="D4182">
        <v>33</v>
      </c>
    </row>
    <row r="4183" spans="1:4" x14ac:dyDescent="0.25">
      <c r="A4183" s="1">
        <v>41804</v>
      </c>
      <c r="B4183">
        <v>1</v>
      </c>
      <c r="C4183">
        <v>3</v>
      </c>
      <c r="D4183">
        <v>48</v>
      </c>
    </row>
    <row r="4184" spans="1:4" x14ac:dyDescent="0.25">
      <c r="A4184" s="1">
        <v>41805</v>
      </c>
      <c r="B4184">
        <v>1</v>
      </c>
      <c r="C4184">
        <v>3</v>
      </c>
      <c r="D4184">
        <v>49</v>
      </c>
    </row>
    <row r="4185" spans="1:4" x14ac:dyDescent="0.25">
      <c r="A4185" s="1">
        <v>41806</v>
      </c>
      <c r="B4185">
        <v>1</v>
      </c>
      <c r="C4185">
        <v>3</v>
      </c>
      <c r="D4185">
        <v>28</v>
      </c>
    </row>
    <row r="4186" spans="1:4" x14ac:dyDescent="0.25">
      <c r="A4186" s="1">
        <v>41807</v>
      </c>
      <c r="B4186">
        <v>1</v>
      </c>
      <c r="C4186">
        <v>3</v>
      </c>
      <c r="D4186">
        <v>31</v>
      </c>
    </row>
    <row r="4187" spans="1:4" x14ac:dyDescent="0.25">
      <c r="A4187" s="1">
        <v>41808</v>
      </c>
      <c r="B4187">
        <v>1</v>
      </c>
      <c r="C4187">
        <v>3</v>
      </c>
      <c r="D4187">
        <v>33</v>
      </c>
    </row>
    <row r="4188" spans="1:4" x14ac:dyDescent="0.25">
      <c r="A4188" s="1">
        <v>41809</v>
      </c>
      <c r="B4188">
        <v>1</v>
      </c>
      <c r="C4188">
        <v>3</v>
      </c>
      <c r="D4188">
        <v>45</v>
      </c>
    </row>
    <row r="4189" spans="1:4" x14ac:dyDescent="0.25">
      <c r="A4189" s="1">
        <v>41810</v>
      </c>
      <c r="B4189">
        <v>1</v>
      </c>
      <c r="C4189">
        <v>3</v>
      </c>
      <c r="D4189">
        <v>33</v>
      </c>
    </row>
    <row r="4190" spans="1:4" x14ac:dyDescent="0.25">
      <c r="A4190" s="1">
        <v>41811</v>
      </c>
      <c r="B4190">
        <v>1</v>
      </c>
      <c r="C4190">
        <v>3</v>
      </c>
      <c r="D4190">
        <v>36</v>
      </c>
    </row>
    <row r="4191" spans="1:4" x14ac:dyDescent="0.25">
      <c r="A4191" s="1">
        <v>41812</v>
      </c>
      <c r="B4191">
        <v>1</v>
      </c>
      <c r="C4191">
        <v>3</v>
      </c>
      <c r="D4191">
        <v>47</v>
      </c>
    </row>
    <row r="4192" spans="1:4" x14ac:dyDescent="0.25">
      <c r="A4192" s="1">
        <v>41813</v>
      </c>
      <c r="B4192">
        <v>1</v>
      </c>
      <c r="C4192">
        <v>3</v>
      </c>
      <c r="D4192">
        <v>30</v>
      </c>
    </row>
    <row r="4193" spans="1:4" x14ac:dyDescent="0.25">
      <c r="A4193" s="1">
        <v>41814</v>
      </c>
      <c r="B4193">
        <v>1</v>
      </c>
      <c r="C4193">
        <v>3</v>
      </c>
      <c r="D4193">
        <v>38</v>
      </c>
    </row>
    <row r="4194" spans="1:4" x14ac:dyDescent="0.25">
      <c r="A4194" s="1">
        <v>41815</v>
      </c>
      <c r="B4194">
        <v>1</v>
      </c>
      <c r="C4194">
        <v>3</v>
      </c>
      <c r="D4194">
        <v>32</v>
      </c>
    </row>
    <row r="4195" spans="1:4" x14ac:dyDescent="0.25">
      <c r="A4195" s="1">
        <v>41816</v>
      </c>
      <c r="B4195">
        <v>1</v>
      </c>
      <c r="C4195">
        <v>3</v>
      </c>
      <c r="D4195">
        <v>43</v>
      </c>
    </row>
    <row r="4196" spans="1:4" x14ac:dyDescent="0.25">
      <c r="A4196" s="1">
        <v>41817</v>
      </c>
      <c r="B4196">
        <v>1</v>
      </c>
      <c r="C4196">
        <v>3</v>
      </c>
      <c r="D4196">
        <v>30</v>
      </c>
    </row>
    <row r="4197" spans="1:4" x14ac:dyDescent="0.25">
      <c r="A4197" s="1">
        <v>41818</v>
      </c>
      <c r="B4197">
        <v>1</v>
      </c>
      <c r="C4197">
        <v>3</v>
      </c>
      <c r="D4197">
        <v>45</v>
      </c>
    </row>
    <row r="4198" spans="1:4" x14ac:dyDescent="0.25">
      <c r="A4198" s="1">
        <v>41819</v>
      </c>
      <c r="B4198">
        <v>1</v>
      </c>
      <c r="C4198">
        <v>3</v>
      </c>
      <c r="D4198">
        <v>53</v>
      </c>
    </row>
    <row r="4199" spans="1:4" x14ac:dyDescent="0.25">
      <c r="A4199" s="1">
        <v>41820</v>
      </c>
      <c r="B4199">
        <v>1</v>
      </c>
      <c r="C4199">
        <v>3</v>
      </c>
      <c r="D4199">
        <v>22</v>
      </c>
    </row>
    <row r="4200" spans="1:4" x14ac:dyDescent="0.25">
      <c r="A4200" s="1">
        <v>41821</v>
      </c>
      <c r="B4200">
        <v>1</v>
      </c>
      <c r="C4200">
        <v>3</v>
      </c>
      <c r="D4200">
        <v>27</v>
      </c>
    </row>
    <row r="4201" spans="1:4" x14ac:dyDescent="0.25">
      <c r="A4201" s="1">
        <v>41822</v>
      </c>
      <c r="B4201">
        <v>1</v>
      </c>
      <c r="C4201">
        <v>3</v>
      </c>
      <c r="D4201">
        <v>35</v>
      </c>
    </row>
    <row r="4202" spans="1:4" x14ac:dyDescent="0.25">
      <c r="A4202" s="1">
        <v>41823</v>
      </c>
      <c r="B4202">
        <v>1</v>
      </c>
      <c r="C4202">
        <v>3</v>
      </c>
      <c r="D4202">
        <v>34</v>
      </c>
    </row>
    <row r="4203" spans="1:4" x14ac:dyDescent="0.25">
      <c r="A4203" s="1">
        <v>41824</v>
      </c>
      <c r="B4203">
        <v>1</v>
      </c>
      <c r="C4203">
        <v>3</v>
      </c>
      <c r="D4203">
        <v>48</v>
      </c>
    </row>
    <row r="4204" spans="1:4" x14ac:dyDescent="0.25">
      <c r="A4204" s="1">
        <v>41825</v>
      </c>
      <c r="B4204">
        <v>1</v>
      </c>
      <c r="C4204">
        <v>3</v>
      </c>
      <c r="D4204">
        <v>53</v>
      </c>
    </row>
    <row r="4205" spans="1:4" x14ac:dyDescent="0.25">
      <c r="A4205" s="1">
        <v>41826</v>
      </c>
      <c r="B4205">
        <v>1</v>
      </c>
      <c r="C4205">
        <v>3</v>
      </c>
      <c r="D4205">
        <v>39</v>
      </c>
    </row>
    <row r="4206" spans="1:4" x14ac:dyDescent="0.25">
      <c r="A4206" s="1">
        <v>41827</v>
      </c>
      <c r="B4206">
        <v>1</v>
      </c>
      <c r="C4206">
        <v>3</v>
      </c>
      <c r="D4206">
        <v>37</v>
      </c>
    </row>
    <row r="4207" spans="1:4" x14ac:dyDescent="0.25">
      <c r="A4207" s="1">
        <v>41828</v>
      </c>
      <c r="B4207">
        <v>1</v>
      </c>
      <c r="C4207">
        <v>3</v>
      </c>
      <c r="D4207">
        <v>37</v>
      </c>
    </row>
    <row r="4208" spans="1:4" x14ac:dyDescent="0.25">
      <c r="A4208" s="1">
        <v>41829</v>
      </c>
      <c r="B4208">
        <v>1</v>
      </c>
      <c r="C4208">
        <v>3</v>
      </c>
      <c r="D4208">
        <v>27</v>
      </c>
    </row>
    <row r="4209" spans="1:4" x14ac:dyDescent="0.25">
      <c r="A4209" s="1">
        <v>41830</v>
      </c>
      <c r="B4209">
        <v>1</v>
      </c>
      <c r="C4209">
        <v>3</v>
      </c>
      <c r="D4209">
        <v>44</v>
      </c>
    </row>
    <row r="4210" spans="1:4" x14ac:dyDescent="0.25">
      <c r="A4210" s="1">
        <v>41831</v>
      </c>
      <c r="B4210">
        <v>1</v>
      </c>
      <c r="C4210">
        <v>3</v>
      </c>
      <c r="D4210">
        <v>46</v>
      </c>
    </row>
    <row r="4211" spans="1:4" x14ac:dyDescent="0.25">
      <c r="A4211" s="1">
        <v>41832</v>
      </c>
      <c r="B4211">
        <v>1</v>
      </c>
      <c r="C4211">
        <v>3</v>
      </c>
      <c r="D4211">
        <v>35</v>
      </c>
    </row>
    <row r="4212" spans="1:4" x14ac:dyDescent="0.25">
      <c r="A4212" s="1">
        <v>41833</v>
      </c>
      <c r="B4212">
        <v>1</v>
      </c>
      <c r="C4212">
        <v>3</v>
      </c>
      <c r="D4212">
        <v>38</v>
      </c>
    </row>
    <row r="4213" spans="1:4" x14ac:dyDescent="0.25">
      <c r="A4213" s="1">
        <v>41834</v>
      </c>
      <c r="B4213">
        <v>1</v>
      </c>
      <c r="C4213">
        <v>3</v>
      </c>
      <c r="D4213">
        <v>36</v>
      </c>
    </row>
    <row r="4214" spans="1:4" x14ac:dyDescent="0.25">
      <c r="A4214" s="1">
        <v>41835</v>
      </c>
      <c r="B4214">
        <v>1</v>
      </c>
      <c r="C4214">
        <v>3</v>
      </c>
      <c r="D4214">
        <v>39</v>
      </c>
    </row>
    <row r="4215" spans="1:4" x14ac:dyDescent="0.25">
      <c r="A4215" s="1">
        <v>41836</v>
      </c>
      <c r="B4215">
        <v>1</v>
      </c>
      <c r="C4215">
        <v>3</v>
      </c>
      <c r="D4215">
        <v>31</v>
      </c>
    </row>
    <row r="4216" spans="1:4" x14ac:dyDescent="0.25">
      <c r="A4216" s="1">
        <v>41837</v>
      </c>
      <c r="B4216">
        <v>1</v>
      </c>
      <c r="C4216">
        <v>3</v>
      </c>
      <c r="D4216">
        <v>28</v>
      </c>
    </row>
    <row r="4217" spans="1:4" x14ac:dyDescent="0.25">
      <c r="A4217" s="1">
        <v>41838</v>
      </c>
      <c r="B4217">
        <v>1</v>
      </c>
      <c r="C4217">
        <v>3</v>
      </c>
      <c r="D4217">
        <v>52</v>
      </c>
    </row>
    <row r="4218" spans="1:4" x14ac:dyDescent="0.25">
      <c r="A4218" s="1">
        <v>41839</v>
      </c>
      <c r="B4218">
        <v>1</v>
      </c>
      <c r="C4218">
        <v>3</v>
      </c>
      <c r="D4218">
        <v>58</v>
      </c>
    </row>
    <row r="4219" spans="1:4" x14ac:dyDescent="0.25">
      <c r="A4219" s="1">
        <v>41840</v>
      </c>
      <c r="B4219">
        <v>1</v>
      </c>
      <c r="C4219">
        <v>3</v>
      </c>
      <c r="D4219">
        <v>65</v>
      </c>
    </row>
    <row r="4220" spans="1:4" x14ac:dyDescent="0.25">
      <c r="A4220" s="1">
        <v>41841</v>
      </c>
      <c r="B4220">
        <v>1</v>
      </c>
      <c r="C4220">
        <v>3</v>
      </c>
      <c r="D4220">
        <v>24</v>
      </c>
    </row>
    <row r="4221" spans="1:4" x14ac:dyDescent="0.25">
      <c r="A4221" s="1">
        <v>41842</v>
      </c>
      <c r="B4221">
        <v>1</v>
      </c>
      <c r="C4221">
        <v>3</v>
      </c>
      <c r="D4221">
        <v>25</v>
      </c>
    </row>
    <row r="4222" spans="1:4" x14ac:dyDescent="0.25">
      <c r="A4222" s="1">
        <v>41843</v>
      </c>
      <c r="B4222">
        <v>1</v>
      </c>
      <c r="C4222">
        <v>3</v>
      </c>
      <c r="D4222">
        <v>43</v>
      </c>
    </row>
    <row r="4223" spans="1:4" x14ac:dyDescent="0.25">
      <c r="A4223" s="1">
        <v>41844</v>
      </c>
      <c r="B4223">
        <v>1</v>
      </c>
      <c r="C4223">
        <v>3</v>
      </c>
      <c r="D4223">
        <v>38</v>
      </c>
    </row>
    <row r="4224" spans="1:4" x14ac:dyDescent="0.25">
      <c r="A4224" s="1">
        <v>41845</v>
      </c>
      <c r="B4224">
        <v>1</v>
      </c>
      <c r="C4224">
        <v>3</v>
      </c>
      <c r="D4224">
        <v>37</v>
      </c>
    </row>
    <row r="4225" spans="1:4" x14ac:dyDescent="0.25">
      <c r="A4225" s="1">
        <v>41846</v>
      </c>
      <c r="B4225">
        <v>1</v>
      </c>
      <c r="C4225">
        <v>3</v>
      </c>
      <c r="D4225">
        <v>51</v>
      </c>
    </row>
    <row r="4226" spans="1:4" x14ac:dyDescent="0.25">
      <c r="A4226" s="1">
        <v>41847</v>
      </c>
      <c r="B4226">
        <v>1</v>
      </c>
      <c r="C4226">
        <v>3</v>
      </c>
      <c r="D4226">
        <v>43</v>
      </c>
    </row>
    <row r="4227" spans="1:4" x14ac:dyDescent="0.25">
      <c r="A4227" s="1">
        <v>41848</v>
      </c>
      <c r="B4227">
        <v>1</v>
      </c>
      <c r="C4227">
        <v>3</v>
      </c>
      <c r="D4227">
        <v>31</v>
      </c>
    </row>
    <row r="4228" spans="1:4" x14ac:dyDescent="0.25">
      <c r="A4228" s="1">
        <v>41849</v>
      </c>
      <c r="B4228">
        <v>1</v>
      </c>
      <c r="C4228">
        <v>3</v>
      </c>
      <c r="D4228">
        <v>36</v>
      </c>
    </row>
    <row r="4229" spans="1:4" x14ac:dyDescent="0.25">
      <c r="A4229" s="1">
        <v>41850</v>
      </c>
      <c r="B4229">
        <v>1</v>
      </c>
      <c r="C4229">
        <v>3</v>
      </c>
      <c r="D4229">
        <v>37</v>
      </c>
    </row>
    <row r="4230" spans="1:4" x14ac:dyDescent="0.25">
      <c r="A4230" s="1">
        <v>41851</v>
      </c>
      <c r="B4230">
        <v>1</v>
      </c>
      <c r="C4230">
        <v>3</v>
      </c>
      <c r="D4230">
        <v>30</v>
      </c>
    </row>
    <row r="4231" spans="1:4" x14ac:dyDescent="0.25">
      <c r="A4231" s="1">
        <v>41852</v>
      </c>
      <c r="B4231">
        <v>1</v>
      </c>
      <c r="C4231">
        <v>3</v>
      </c>
      <c r="D4231">
        <v>34</v>
      </c>
    </row>
    <row r="4232" spans="1:4" x14ac:dyDescent="0.25">
      <c r="A4232" s="1">
        <v>41853</v>
      </c>
      <c r="B4232">
        <v>1</v>
      </c>
      <c r="C4232">
        <v>3</v>
      </c>
      <c r="D4232">
        <v>43</v>
      </c>
    </row>
    <row r="4233" spans="1:4" x14ac:dyDescent="0.25">
      <c r="A4233" s="1">
        <v>41854</v>
      </c>
      <c r="B4233">
        <v>1</v>
      </c>
      <c r="C4233">
        <v>3</v>
      </c>
      <c r="D4233">
        <v>45</v>
      </c>
    </row>
    <row r="4234" spans="1:4" x14ac:dyDescent="0.25">
      <c r="A4234" s="1">
        <v>41855</v>
      </c>
      <c r="B4234">
        <v>1</v>
      </c>
      <c r="C4234">
        <v>3</v>
      </c>
      <c r="D4234">
        <v>40</v>
      </c>
    </row>
    <row r="4235" spans="1:4" x14ac:dyDescent="0.25">
      <c r="A4235" s="1">
        <v>41856</v>
      </c>
      <c r="B4235">
        <v>1</v>
      </c>
      <c r="C4235">
        <v>3</v>
      </c>
      <c r="D4235">
        <v>36</v>
      </c>
    </row>
    <row r="4236" spans="1:4" x14ac:dyDescent="0.25">
      <c r="A4236" s="1">
        <v>41857</v>
      </c>
      <c r="B4236">
        <v>1</v>
      </c>
      <c r="C4236">
        <v>3</v>
      </c>
      <c r="D4236">
        <v>39</v>
      </c>
    </row>
    <row r="4237" spans="1:4" x14ac:dyDescent="0.25">
      <c r="A4237" s="1">
        <v>41858</v>
      </c>
      <c r="B4237">
        <v>1</v>
      </c>
      <c r="C4237">
        <v>3</v>
      </c>
      <c r="D4237">
        <v>34</v>
      </c>
    </row>
    <row r="4238" spans="1:4" x14ac:dyDescent="0.25">
      <c r="A4238" s="1">
        <v>41859</v>
      </c>
      <c r="B4238">
        <v>1</v>
      </c>
      <c r="C4238">
        <v>3</v>
      </c>
      <c r="D4238">
        <v>41</v>
      </c>
    </row>
    <row r="4239" spans="1:4" x14ac:dyDescent="0.25">
      <c r="A4239" s="1">
        <v>41860</v>
      </c>
      <c r="B4239">
        <v>1</v>
      </c>
      <c r="C4239">
        <v>3</v>
      </c>
      <c r="D4239">
        <v>38</v>
      </c>
    </row>
    <row r="4240" spans="1:4" x14ac:dyDescent="0.25">
      <c r="A4240" s="1">
        <v>41861</v>
      </c>
      <c r="B4240">
        <v>1</v>
      </c>
      <c r="C4240">
        <v>3</v>
      </c>
      <c r="D4240">
        <v>50</v>
      </c>
    </row>
    <row r="4241" spans="1:4" x14ac:dyDescent="0.25">
      <c r="A4241" s="1">
        <v>41862</v>
      </c>
      <c r="B4241">
        <v>1</v>
      </c>
      <c r="C4241">
        <v>3</v>
      </c>
      <c r="D4241">
        <v>27</v>
      </c>
    </row>
    <row r="4242" spans="1:4" x14ac:dyDescent="0.25">
      <c r="A4242" s="1">
        <v>41863</v>
      </c>
      <c r="B4242">
        <v>1</v>
      </c>
      <c r="C4242">
        <v>3</v>
      </c>
      <c r="D4242">
        <v>36</v>
      </c>
    </row>
    <row r="4243" spans="1:4" x14ac:dyDescent="0.25">
      <c r="A4243" s="1">
        <v>41864</v>
      </c>
      <c r="B4243">
        <v>1</v>
      </c>
      <c r="C4243">
        <v>3</v>
      </c>
      <c r="D4243">
        <v>34</v>
      </c>
    </row>
    <row r="4244" spans="1:4" x14ac:dyDescent="0.25">
      <c r="A4244" s="1">
        <v>41865</v>
      </c>
      <c r="B4244">
        <v>1</v>
      </c>
      <c r="C4244">
        <v>3</v>
      </c>
      <c r="D4244">
        <v>39</v>
      </c>
    </row>
    <row r="4245" spans="1:4" x14ac:dyDescent="0.25">
      <c r="A4245" s="1">
        <v>41866</v>
      </c>
      <c r="B4245">
        <v>1</v>
      </c>
      <c r="C4245">
        <v>3</v>
      </c>
      <c r="D4245">
        <v>32</v>
      </c>
    </row>
    <row r="4246" spans="1:4" x14ac:dyDescent="0.25">
      <c r="A4246" s="1">
        <v>41867</v>
      </c>
      <c r="B4246">
        <v>1</v>
      </c>
      <c r="C4246">
        <v>3</v>
      </c>
      <c r="D4246">
        <v>34</v>
      </c>
    </row>
    <row r="4247" spans="1:4" x14ac:dyDescent="0.25">
      <c r="A4247" s="1">
        <v>41868</v>
      </c>
      <c r="B4247">
        <v>1</v>
      </c>
      <c r="C4247">
        <v>3</v>
      </c>
      <c r="D4247">
        <v>57</v>
      </c>
    </row>
    <row r="4248" spans="1:4" x14ac:dyDescent="0.25">
      <c r="A4248" s="1">
        <v>41869</v>
      </c>
      <c r="B4248">
        <v>1</v>
      </c>
      <c r="C4248">
        <v>3</v>
      </c>
      <c r="D4248">
        <v>24</v>
      </c>
    </row>
    <row r="4249" spans="1:4" x14ac:dyDescent="0.25">
      <c r="A4249" s="1">
        <v>41870</v>
      </c>
      <c r="B4249">
        <v>1</v>
      </c>
      <c r="C4249">
        <v>3</v>
      </c>
      <c r="D4249">
        <v>25</v>
      </c>
    </row>
    <row r="4250" spans="1:4" x14ac:dyDescent="0.25">
      <c r="A4250" s="1">
        <v>41871</v>
      </c>
      <c r="B4250">
        <v>1</v>
      </c>
      <c r="C4250">
        <v>3</v>
      </c>
      <c r="D4250">
        <v>30</v>
      </c>
    </row>
    <row r="4251" spans="1:4" x14ac:dyDescent="0.25">
      <c r="A4251" s="1">
        <v>41872</v>
      </c>
      <c r="B4251">
        <v>1</v>
      </c>
      <c r="C4251">
        <v>3</v>
      </c>
      <c r="D4251">
        <v>34</v>
      </c>
    </row>
    <row r="4252" spans="1:4" x14ac:dyDescent="0.25">
      <c r="A4252" s="1">
        <v>41873</v>
      </c>
      <c r="B4252">
        <v>1</v>
      </c>
      <c r="C4252">
        <v>3</v>
      </c>
      <c r="D4252">
        <v>39</v>
      </c>
    </row>
    <row r="4253" spans="1:4" x14ac:dyDescent="0.25">
      <c r="A4253" s="1">
        <v>41874</v>
      </c>
      <c r="B4253">
        <v>1</v>
      </c>
      <c r="C4253">
        <v>3</v>
      </c>
      <c r="D4253">
        <v>42</v>
      </c>
    </row>
    <row r="4254" spans="1:4" x14ac:dyDescent="0.25">
      <c r="A4254" s="1">
        <v>41875</v>
      </c>
      <c r="B4254">
        <v>1</v>
      </c>
      <c r="C4254">
        <v>3</v>
      </c>
      <c r="D4254">
        <v>40</v>
      </c>
    </row>
    <row r="4255" spans="1:4" x14ac:dyDescent="0.25">
      <c r="A4255" s="1">
        <v>41876</v>
      </c>
      <c r="B4255">
        <v>1</v>
      </c>
      <c r="C4255">
        <v>3</v>
      </c>
      <c r="D4255">
        <v>30</v>
      </c>
    </row>
    <row r="4256" spans="1:4" x14ac:dyDescent="0.25">
      <c r="A4256" s="1">
        <v>41877</v>
      </c>
      <c r="B4256">
        <v>1</v>
      </c>
      <c r="C4256">
        <v>3</v>
      </c>
      <c r="D4256">
        <v>22</v>
      </c>
    </row>
    <row r="4257" spans="1:4" x14ac:dyDescent="0.25">
      <c r="A4257" s="1">
        <v>41878</v>
      </c>
      <c r="B4257">
        <v>1</v>
      </c>
      <c r="C4257">
        <v>3</v>
      </c>
      <c r="D4257">
        <v>22</v>
      </c>
    </row>
    <row r="4258" spans="1:4" x14ac:dyDescent="0.25">
      <c r="A4258" s="1">
        <v>41879</v>
      </c>
      <c r="B4258">
        <v>1</v>
      </c>
      <c r="C4258">
        <v>3</v>
      </c>
      <c r="D4258">
        <v>40</v>
      </c>
    </row>
    <row r="4259" spans="1:4" x14ac:dyDescent="0.25">
      <c r="A4259" s="1">
        <v>41880</v>
      </c>
      <c r="B4259">
        <v>1</v>
      </c>
      <c r="C4259">
        <v>3</v>
      </c>
      <c r="D4259">
        <v>33</v>
      </c>
    </row>
    <row r="4260" spans="1:4" x14ac:dyDescent="0.25">
      <c r="A4260" s="1">
        <v>41881</v>
      </c>
      <c r="B4260">
        <v>1</v>
      </c>
      <c r="C4260">
        <v>3</v>
      </c>
      <c r="D4260">
        <v>39</v>
      </c>
    </row>
    <row r="4261" spans="1:4" x14ac:dyDescent="0.25">
      <c r="A4261" s="1">
        <v>41882</v>
      </c>
      <c r="B4261">
        <v>1</v>
      </c>
      <c r="C4261">
        <v>3</v>
      </c>
      <c r="D4261">
        <v>37</v>
      </c>
    </row>
    <row r="4262" spans="1:4" x14ac:dyDescent="0.25">
      <c r="A4262" s="1">
        <v>41883</v>
      </c>
      <c r="B4262">
        <v>1</v>
      </c>
      <c r="C4262">
        <v>3</v>
      </c>
      <c r="D4262">
        <v>25</v>
      </c>
    </row>
    <row r="4263" spans="1:4" x14ac:dyDescent="0.25">
      <c r="A4263" s="1">
        <v>41884</v>
      </c>
      <c r="B4263">
        <v>1</v>
      </c>
      <c r="C4263">
        <v>3</v>
      </c>
      <c r="D4263">
        <v>21</v>
      </c>
    </row>
    <row r="4264" spans="1:4" x14ac:dyDescent="0.25">
      <c r="A4264" s="1">
        <v>41885</v>
      </c>
      <c r="B4264">
        <v>1</v>
      </c>
      <c r="C4264">
        <v>3</v>
      </c>
      <c r="D4264">
        <v>34</v>
      </c>
    </row>
    <row r="4265" spans="1:4" x14ac:dyDescent="0.25">
      <c r="A4265" s="1">
        <v>41886</v>
      </c>
      <c r="B4265">
        <v>1</v>
      </c>
      <c r="C4265">
        <v>3</v>
      </c>
      <c r="D4265">
        <v>21</v>
      </c>
    </row>
    <row r="4266" spans="1:4" x14ac:dyDescent="0.25">
      <c r="A4266" s="1">
        <v>41887</v>
      </c>
      <c r="B4266">
        <v>1</v>
      </c>
      <c r="C4266">
        <v>3</v>
      </c>
      <c r="D4266">
        <v>44</v>
      </c>
    </row>
    <row r="4267" spans="1:4" x14ac:dyDescent="0.25">
      <c r="A4267" s="1">
        <v>41888</v>
      </c>
      <c r="B4267">
        <v>1</v>
      </c>
      <c r="C4267">
        <v>3</v>
      </c>
      <c r="D4267">
        <v>34</v>
      </c>
    </row>
    <row r="4268" spans="1:4" x14ac:dyDescent="0.25">
      <c r="A4268" s="1">
        <v>41889</v>
      </c>
      <c r="B4268">
        <v>1</v>
      </c>
      <c r="C4268">
        <v>3</v>
      </c>
      <c r="D4268">
        <v>34</v>
      </c>
    </row>
    <row r="4269" spans="1:4" x14ac:dyDescent="0.25">
      <c r="A4269" s="1">
        <v>41890</v>
      </c>
      <c r="B4269">
        <v>1</v>
      </c>
      <c r="C4269">
        <v>3</v>
      </c>
      <c r="D4269">
        <v>24</v>
      </c>
    </row>
    <row r="4270" spans="1:4" x14ac:dyDescent="0.25">
      <c r="A4270" s="1">
        <v>41891</v>
      </c>
      <c r="B4270">
        <v>1</v>
      </c>
      <c r="C4270">
        <v>3</v>
      </c>
      <c r="D4270">
        <v>27</v>
      </c>
    </row>
    <row r="4271" spans="1:4" x14ac:dyDescent="0.25">
      <c r="A4271" s="1">
        <v>41892</v>
      </c>
      <c r="B4271">
        <v>1</v>
      </c>
      <c r="C4271">
        <v>3</v>
      </c>
      <c r="D4271">
        <v>29</v>
      </c>
    </row>
    <row r="4272" spans="1:4" x14ac:dyDescent="0.25">
      <c r="A4272" s="1">
        <v>41893</v>
      </c>
      <c r="B4272">
        <v>1</v>
      </c>
      <c r="C4272">
        <v>3</v>
      </c>
      <c r="D4272">
        <v>25</v>
      </c>
    </row>
    <row r="4273" spans="1:4" x14ac:dyDescent="0.25">
      <c r="A4273" s="1">
        <v>41894</v>
      </c>
      <c r="B4273">
        <v>1</v>
      </c>
      <c r="C4273">
        <v>3</v>
      </c>
      <c r="D4273">
        <v>44</v>
      </c>
    </row>
    <row r="4274" spans="1:4" x14ac:dyDescent="0.25">
      <c r="A4274" s="1">
        <v>41895</v>
      </c>
      <c r="B4274">
        <v>1</v>
      </c>
      <c r="C4274">
        <v>3</v>
      </c>
      <c r="D4274">
        <v>39</v>
      </c>
    </row>
    <row r="4275" spans="1:4" x14ac:dyDescent="0.25">
      <c r="A4275" s="1">
        <v>41896</v>
      </c>
      <c r="B4275">
        <v>1</v>
      </c>
      <c r="C4275">
        <v>3</v>
      </c>
      <c r="D4275">
        <v>52</v>
      </c>
    </row>
    <row r="4276" spans="1:4" x14ac:dyDescent="0.25">
      <c r="A4276" s="1">
        <v>41897</v>
      </c>
      <c r="B4276">
        <v>1</v>
      </c>
      <c r="C4276">
        <v>3</v>
      </c>
      <c r="D4276">
        <v>29</v>
      </c>
    </row>
    <row r="4277" spans="1:4" x14ac:dyDescent="0.25">
      <c r="A4277" s="1">
        <v>41898</v>
      </c>
      <c r="B4277">
        <v>1</v>
      </c>
      <c r="C4277">
        <v>3</v>
      </c>
      <c r="D4277">
        <v>32</v>
      </c>
    </row>
    <row r="4278" spans="1:4" x14ac:dyDescent="0.25">
      <c r="A4278" s="1">
        <v>41899</v>
      </c>
      <c r="B4278">
        <v>1</v>
      </c>
      <c r="C4278">
        <v>3</v>
      </c>
      <c r="D4278">
        <v>29</v>
      </c>
    </row>
    <row r="4279" spans="1:4" x14ac:dyDescent="0.25">
      <c r="A4279" s="1">
        <v>41900</v>
      </c>
      <c r="B4279">
        <v>1</v>
      </c>
      <c r="C4279">
        <v>3</v>
      </c>
      <c r="D4279">
        <v>38</v>
      </c>
    </row>
    <row r="4280" spans="1:4" x14ac:dyDescent="0.25">
      <c r="A4280" s="1">
        <v>41901</v>
      </c>
      <c r="B4280">
        <v>1</v>
      </c>
      <c r="C4280">
        <v>3</v>
      </c>
      <c r="D4280">
        <v>34</v>
      </c>
    </row>
    <row r="4281" spans="1:4" x14ac:dyDescent="0.25">
      <c r="A4281" s="1">
        <v>41902</v>
      </c>
      <c r="B4281">
        <v>1</v>
      </c>
      <c r="C4281">
        <v>3</v>
      </c>
      <c r="D4281">
        <v>40</v>
      </c>
    </row>
    <row r="4282" spans="1:4" x14ac:dyDescent="0.25">
      <c r="A4282" s="1">
        <v>41903</v>
      </c>
      <c r="B4282">
        <v>1</v>
      </c>
      <c r="C4282">
        <v>3</v>
      </c>
      <c r="D4282">
        <v>41</v>
      </c>
    </row>
    <row r="4283" spans="1:4" x14ac:dyDescent="0.25">
      <c r="A4283" s="1">
        <v>41904</v>
      </c>
      <c r="B4283">
        <v>1</v>
      </c>
      <c r="C4283">
        <v>3</v>
      </c>
      <c r="D4283">
        <v>32</v>
      </c>
    </row>
    <row r="4284" spans="1:4" x14ac:dyDescent="0.25">
      <c r="A4284" s="1">
        <v>41905</v>
      </c>
      <c r="B4284">
        <v>1</v>
      </c>
      <c r="C4284">
        <v>3</v>
      </c>
      <c r="D4284">
        <v>22</v>
      </c>
    </row>
    <row r="4285" spans="1:4" x14ac:dyDescent="0.25">
      <c r="A4285" s="1">
        <v>41906</v>
      </c>
      <c r="B4285">
        <v>1</v>
      </c>
      <c r="C4285">
        <v>3</v>
      </c>
      <c r="D4285">
        <v>34</v>
      </c>
    </row>
    <row r="4286" spans="1:4" x14ac:dyDescent="0.25">
      <c r="A4286" s="1">
        <v>41907</v>
      </c>
      <c r="B4286">
        <v>1</v>
      </c>
      <c r="C4286">
        <v>3</v>
      </c>
      <c r="D4286">
        <v>25</v>
      </c>
    </row>
    <row r="4287" spans="1:4" x14ac:dyDescent="0.25">
      <c r="A4287" s="1">
        <v>41908</v>
      </c>
      <c r="B4287">
        <v>1</v>
      </c>
      <c r="C4287">
        <v>3</v>
      </c>
      <c r="D4287">
        <v>22</v>
      </c>
    </row>
    <row r="4288" spans="1:4" x14ac:dyDescent="0.25">
      <c r="A4288" s="1">
        <v>41909</v>
      </c>
      <c r="B4288">
        <v>1</v>
      </c>
      <c r="C4288">
        <v>3</v>
      </c>
      <c r="D4288">
        <v>39</v>
      </c>
    </row>
    <row r="4289" spans="1:4" x14ac:dyDescent="0.25">
      <c r="A4289" s="1">
        <v>41910</v>
      </c>
      <c r="B4289">
        <v>1</v>
      </c>
      <c r="C4289">
        <v>3</v>
      </c>
      <c r="D4289">
        <v>43</v>
      </c>
    </row>
    <row r="4290" spans="1:4" x14ac:dyDescent="0.25">
      <c r="A4290" s="1">
        <v>41911</v>
      </c>
      <c r="B4290">
        <v>1</v>
      </c>
      <c r="C4290">
        <v>3</v>
      </c>
      <c r="D4290">
        <v>26</v>
      </c>
    </row>
    <row r="4291" spans="1:4" x14ac:dyDescent="0.25">
      <c r="A4291" s="1">
        <v>41912</v>
      </c>
      <c r="B4291">
        <v>1</v>
      </c>
      <c r="C4291">
        <v>3</v>
      </c>
      <c r="D4291">
        <v>32</v>
      </c>
    </row>
    <row r="4292" spans="1:4" x14ac:dyDescent="0.25">
      <c r="A4292" s="1">
        <v>41913</v>
      </c>
      <c r="B4292">
        <v>1</v>
      </c>
      <c r="C4292">
        <v>3</v>
      </c>
      <c r="D4292">
        <v>26</v>
      </c>
    </row>
    <row r="4293" spans="1:4" x14ac:dyDescent="0.25">
      <c r="A4293" s="1">
        <v>41914</v>
      </c>
      <c r="B4293">
        <v>1</v>
      </c>
      <c r="C4293">
        <v>3</v>
      </c>
      <c r="D4293">
        <v>31</v>
      </c>
    </row>
    <row r="4294" spans="1:4" x14ac:dyDescent="0.25">
      <c r="A4294" s="1">
        <v>41915</v>
      </c>
      <c r="B4294">
        <v>1</v>
      </c>
      <c r="C4294">
        <v>3</v>
      </c>
      <c r="D4294">
        <v>34</v>
      </c>
    </row>
    <row r="4295" spans="1:4" x14ac:dyDescent="0.25">
      <c r="A4295" s="1">
        <v>41916</v>
      </c>
      <c r="B4295">
        <v>1</v>
      </c>
      <c r="C4295">
        <v>3</v>
      </c>
      <c r="D4295">
        <v>37</v>
      </c>
    </row>
    <row r="4296" spans="1:4" x14ac:dyDescent="0.25">
      <c r="A4296" s="1">
        <v>41917</v>
      </c>
      <c r="B4296">
        <v>1</v>
      </c>
      <c r="C4296">
        <v>3</v>
      </c>
      <c r="D4296">
        <v>39</v>
      </c>
    </row>
    <row r="4297" spans="1:4" x14ac:dyDescent="0.25">
      <c r="A4297" s="1">
        <v>41918</v>
      </c>
      <c r="B4297">
        <v>1</v>
      </c>
      <c r="C4297">
        <v>3</v>
      </c>
      <c r="D4297">
        <v>28</v>
      </c>
    </row>
    <row r="4298" spans="1:4" x14ac:dyDescent="0.25">
      <c r="A4298" s="1">
        <v>41919</v>
      </c>
      <c r="B4298">
        <v>1</v>
      </c>
      <c r="C4298">
        <v>3</v>
      </c>
      <c r="D4298">
        <v>33</v>
      </c>
    </row>
    <row r="4299" spans="1:4" x14ac:dyDescent="0.25">
      <c r="A4299" s="1">
        <v>41920</v>
      </c>
      <c r="B4299">
        <v>1</v>
      </c>
      <c r="C4299">
        <v>3</v>
      </c>
      <c r="D4299">
        <v>25</v>
      </c>
    </row>
    <row r="4300" spans="1:4" x14ac:dyDescent="0.25">
      <c r="A4300" s="1">
        <v>41921</v>
      </c>
      <c r="B4300">
        <v>1</v>
      </c>
      <c r="C4300">
        <v>3</v>
      </c>
      <c r="D4300">
        <v>28</v>
      </c>
    </row>
    <row r="4301" spans="1:4" x14ac:dyDescent="0.25">
      <c r="A4301" s="1">
        <v>41922</v>
      </c>
      <c r="B4301">
        <v>1</v>
      </c>
      <c r="C4301">
        <v>3</v>
      </c>
      <c r="D4301">
        <v>33</v>
      </c>
    </row>
    <row r="4302" spans="1:4" x14ac:dyDescent="0.25">
      <c r="A4302" s="1">
        <v>41923</v>
      </c>
      <c r="B4302">
        <v>1</v>
      </c>
      <c r="C4302">
        <v>3</v>
      </c>
      <c r="D4302">
        <v>36</v>
      </c>
    </row>
    <row r="4303" spans="1:4" x14ac:dyDescent="0.25">
      <c r="A4303" s="1">
        <v>41924</v>
      </c>
      <c r="B4303">
        <v>1</v>
      </c>
      <c r="C4303">
        <v>3</v>
      </c>
      <c r="D4303">
        <v>54</v>
      </c>
    </row>
    <row r="4304" spans="1:4" x14ac:dyDescent="0.25">
      <c r="A4304" s="1">
        <v>41925</v>
      </c>
      <c r="B4304">
        <v>1</v>
      </c>
      <c r="C4304">
        <v>3</v>
      </c>
      <c r="D4304">
        <v>33</v>
      </c>
    </row>
    <row r="4305" spans="1:4" x14ac:dyDescent="0.25">
      <c r="A4305" s="1">
        <v>41926</v>
      </c>
      <c r="B4305">
        <v>1</v>
      </c>
      <c r="C4305">
        <v>3</v>
      </c>
      <c r="D4305">
        <v>20</v>
      </c>
    </row>
    <row r="4306" spans="1:4" x14ac:dyDescent="0.25">
      <c r="A4306" s="1">
        <v>41927</v>
      </c>
      <c r="B4306">
        <v>1</v>
      </c>
      <c r="C4306">
        <v>3</v>
      </c>
      <c r="D4306">
        <v>20</v>
      </c>
    </row>
    <row r="4307" spans="1:4" x14ac:dyDescent="0.25">
      <c r="A4307" s="1">
        <v>41928</v>
      </c>
      <c r="B4307">
        <v>1</v>
      </c>
      <c r="C4307">
        <v>3</v>
      </c>
      <c r="D4307">
        <v>34</v>
      </c>
    </row>
    <row r="4308" spans="1:4" x14ac:dyDescent="0.25">
      <c r="A4308" s="1">
        <v>41929</v>
      </c>
      <c r="B4308">
        <v>1</v>
      </c>
      <c r="C4308">
        <v>3</v>
      </c>
      <c r="D4308">
        <v>35</v>
      </c>
    </row>
    <row r="4309" spans="1:4" x14ac:dyDescent="0.25">
      <c r="A4309" s="1">
        <v>41930</v>
      </c>
      <c r="B4309">
        <v>1</v>
      </c>
      <c r="C4309">
        <v>3</v>
      </c>
      <c r="D4309">
        <v>38</v>
      </c>
    </row>
    <row r="4310" spans="1:4" x14ac:dyDescent="0.25">
      <c r="A4310" s="1">
        <v>41931</v>
      </c>
      <c r="B4310">
        <v>1</v>
      </c>
      <c r="C4310">
        <v>3</v>
      </c>
      <c r="D4310">
        <v>25</v>
      </c>
    </row>
    <row r="4311" spans="1:4" x14ac:dyDescent="0.25">
      <c r="A4311" s="1">
        <v>41932</v>
      </c>
      <c r="B4311">
        <v>1</v>
      </c>
      <c r="C4311">
        <v>3</v>
      </c>
      <c r="D4311">
        <v>21</v>
      </c>
    </row>
    <row r="4312" spans="1:4" x14ac:dyDescent="0.25">
      <c r="A4312" s="1">
        <v>41933</v>
      </c>
      <c r="B4312">
        <v>1</v>
      </c>
      <c r="C4312">
        <v>3</v>
      </c>
      <c r="D4312">
        <v>35</v>
      </c>
    </row>
    <row r="4313" spans="1:4" x14ac:dyDescent="0.25">
      <c r="A4313" s="1">
        <v>41934</v>
      </c>
      <c r="B4313">
        <v>1</v>
      </c>
      <c r="C4313">
        <v>3</v>
      </c>
      <c r="D4313">
        <v>31</v>
      </c>
    </row>
    <row r="4314" spans="1:4" x14ac:dyDescent="0.25">
      <c r="A4314" s="1">
        <v>41935</v>
      </c>
      <c r="B4314">
        <v>1</v>
      </c>
      <c r="C4314">
        <v>3</v>
      </c>
      <c r="D4314">
        <v>30</v>
      </c>
    </row>
    <row r="4315" spans="1:4" x14ac:dyDescent="0.25">
      <c r="A4315" s="1">
        <v>41936</v>
      </c>
      <c r="B4315">
        <v>1</v>
      </c>
      <c r="C4315">
        <v>3</v>
      </c>
      <c r="D4315">
        <v>28</v>
      </c>
    </row>
    <row r="4316" spans="1:4" x14ac:dyDescent="0.25">
      <c r="A4316" s="1">
        <v>41937</v>
      </c>
      <c r="B4316">
        <v>1</v>
      </c>
      <c r="C4316">
        <v>3</v>
      </c>
      <c r="D4316">
        <v>33</v>
      </c>
    </row>
    <row r="4317" spans="1:4" x14ac:dyDescent="0.25">
      <c r="A4317" s="1">
        <v>41938</v>
      </c>
      <c r="B4317">
        <v>1</v>
      </c>
      <c r="C4317">
        <v>3</v>
      </c>
      <c r="D4317">
        <v>44</v>
      </c>
    </row>
    <row r="4318" spans="1:4" x14ac:dyDescent="0.25">
      <c r="A4318" s="1">
        <v>41939</v>
      </c>
      <c r="B4318">
        <v>1</v>
      </c>
      <c r="C4318">
        <v>3</v>
      </c>
      <c r="D4318">
        <v>25</v>
      </c>
    </row>
    <row r="4319" spans="1:4" x14ac:dyDescent="0.25">
      <c r="A4319" s="1">
        <v>41940</v>
      </c>
      <c r="B4319">
        <v>1</v>
      </c>
      <c r="C4319">
        <v>3</v>
      </c>
      <c r="D4319">
        <v>27</v>
      </c>
    </row>
    <row r="4320" spans="1:4" x14ac:dyDescent="0.25">
      <c r="A4320" s="1">
        <v>41941</v>
      </c>
      <c r="B4320">
        <v>1</v>
      </c>
      <c r="C4320">
        <v>3</v>
      </c>
      <c r="D4320">
        <v>27</v>
      </c>
    </row>
    <row r="4321" spans="1:4" x14ac:dyDescent="0.25">
      <c r="A4321" s="1">
        <v>41942</v>
      </c>
      <c r="B4321">
        <v>1</v>
      </c>
      <c r="C4321">
        <v>3</v>
      </c>
      <c r="D4321">
        <v>39</v>
      </c>
    </row>
    <row r="4322" spans="1:4" x14ac:dyDescent="0.25">
      <c r="A4322" s="1">
        <v>41943</v>
      </c>
      <c r="B4322">
        <v>1</v>
      </c>
      <c r="C4322">
        <v>3</v>
      </c>
      <c r="D4322">
        <v>32</v>
      </c>
    </row>
    <row r="4323" spans="1:4" x14ac:dyDescent="0.25">
      <c r="A4323" s="1">
        <v>41944</v>
      </c>
      <c r="B4323">
        <v>1</v>
      </c>
      <c r="C4323">
        <v>3</v>
      </c>
      <c r="D4323">
        <v>31</v>
      </c>
    </row>
    <row r="4324" spans="1:4" x14ac:dyDescent="0.25">
      <c r="A4324" s="1">
        <v>41945</v>
      </c>
      <c r="B4324">
        <v>1</v>
      </c>
      <c r="C4324">
        <v>3</v>
      </c>
      <c r="D4324">
        <v>52</v>
      </c>
    </row>
    <row r="4325" spans="1:4" x14ac:dyDescent="0.25">
      <c r="A4325" s="1">
        <v>41946</v>
      </c>
      <c r="B4325">
        <v>1</v>
      </c>
      <c r="C4325">
        <v>3</v>
      </c>
      <c r="D4325">
        <v>26</v>
      </c>
    </row>
    <row r="4326" spans="1:4" x14ac:dyDescent="0.25">
      <c r="A4326" s="1">
        <v>41947</v>
      </c>
      <c r="B4326">
        <v>1</v>
      </c>
      <c r="C4326">
        <v>3</v>
      </c>
      <c r="D4326">
        <v>35</v>
      </c>
    </row>
    <row r="4327" spans="1:4" x14ac:dyDescent="0.25">
      <c r="A4327" s="1">
        <v>41948</v>
      </c>
      <c r="B4327">
        <v>1</v>
      </c>
      <c r="C4327">
        <v>3</v>
      </c>
      <c r="D4327">
        <v>25</v>
      </c>
    </row>
    <row r="4328" spans="1:4" x14ac:dyDescent="0.25">
      <c r="A4328" s="1">
        <v>41949</v>
      </c>
      <c r="B4328">
        <v>1</v>
      </c>
      <c r="C4328">
        <v>3</v>
      </c>
      <c r="D4328">
        <v>27</v>
      </c>
    </row>
    <row r="4329" spans="1:4" x14ac:dyDescent="0.25">
      <c r="A4329" s="1">
        <v>41950</v>
      </c>
      <c r="B4329">
        <v>1</v>
      </c>
      <c r="C4329">
        <v>3</v>
      </c>
      <c r="D4329">
        <v>28</v>
      </c>
    </row>
    <row r="4330" spans="1:4" x14ac:dyDescent="0.25">
      <c r="A4330" s="1">
        <v>41951</v>
      </c>
      <c r="B4330">
        <v>1</v>
      </c>
      <c r="C4330">
        <v>3</v>
      </c>
      <c r="D4330">
        <v>38</v>
      </c>
    </row>
    <row r="4331" spans="1:4" x14ac:dyDescent="0.25">
      <c r="A4331" s="1">
        <v>41952</v>
      </c>
      <c r="B4331">
        <v>1</v>
      </c>
      <c r="C4331">
        <v>3</v>
      </c>
      <c r="D4331">
        <v>33</v>
      </c>
    </row>
    <row r="4332" spans="1:4" x14ac:dyDescent="0.25">
      <c r="A4332" s="1">
        <v>41953</v>
      </c>
      <c r="B4332">
        <v>1</v>
      </c>
      <c r="C4332">
        <v>3</v>
      </c>
      <c r="D4332">
        <v>26</v>
      </c>
    </row>
    <row r="4333" spans="1:4" x14ac:dyDescent="0.25">
      <c r="A4333" s="1">
        <v>41954</v>
      </c>
      <c r="B4333">
        <v>1</v>
      </c>
      <c r="C4333">
        <v>3</v>
      </c>
      <c r="D4333">
        <v>39</v>
      </c>
    </row>
    <row r="4334" spans="1:4" x14ac:dyDescent="0.25">
      <c r="A4334" s="1">
        <v>41955</v>
      </c>
      <c r="B4334">
        <v>1</v>
      </c>
      <c r="C4334">
        <v>3</v>
      </c>
      <c r="D4334">
        <v>36</v>
      </c>
    </row>
    <row r="4335" spans="1:4" x14ac:dyDescent="0.25">
      <c r="A4335" s="1">
        <v>41956</v>
      </c>
      <c r="B4335">
        <v>1</v>
      </c>
      <c r="C4335">
        <v>3</v>
      </c>
      <c r="D4335">
        <v>30</v>
      </c>
    </row>
    <row r="4336" spans="1:4" x14ac:dyDescent="0.25">
      <c r="A4336" s="1">
        <v>41957</v>
      </c>
      <c r="B4336">
        <v>1</v>
      </c>
      <c r="C4336">
        <v>3</v>
      </c>
      <c r="D4336">
        <v>43</v>
      </c>
    </row>
    <row r="4337" spans="1:4" x14ac:dyDescent="0.25">
      <c r="A4337" s="1">
        <v>41958</v>
      </c>
      <c r="B4337">
        <v>1</v>
      </c>
      <c r="C4337">
        <v>3</v>
      </c>
      <c r="D4337">
        <v>40</v>
      </c>
    </row>
    <row r="4338" spans="1:4" x14ac:dyDescent="0.25">
      <c r="A4338" s="1">
        <v>41959</v>
      </c>
      <c r="B4338">
        <v>1</v>
      </c>
      <c r="C4338">
        <v>3</v>
      </c>
      <c r="D4338">
        <v>48</v>
      </c>
    </row>
    <row r="4339" spans="1:4" x14ac:dyDescent="0.25">
      <c r="A4339" s="1">
        <v>41960</v>
      </c>
      <c r="B4339">
        <v>1</v>
      </c>
      <c r="C4339">
        <v>3</v>
      </c>
      <c r="D4339">
        <v>21</v>
      </c>
    </row>
    <row r="4340" spans="1:4" x14ac:dyDescent="0.25">
      <c r="A4340" s="1">
        <v>41961</v>
      </c>
      <c r="B4340">
        <v>1</v>
      </c>
      <c r="C4340">
        <v>3</v>
      </c>
      <c r="D4340">
        <v>22</v>
      </c>
    </row>
    <row r="4341" spans="1:4" x14ac:dyDescent="0.25">
      <c r="A4341" s="1">
        <v>41962</v>
      </c>
      <c r="B4341">
        <v>1</v>
      </c>
      <c r="C4341">
        <v>3</v>
      </c>
      <c r="D4341">
        <v>41</v>
      </c>
    </row>
    <row r="4342" spans="1:4" x14ac:dyDescent="0.25">
      <c r="A4342" s="1">
        <v>41963</v>
      </c>
      <c r="B4342">
        <v>1</v>
      </c>
      <c r="C4342">
        <v>3</v>
      </c>
      <c r="D4342">
        <v>41</v>
      </c>
    </row>
    <row r="4343" spans="1:4" x14ac:dyDescent="0.25">
      <c r="A4343" s="1">
        <v>41964</v>
      </c>
      <c r="B4343">
        <v>1</v>
      </c>
      <c r="C4343">
        <v>3</v>
      </c>
      <c r="D4343">
        <v>44</v>
      </c>
    </row>
    <row r="4344" spans="1:4" x14ac:dyDescent="0.25">
      <c r="A4344" s="1">
        <v>41965</v>
      </c>
      <c r="B4344">
        <v>1</v>
      </c>
      <c r="C4344">
        <v>3</v>
      </c>
      <c r="D4344">
        <v>38</v>
      </c>
    </row>
    <row r="4345" spans="1:4" x14ac:dyDescent="0.25">
      <c r="A4345" s="1">
        <v>41966</v>
      </c>
      <c r="B4345">
        <v>1</v>
      </c>
      <c r="C4345">
        <v>3</v>
      </c>
      <c r="D4345">
        <v>41</v>
      </c>
    </row>
    <row r="4346" spans="1:4" x14ac:dyDescent="0.25">
      <c r="A4346" s="1">
        <v>41967</v>
      </c>
      <c r="B4346">
        <v>1</v>
      </c>
      <c r="C4346">
        <v>3</v>
      </c>
      <c r="D4346">
        <v>30</v>
      </c>
    </row>
    <row r="4347" spans="1:4" x14ac:dyDescent="0.25">
      <c r="A4347" s="1">
        <v>41968</v>
      </c>
      <c r="B4347">
        <v>1</v>
      </c>
      <c r="C4347">
        <v>3</v>
      </c>
      <c r="D4347">
        <v>34</v>
      </c>
    </row>
    <row r="4348" spans="1:4" x14ac:dyDescent="0.25">
      <c r="A4348" s="1">
        <v>41969</v>
      </c>
      <c r="B4348">
        <v>1</v>
      </c>
      <c r="C4348">
        <v>3</v>
      </c>
      <c r="D4348">
        <v>25</v>
      </c>
    </row>
    <row r="4349" spans="1:4" x14ac:dyDescent="0.25">
      <c r="A4349" s="1">
        <v>41970</v>
      </c>
      <c r="B4349">
        <v>1</v>
      </c>
      <c r="C4349">
        <v>3</v>
      </c>
      <c r="D4349">
        <v>24</v>
      </c>
    </row>
    <row r="4350" spans="1:4" x14ac:dyDescent="0.25">
      <c r="A4350" s="1">
        <v>41971</v>
      </c>
      <c r="B4350">
        <v>1</v>
      </c>
      <c r="C4350">
        <v>3</v>
      </c>
      <c r="D4350">
        <v>32</v>
      </c>
    </row>
    <row r="4351" spans="1:4" x14ac:dyDescent="0.25">
      <c r="A4351" s="1">
        <v>41972</v>
      </c>
      <c r="B4351">
        <v>1</v>
      </c>
      <c r="C4351">
        <v>3</v>
      </c>
      <c r="D4351">
        <v>31</v>
      </c>
    </row>
    <row r="4352" spans="1:4" x14ac:dyDescent="0.25">
      <c r="A4352" s="1">
        <v>41973</v>
      </c>
      <c r="B4352">
        <v>1</v>
      </c>
      <c r="C4352">
        <v>3</v>
      </c>
      <c r="D4352">
        <v>39</v>
      </c>
    </row>
    <row r="4353" spans="1:4" x14ac:dyDescent="0.25">
      <c r="A4353" s="1">
        <v>41974</v>
      </c>
      <c r="B4353">
        <v>1</v>
      </c>
      <c r="C4353">
        <v>3</v>
      </c>
      <c r="D4353">
        <v>24</v>
      </c>
    </row>
    <row r="4354" spans="1:4" x14ac:dyDescent="0.25">
      <c r="A4354" s="1">
        <v>41975</v>
      </c>
      <c r="B4354">
        <v>1</v>
      </c>
      <c r="C4354">
        <v>3</v>
      </c>
      <c r="D4354">
        <v>22</v>
      </c>
    </row>
    <row r="4355" spans="1:4" x14ac:dyDescent="0.25">
      <c r="A4355" s="1">
        <v>41976</v>
      </c>
      <c r="B4355">
        <v>1</v>
      </c>
      <c r="C4355">
        <v>3</v>
      </c>
      <c r="D4355">
        <v>25</v>
      </c>
    </row>
    <row r="4356" spans="1:4" x14ac:dyDescent="0.25">
      <c r="A4356" s="1">
        <v>41977</v>
      </c>
      <c r="B4356">
        <v>1</v>
      </c>
      <c r="C4356">
        <v>3</v>
      </c>
      <c r="D4356">
        <v>24</v>
      </c>
    </row>
    <row r="4357" spans="1:4" x14ac:dyDescent="0.25">
      <c r="A4357" s="1">
        <v>41978</v>
      </c>
      <c r="B4357">
        <v>1</v>
      </c>
      <c r="C4357">
        <v>3</v>
      </c>
      <c r="D4357">
        <v>27</v>
      </c>
    </row>
    <row r="4358" spans="1:4" x14ac:dyDescent="0.25">
      <c r="A4358" s="1">
        <v>41979</v>
      </c>
      <c r="B4358">
        <v>1</v>
      </c>
      <c r="C4358">
        <v>3</v>
      </c>
      <c r="D4358">
        <v>28</v>
      </c>
    </row>
    <row r="4359" spans="1:4" x14ac:dyDescent="0.25">
      <c r="A4359" s="1">
        <v>41980</v>
      </c>
      <c r="B4359">
        <v>1</v>
      </c>
      <c r="C4359">
        <v>3</v>
      </c>
      <c r="D4359">
        <v>29</v>
      </c>
    </row>
    <row r="4360" spans="1:4" x14ac:dyDescent="0.25">
      <c r="A4360" s="1">
        <v>41981</v>
      </c>
      <c r="B4360">
        <v>1</v>
      </c>
      <c r="C4360">
        <v>3</v>
      </c>
      <c r="D4360">
        <v>25</v>
      </c>
    </row>
    <row r="4361" spans="1:4" x14ac:dyDescent="0.25">
      <c r="A4361" s="1">
        <v>41982</v>
      </c>
      <c r="B4361">
        <v>1</v>
      </c>
      <c r="C4361">
        <v>3</v>
      </c>
      <c r="D4361">
        <v>21</v>
      </c>
    </row>
    <row r="4362" spans="1:4" x14ac:dyDescent="0.25">
      <c r="A4362" s="1">
        <v>41983</v>
      </c>
      <c r="B4362">
        <v>1</v>
      </c>
      <c r="C4362">
        <v>3</v>
      </c>
      <c r="D4362">
        <v>14</v>
      </c>
    </row>
    <row r="4363" spans="1:4" x14ac:dyDescent="0.25">
      <c r="A4363" s="1">
        <v>41984</v>
      </c>
      <c r="B4363">
        <v>1</v>
      </c>
      <c r="C4363">
        <v>3</v>
      </c>
      <c r="D4363">
        <v>19</v>
      </c>
    </row>
    <row r="4364" spans="1:4" x14ac:dyDescent="0.25">
      <c r="A4364" s="1">
        <v>41985</v>
      </c>
      <c r="B4364">
        <v>1</v>
      </c>
      <c r="C4364">
        <v>3</v>
      </c>
      <c r="D4364">
        <v>27</v>
      </c>
    </row>
    <row r="4365" spans="1:4" x14ac:dyDescent="0.25">
      <c r="A4365" s="1">
        <v>41986</v>
      </c>
      <c r="B4365">
        <v>1</v>
      </c>
      <c r="C4365">
        <v>3</v>
      </c>
      <c r="D4365">
        <v>22</v>
      </c>
    </row>
    <row r="4366" spans="1:4" x14ac:dyDescent="0.25">
      <c r="A4366" s="1">
        <v>41987</v>
      </c>
      <c r="B4366">
        <v>1</v>
      </c>
      <c r="C4366">
        <v>3</v>
      </c>
      <c r="D4366">
        <v>32</v>
      </c>
    </row>
    <row r="4367" spans="1:4" x14ac:dyDescent="0.25">
      <c r="A4367" s="1">
        <v>41988</v>
      </c>
      <c r="B4367">
        <v>1</v>
      </c>
      <c r="C4367">
        <v>3</v>
      </c>
      <c r="D4367">
        <v>15</v>
      </c>
    </row>
    <row r="4368" spans="1:4" x14ac:dyDescent="0.25">
      <c r="A4368" s="1">
        <v>41989</v>
      </c>
      <c r="B4368">
        <v>1</v>
      </c>
      <c r="C4368">
        <v>3</v>
      </c>
      <c r="D4368">
        <v>17</v>
      </c>
    </row>
    <row r="4369" spans="1:4" x14ac:dyDescent="0.25">
      <c r="A4369" s="1">
        <v>41990</v>
      </c>
      <c r="B4369">
        <v>1</v>
      </c>
      <c r="C4369">
        <v>3</v>
      </c>
      <c r="D4369">
        <v>25</v>
      </c>
    </row>
    <row r="4370" spans="1:4" x14ac:dyDescent="0.25">
      <c r="A4370" s="1">
        <v>41991</v>
      </c>
      <c r="B4370">
        <v>1</v>
      </c>
      <c r="C4370">
        <v>3</v>
      </c>
      <c r="D4370">
        <v>18</v>
      </c>
    </row>
    <row r="4371" spans="1:4" x14ac:dyDescent="0.25">
      <c r="A4371" s="1">
        <v>41992</v>
      </c>
      <c r="B4371">
        <v>1</v>
      </c>
      <c r="C4371">
        <v>3</v>
      </c>
      <c r="D4371">
        <v>25</v>
      </c>
    </row>
    <row r="4372" spans="1:4" x14ac:dyDescent="0.25">
      <c r="A4372" s="1">
        <v>41993</v>
      </c>
      <c r="B4372">
        <v>1</v>
      </c>
      <c r="C4372">
        <v>3</v>
      </c>
      <c r="D4372">
        <v>27</v>
      </c>
    </row>
    <row r="4373" spans="1:4" x14ac:dyDescent="0.25">
      <c r="A4373" s="1">
        <v>41994</v>
      </c>
      <c r="B4373">
        <v>1</v>
      </c>
      <c r="C4373">
        <v>3</v>
      </c>
      <c r="D4373">
        <v>29</v>
      </c>
    </row>
    <row r="4374" spans="1:4" x14ac:dyDescent="0.25">
      <c r="A4374" s="1">
        <v>41995</v>
      </c>
      <c r="B4374">
        <v>1</v>
      </c>
      <c r="C4374">
        <v>3</v>
      </c>
      <c r="D4374">
        <v>22</v>
      </c>
    </row>
    <row r="4375" spans="1:4" x14ac:dyDescent="0.25">
      <c r="A4375" s="1">
        <v>41996</v>
      </c>
      <c r="B4375">
        <v>1</v>
      </c>
      <c r="C4375">
        <v>3</v>
      </c>
      <c r="D4375">
        <v>22</v>
      </c>
    </row>
    <row r="4376" spans="1:4" x14ac:dyDescent="0.25">
      <c r="A4376" s="1">
        <v>41997</v>
      </c>
      <c r="B4376">
        <v>1</v>
      </c>
      <c r="C4376">
        <v>3</v>
      </c>
      <c r="D4376">
        <v>24</v>
      </c>
    </row>
    <row r="4377" spans="1:4" x14ac:dyDescent="0.25">
      <c r="A4377" s="1">
        <v>41998</v>
      </c>
      <c r="B4377">
        <v>1</v>
      </c>
      <c r="C4377">
        <v>3</v>
      </c>
      <c r="D4377">
        <v>17</v>
      </c>
    </row>
    <row r="4378" spans="1:4" x14ac:dyDescent="0.25">
      <c r="A4378" s="1">
        <v>41999</v>
      </c>
      <c r="B4378">
        <v>1</v>
      </c>
      <c r="C4378">
        <v>3</v>
      </c>
      <c r="D4378">
        <v>25</v>
      </c>
    </row>
    <row r="4379" spans="1:4" x14ac:dyDescent="0.25">
      <c r="A4379" s="1">
        <v>42000</v>
      </c>
      <c r="B4379">
        <v>1</v>
      </c>
      <c r="C4379">
        <v>3</v>
      </c>
      <c r="D4379">
        <v>25</v>
      </c>
    </row>
    <row r="4380" spans="1:4" x14ac:dyDescent="0.25">
      <c r="A4380" s="1">
        <v>42001</v>
      </c>
      <c r="B4380">
        <v>1</v>
      </c>
      <c r="C4380">
        <v>3</v>
      </c>
      <c r="D4380">
        <v>27</v>
      </c>
    </row>
    <row r="4381" spans="1:4" x14ac:dyDescent="0.25">
      <c r="A4381" s="1">
        <v>42002</v>
      </c>
      <c r="B4381">
        <v>1</v>
      </c>
      <c r="C4381">
        <v>3</v>
      </c>
      <c r="D4381">
        <v>25</v>
      </c>
    </row>
    <row r="4382" spans="1:4" x14ac:dyDescent="0.25">
      <c r="A4382" s="1">
        <v>42003</v>
      </c>
      <c r="B4382">
        <v>1</v>
      </c>
      <c r="C4382">
        <v>3</v>
      </c>
      <c r="D4382">
        <v>22</v>
      </c>
    </row>
    <row r="4383" spans="1:4" x14ac:dyDescent="0.25">
      <c r="A4383" s="1">
        <v>42004</v>
      </c>
      <c r="B4383">
        <v>1</v>
      </c>
      <c r="C4383">
        <v>3</v>
      </c>
      <c r="D4383">
        <v>25</v>
      </c>
    </row>
    <row r="4384" spans="1:4" x14ac:dyDescent="0.25">
      <c r="A4384" s="1">
        <v>42005</v>
      </c>
      <c r="B4384">
        <v>1</v>
      </c>
      <c r="C4384">
        <v>3</v>
      </c>
      <c r="D4384">
        <v>18</v>
      </c>
    </row>
    <row r="4385" spans="1:4" x14ac:dyDescent="0.25">
      <c r="A4385" s="1">
        <v>42006</v>
      </c>
      <c r="B4385">
        <v>1</v>
      </c>
      <c r="C4385">
        <v>3</v>
      </c>
      <c r="D4385">
        <v>25</v>
      </c>
    </row>
    <row r="4386" spans="1:4" x14ac:dyDescent="0.25">
      <c r="A4386" s="1">
        <v>42007</v>
      </c>
      <c r="B4386">
        <v>1</v>
      </c>
      <c r="C4386">
        <v>3</v>
      </c>
      <c r="D4386">
        <v>28</v>
      </c>
    </row>
    <row r="4387" spans="1:4" x14ac:dyDescent="0.25">
      <c r="A4387" s="1">
        <v>42008</v>
      </c>
      <c r="B4387">
        <v>1</v>
      </c>
      <c r="C4387">
        <v>3</v>
      </c>
      <c r="D4387">
        <v>28</v>
      </c>
    </row>
    <row r="4388" spans="1:4" x14ac:dyDescent="0.25">
      <c r="A4388" s="1">
        <v>42009</v>
      </c>
      <c r="B4388">
        <v>1</v>
      </c>
      <c r="C4388">
        <v>3</v>
      </c>
      <c r="D4388">
        <v>20</v>
      </c>
    </row>
    <row r="4389" spans="1:4" x14ac:dyDescent="0.25">
      <c r="A4389" s="1">
        <v>42010</v>
      </c>
      <c r="B4389">
        <v>1</v>
      </c>
      <c r="C4389">
        <v>3</v>
      </c>
      <c r="D4389">
        <v>16</v>
      </c>
    </row>
    <row r="4390" spans="1:4" x14ac:dyDescent="0.25">
      <c r="A4390" s="1">
        <v>42011</v>
      </c>
      <c r="B4390">
        <v>1</v>
      </c>
      <c r="C4390">
        <v>3</v>
      </c>
      <c r="D4390">
        <v>19</v>
      </c>
    </row>
    <row r="4391" spans="1:4" x14ac:dyDescent="0.25">
      <c r="A4391" s="1">
        <v>42012</v>
      </c>
      <c r="B4391">
        <v>1</v>
      </c>
      <c r="C4391">
        <v>3</v>
      </c>
      <c r="D4391">
        <v>20</v>
      </c>
    </row>
    <row r="4392" spans="1:4" x14ac:dyDescent="0.25">
      <c r="A4392" s="1">
        <v>42013</v>
      </c>
      <c r="B4392">
        <v>1</v>
      </c>
      <c r="C4392">
        <v>3</v>
      </c>
      <c r="D4392">
        <v>29</v>
      </c>
    </row>
    <row r="4393" spans="1:4" x14ac:dyDescent="0.25">
      <c r="A4393" s="1">
        <v>42014</v>
      </c>
      <c r="B4393">
        <v>1</v>
      </c>
      <c r="C4393">
        <v>3</v>
      </c>
      <c r="D4393">
        <v>19</v>
      </c>
    </row>
    <row r="4394" spans="1:4" x14ac:dyDescent="0.25">
      <c r="A4394" s="1">
        <v>42015</v>
      </c>
      <c r="B4394">
        <v>1</v>
      </c>
      <c r="C4394">
        <v>3</v>
      </c>
      <c r="D4394">
        <v>33</v>
      </c>
    </row>
    <row r="4395" spans="1:4" x14ac:dyDescent="0.25">
      <c r="A4395" s="1">
        <v>42016</v>
      </c>
      <c r="B4395">
        <v>1</v>
      </c>
      <c r="C4395">
        <v>3</v>
      </c>
      <c r="D4395">
        <v>24</v>
      </c>
    </row>
    <row r="4396" spans="1:4" x14ac:dyDescent="0.25">
      <c r="A4396" s="1">
        <v>42017</v>
      </c>
      <c r="B4396">
        <v>1</v>
      </c>
      <c r="C4396">
        <v>3</v>
      </c>
      <c r="D4396">
        <v>24</v>
      </c>
    </row>
    <row r="4397" spans="1:4" x14ac:dyDescent="0.25">
      <c r="A4397" s="1">
        <v>42018</v>
      </c>
      <c r="B4397">
        <v>1</v>
      </c>
      <c r="C4397">
        <v>3</v>
      </c>
      <c r="D4397">
        <v>26</v>
      </c>
    </row>
    <row r="4398" spans="1:4" x14ac:dyDescent="0.25">
      <c r="A4398" s="1">
        <v>42019</v>
      </c>
      <c r="B4398">
        <v>1</v>
      </c>
      <c r="C4398">
        <v>3</v>
      </c>
      <c r="D4398">
        <v>27</v>
      </c>
    </row>
    <row r="4399" spans="1:4" x14ac:dyDescent="0.25">
      <c r="A4399" s="1">
        <v>42020</v>
      </c>
      <c r="B4399">
        <v>1</v>
      </c>
      <c r="C4399">
        <v>3</v>
      </c>
      <c r="D4399">
        <v>28</v>
      </c>
    </row>
    <row r="4400" spans="1:4" x14ac:dyDescent="0.25">
      <c r="A4400" s="1">
        <v>42021</v>
      </c>
      <c r="B4400">
        <v>1</v>
      </c>
      <c r="C4400">
        <v>3</v>
      </c>
      <c r="D4400">
        <v>24</v>
      </c>
    </row>
    <row r="4401" spans="1:4" x14ac:dyDescent="0.25">
      <c r="A4401" s="1">
        <v>42022</v>
      </c>
      <c r="B4401">
        <v>1</v>
      </c>
      <c r="C4401">
        <v>3</v>
      </c>
      <c r="D4401">
        <v>35</v>
      </c>
    </row>
    <row r="4402" spans="1:4" x14ac:dyDescent="0.25">
      <c r="A4402" s="1">
        <v>42023</v>
      </c>
      <c r="B4402">
        <v>1</v>
      </c>
      <c r="C4402">
        <v>3</v>
      </c>
      <c r="D4402">
        <v>19</v>
      </c>
    </row>
    <row r="4403" spans="1:4" x14ac:dyDescent="0.25">
      <c r="A4403" s="1">
        <v>42024</v>
      </c>
      <c r="B4403">
        <v>1</v>
      </c>
      <c r="C4403">
        <v>3</v>
      </c>
      <c r="D4403">
        <v>17</v>
      </c>
    </row>
    <row r="4404" spans="1:4" x14ac:dyDescent="0.25">
      <c r="A4404" s="1">
        <v>42025</v>
      </c>
      <c r="B4404">
        <v>1</v>
      </c>
      <c r="C4404">
        <v>3</v>
      </c>
      <c r="D4404">
        <v>15</v>
      </c>
    </row>
    <row r="4405" spans="1:4" x14ac:dyDescent="0.25">
      <c r="A4405" s="1">
        <v>42026</v>
      </c>
      <c r="B4405">
        <v>1</v>
      </c>
      <c r="C4405">
        <v>3</v>
      </c>
      <c r="D4405">
        <v>22</v>
      </c>
    </row>
    <row r="4406" spans="1:4" x14ac:dyDescent="0.25">
      <c r="A4406" s="1">
        <v>42027</v>
      </c>
      <c r="B4406">
        <v>1</v>
      </c>
      <c r="C4406">
        <v>3</v>
      </c>
      <c r="D4406">
        <v>26</v>
      </c>
    </row>
    <row r="4407" spans="1:4" x14ac:dyDescent="0.25">
      <c r="A4407" s="1">
        <v>42028</v>
      </c>
      <c r="B4407">
        <v>1</v>
      </c>
      <c r="C4407">
        <v>3</v>
      </c>
      <c r="D4407">
        <v>24</v>
      </c>
    </row>
    <row r="4408" spans="1:4" x14ac:dyDescent="0.25">
      <c r="A4408" s="1">
        <v>42029</v>
      </c>
      <c r="B4408">
        <v>1</v>
      </c>
      <c r="C4408">
        <v>3</v>
      </c>
      <c r="D4408">
        <v>30</v>
      </c>
    </row>
    <row r="4409" spans="1:4" x14ac:dyDescent="0.25">
      <c r="A4409" s="1">
        <v>42030</v>
      </c>
      <c r="B4409">
        <v>1</v>
      </c>
      <c r="C4409">
        <v>3</v>
      </c>
      <c r="D4409">
        <v>20</v>
      </c>
    </row>
    <row r="4410" spans="1:4" x14ac:dyDescent="0.25">
      <c r="A4410" s="1">
        <v>42031</v>
      </c>
      <c r="B4410">
        <v>1</v>
      </c>
      <c r="C4410">
        <v>3</v>
      </c>
      <c r="D4410">
        <v>17</v>
      </c>
    </row>
    <row r="4411" spans="1:4" x14ac:dyDescent="0.25">
      <c r="A4411" s="1">
        <v>42032</v>
      </c>
      <c r="B4411">
        <v>1</v>
      </c>
      <c r="C4411">
        <v>3</v>
      </c>
      <c r="D4411">
        <v>25</v>
      </c>
    </row>
    <row r="4412" spans="1:4" x14ac:dyDescent="0.25">
      <c r="A4412" s="1">
        <v>42033</v>
      </c>
      <c r="B4412">
        <v>1</v>
      </c>
      <c r="C4412">
        <v>3</v>
      </c>
      <c r="D4412">
        <v>21</v>
      </c>
    </row>
    <row r="4413" spans="1:4" x14ac:dyDescent="0.25">
      <c r="A4413" s="1">
        <v>42034</v>
      </c>
      <c r="B4413">
        <v>1</v>
      </c>
      <c r="C4413">
        <v>3</v>
      </c>
      <c r="D4413">
        <v>15</v>
      </c>
    </row>
    <row r="4414" spans="1:4" x14ac:dyDescent="0.25">
      <c r="A4414" s="1">
        <v>42035</v>
      </c>
      <c r="B4414">
        <v>1</v>
      </c>
      <c r="C4414">
        <v>3</v>
      </c>
      <c r="D4414">
        <v>25</v>
      </c>
    </row>
    <row r="4415" spans="1:4" x14ac:dyDescent="0.25">
      <c r="A4415" s="1">
        <v>42036</v>
      </c>
      <c r="B4415">
        <v>1</v>
      </c>
      <c r="C4415">
        <v>3</v>
      </c>
      <c r="D4415">
        <v>32</v>
      </c>
    </row>
    <row r="4416" spans="1:4" x14ac:dyDescent="0.25">
      <c r="A4416" s="1">
        <v>42037</v>
      </c>
      <c r="B4416">
        <v>1</v>
      </c>
      <c r="C4416">
        <v>3</v>
      </c>
      <c r="D4416">
        <v>13</v>
      </c>
    </row>
    <row r="4417" spans="1:4" x14ac:dyDescent="0.25">
      <c r="A4417" s="1">
        <v>42038</v>
      </c>
      <c r="B4417">
        <v>1</v>
      </c>
      <c r="C4417">
        <v>3</v>
      </c>
      <c r="D4417">
        <v>15</v>
      </c>
    </row>
    <row r="4418" spans="1:4" x14ac:dyDescent="0.25">
      <c r="A4418" s="1">
        <v>42039</v>
      </c>
      <c r="B4418">
        <v>1</v>
      </c>
      <c r="C4418">
        <v>3</v>
      </c>
      <c r="D4418">
        <v>24</v>
      </c>
    </row>
    <row r="4419" spans="1:4" x14ac:dyDescent="0.25">
      <c r="A4419" s="1">
        <v>42040</v>
      </c>
      <c r="B4419">
        <v>1</v>
      </c>
      <c r="C4419">
        <v>3</v>
      </c>
      <c r="D4419">
        <v>20</v>
      </c>
    </row>
    <row r="4420" spans="1:4" x14ac:dyDescent="0.25">
      <c r="A4420" s="1">
        <v>42041</v>
      </c>
      <c r="B4420">
        <v>1</v>
      </c>
      <c r="C4420">
        <v>3</v>
      </c>
      <c r="D4420">
        <v>20</v>
      </c>
    </row>
    <row r="4421" spans="1:4" x14ac:dyDescent="0.25">
      <c r="A4421" s="1">
        <v>42042</v>
      </c>
      <c r="B4421">
        <v>1</v>
      </c>
      <c r="C4421">
        <v>3</v>
      </c>
      <c r="D4421">
        <v>38</v>
      </c>
    </row>
    <row r="4422" spans="1:4" x14ac:dyDescent="0.25">
      <c r="A4422" s="1">
        <v>42043</v>
      </c>
      <c r="B4422">
        <v>1</v>
      </c>
      <c r="C4422">
        <v>3</v>
      </c>
      <c r="D4422">
        <v>38</v>
      </c>
    </row>
    <row r="4423" spans="1:4" x14ac:dyDescent="0.25">
      <c r="A4423" s="1">
        <v>42044</v>
      </c>
      <c r="B4423">
        <v>1</v>
      </c>
      <c r="C4423">
        <v>3</v>
      </c>
      <c r="D4423">
        <v>19</v>
      </c>
    </row>
    <row r="4424" spans="1:4" x14ac:dyDescent="0.25">
      <c r="A4424" s="1">
        <v>42045</v>
      </c>
      <c r="B4424">
        <v>1</v>
      </c>
      <c r="C4424">
        <v>3</v>
      </c>
      <c r="D4424">
        <v>25</v>
      </c>
    </row>
    <row r="4425" spans="1:4" x14ac:dyDescent="0.25">
      <c r="A4425" s="1">
        <v>42046</v>
      </c>
      <c r="B4425">
        <v>1</v>
      </c>
      <c r="C4425">
        <v>3</v>
      </c>
      <c r="D4425">
        <v>22</v>
      </c>
    </row>
    <row r="4426" spans="1:4" x14ac:dyDescent="0.25">
      <c r="A4426" s="1">
        <v>42047</v>
      </c>
      <c r="B4426">
        <v>1</v>
      </c>
      <c r="C4426">
        <v>3</v>
      </c>
      <c r="D4426">
        <v>19</v>
      </c>
    </row>
    <row r="4427" spans="1:4" x14ac:dyDescent="0.25">
      <c r="A4427" s="1">
        <v>42048</v>
      </c>
      <c r="B4427">
        <v>1</v>
      </c>
      <c r="C4427">
        <v>3</v>
      </c>
      <c r="D4427">
        <v>15</v>
      </c>
    </row>
    <row r="4428" spans="1:4" x14ac:dyDescent="0.25">
      <c r="A4428" s="1">
        <v>42049</v>
      </c>
      <c r="B4428">
        <v>1</v>
      </c>
      <c r="C4428">
        <v>3</v>
      </c>
      <c r="D4428">
        <v>28</v>
      </c>
    </row>
    <row r="4429" spans="1:4" x14ac:dyDescent="0.25">
      <c r="A4429" s="1">
        <v>42050</v>
      </c>
      <c r="B4429">
        <v>1</v>
      </c>
      <c r="C4429">
        <v>3</v>
      </c>
      <c r="D4429">
        <v>35</v>
      </c>
    </row>
    <row r="4430" spans="1:4" x14ac:dyDescent="0.25">
      <c r="A4430" s="1">
        <v>42051</v>
      </c>
      <c r="B4430">
        <v>1</v>
      </c>
      <c r="C4430">
        <v>3</v>
      </c>
      <c r="D4430">
        <v>22</v>
      </c>
    </row>
    <row r="4431" spans="1:4" x14ac:dyDescent="0.25">
      <c r="A4431" s="1">
        <v>42052</v>
      </c>
      <c r="B4431">
        <v>1</v>
      </c>
      <c r="C4431">
        <v>3</v>
      </c>
      <c r="D4431">
        <v>23</v>
      </c>
    </row>
    <row r="4432" spans="1:4" x14ac:dyDescent="0.25">
      <c r="A4432" s="1">
        <v>42053</v>
      </c>
      <c r="B4432">
        <v>1</v>
      </c>
      <c r="C4432">
        <v>3</v>
      </c>
      <c r="D4432">
        <v>22</v>
      </c>
    </row>
    <row r="4433" spans="1:4" x14ac:dyDescent="0.25">
      <c r="A4433" s="1">
        <v>42054</v>
      </c>
      <c r="B4433">
        <v>1</v>
      </c>
      <c r="C4433">
        <v>3</v>
      </c>
      <c r="D4433">
        <v>29</v>
      </c>
    </row>
    <row r="4434" spans="1:4" x14ac:dyDescent="0.25">
      <c r="A4434" s="1">
        <v>42055</v>
      </c>
      <c r="B4434">
        <v>1</v>
      </c>
      <c r="C4434">
        <v>3</v>
      </c>
      <c r="D4434">
        <v>21</v>
      </c>
    </row>
    <row r="4435" spans="1:4" x14ac:dyDescent="0.25">
      <c r="A4435" s="1">
        <v>42056</v>
      </c>
      <c r="B4435">
        <v>1</v>
      </c>
      <c r="C4435">
        <v>3</v>
      </c>
      <c r="D4435">
        <v>27</v>
      </c>
    </row>
    <row r="4436" spans="1:4" x14ac:dyDescent="0.25">
      <c r="A4436" s="1">
        <v>42057</v>
      </c>
      <c r="B4436">
        <v>1</v>
      </c>
      <c r="C4436">
        <v>3</v>
      </c>
      <c r="D4436">
        <v>26</v>
      </c>
    </row>
    <row r="4437" spans="1:4" x14ac:dyDescent="0.25">
      <c r="A4437" s="1">
        <v>42058</v>
      </c>
      <c r="B4437">
        <v>1</v>
      </c>
      <c r="C4437">
        <v>3</v>
      </c>
      <c r="D4437">
        <v>21</v>
      </c>
    </row>
    <row r="4438" spans="1:4" x14ac:dyDescent="0.25">
      <c r="A4438" s="1">
        <v>42059</v>
      </c>
      <c r="B4438">
        <v>1</v>
      </c>
      <c r="C4438">
        <v>3</v>
      </c>
      <c r="D4438">
        <v>19</v>
      </c>
    </row>
    <row r="4439" spans="1:4" x14ac:dyDescent="0.25">
      <c r="A4439" s="1">
        <v>42060</v>
      </c>
      <c r="B4439">
        <v>1</v>
      </c>
      <c r="C4439">
        <v>3</v>
      </c>
      <c r="D4439">
        <v>23</v>
      </c>
    </row>
    <row r="4440" spans="1:4" x14ac:dyDescent="0.25">
      <c r="A4440" s="1">
        <v>42061</v>
      </c>
      <c r="B4440">
        <v>1</v>
      </c>
      <c r="C4440">
        <v>3</v>
      </c>
      <c r="D4440">
        <v>26</v>
      </c>
    </row>
    <row r="4441" spans="1:4" x14ac:dyDescent="0.25">
      <c r="A4441" s="1">
        <v>42062</v>
      </c>
      <c r="B4441">
        <v>1</v>
      </c>
      <c r="C4441">
        <v>3</v>
      </c>
      <c r="D4441">
        <v>30</v>
      </c>
    </row>
    <row r="4442" spans="1:4" x14ac:dyDescent="0.25">
      <c r="A4442" s="1">
        <v>42063</v>
      </c>
      <c r="B4442">
        <v>1</v>
      </c>
      <c r="C4442">
        <v>3</v>
      </c>
      <c r="D4442">
        <v>18</v>
      </c>
    </row>
    <row r="4443" spans="1:4" x14ac:dyDescent="0.25">
      <c r="A4443" s="1">
        <v>42064</v>
      </c>
      <c r="B4443">
        <v>1</v>
      </c>
      <c r="C4443">
        <v>3</v>
      </c>
      <c r="D4443">
        <v>26</v>
      </c>
    </row>
    <row r="4444" spans="1:4" x14ac:dyDescent="0.25">
      <c r="A4444" s="1">
        <v>42065</v>
      </c>
      <c r="B4444">
        <v>1</v>
      </c>
      <c r="C4444">
        <v>3</v>
      </c>
      <c r="D4444">
        <v>26</v>
      </c>
    </row>
    <row r="4445" spans="1:4" x14ac:dyDescent="0.25">
      <c r="A4445" s="1">
        <v>42066</v>
      </c>
      <c r="B4445">
        <v>1</v>
      </c>
      <c r="C4445">
        <v>3</v>
      </c>
      <c r="D4445">
        <v>19</v>
      </c>
    </row>
    <row r="4446" spans="1:4" x14ac:dyDescent="0.25">
      <c r="A4446" s="1">
        <v>42067</v>
      </c>
      <c r="B4446">
        <v>1</v>
      </c>
      <c r="C4446">
        <v>3</v>
      </c>
      <c r="D4446">
        <v>21</v>
      </c>
    </row>
    <row r="4447" spans="1:4" x14ac:dyDescent="0.25">
      <c r="A4447" s="1">
        <v>42068</v>
      </c>
      <c r="B4447">
        <v>1</v>
      </c>
      <c r="C4447">
        <v>3</v>
      </c>
      <c r="D4447">
        <v>34</v>
      </c>
    </row>
    <row r="4448" spans="1:4" x14ac:dyDescent="0.25">
      <c r="A4448" s="1">
        <v>42069</v>
      </c>
      <c r="B4448">
        <v>1</v>
      </c>
      <c r="C4448">
        <v>3</v>
      </c>
      <c r="D4448">
        <v>26</v>
      </c>
    </row>
    <row r="4449" spans="1:4" x14ac:dyDescent="0.25">
      <c r="A4449" s="1">
        <v>42070</v>
      </c>
      <c r="B4449">
        <v>1</v>
      </c>
      <c r="C4449">
        <v>3</v>
      </c>
      <c r="D4449">
        <v>30</v>
      </c>
    </row>
    <row r="4450" spans="1:4" x14ac:dyDescent="0.25">
      <c r="A4450" s="1">
        <v>42071</v>
      </c>
      <c r="B4450">
        <v>1</v>
      </c>
      <c r="C4450">
        <v>3</v>
      </c>
      <c r="D4450">
        <v>36</v>
      </c>
    </row>
    <row r="4451" spans="1:4" x14ac:dyDescent="0.25">
      <c r="A4451" s="1">
        <v>42072</v>
      </c>
      <c r="B4451">
        <v>1</v>
      </c>
      <c r="C4451">
        <v>3</v>
      </c>
      <c r="D4451">
        <v>29</v>
      </c>
    </row>
    <row r="4452" spans="1:4" x14ac:dyDescent="0.25">
      <c r="A4452" s="1">
        <v>42073</v>
      </c>
      <c r="B4452">
        <v>1</v>
      </c>
      <c r="C4452">
        <v>3</v>
      </c>
      <c r="D4452">
        <v>30</v>
      </c>
    </row>
    <row r="4453" spans="1:4" x14ac:dyDescent="0.25">
      <c r="A4453" s="1">
        <v>42074</v>
      </c>
      <c r="B4453">
        <v>1</v>
      </c>
      <c r="C4453">
        <v>3</v>
      </c>
      <c r="D4453">
        <v>24</v>
      </c>
    </row>
    <row r="4454" spans="1:4" x14ac:dyDescent="0.25">
      <c r="A4454" s="1">
        <v>42075</v>
      </c>
      <c r="B4454">
        <v>1</v>
      </c>
      <c r="C4454">
        <v>3</v>
      </c>
      <c r="D4454">
        <v>25</v>
      </c>
    </row>
    <row r="4455" spans="1:4" x14ac:dyDescent="0.25">
      <c r="A4455" s="1">
        <v>42076</v>
      </c>
      <c r="B4455">
        <v>1</v>
      </c>
      <c r="C4455">
        <v>3</v>
      </c>
      <c r="D4455">
        <v>33</v>
      </c>
    </row>
    <row r="4456" spans="1:4" x14ac:dyDescent="0.25">
      <c r="A4456" s="1">
        <v>42077</v>
      </c>
      <c r="B4456">
        <v>1</v>
      </c>
      <c r="C4456">
        <v>3</v>
      </c>
      <c r="D4456">
        <v>35</v>
      </c>
    </row>
    <row r="4457" spans="1:4" x14ac:dyDescent="0.25">
      <c r="A4457" s="1">
        <v>42078</v>
      </c>
      <c r="B4457">
        <v>1</v>
      </c>
      <c r="C4457">
        <v>3</v>
      </c>
      <c r="D4457">
        <v>46</v>
      </c>
    </row>
    <row r="4458" spans="1:4" x14ac:dyDescent="0.25">
      <c r="A4458" s="1">
        <v>42079</v>
      </c>
      <c r="B4458">
        <v>1</v>
      </c>
      <c r="C4458">
        <v>3</v>
      </c>
      <c r="D4458">
        <v>20</v>
      </c>
    </row>
    <row r="4459" spans="1:4" x14ac:dyDescent="0.25">
      <c r="A4459" s="1">
        <v>42080</v>
      </c>
      <c r="B4459">
        <v>1</v>
      </c>
      <c r="C4459">
        <v>3</v>
      </c>
      <c r="D4459">
        <v>23</v>
      </c>
    </row>
    <row r="4460" spans="1:4" x14ac:dyDescent="0.25">
      <c r="A4460" s="1">
        <v>42081</v>
      </c>
      <c r="B4460">
        <v>1</v>
      </c>
      <c r="C4460">
        <v>3</v>
      </c>
      <c r="D4460">
        <v>29</v>
      </c>
    </row>
    <row r="4461" spans="1:4" x14ac:dyDescent="0.25">
      <c r="A4461" s="1">
        <v>42082</v>
      </c>
      <c r="B4461">
        <v>1</v>
      </c>
      <c r="C4461">
        <v>3</v>
      </c>
      <c r="D4461">
        <v>33</v>
      </c>
    </row>
    <row r="4462" spans="1:4" x14ac:dyDescent="0.25">
      <c r="A4462" s="1">
        <v>42083</v>
      </c>
      <c r="B4462">
        <v>1</v>
      </c>
      <c r="C4462">
        <v>3</v>
      </c>
      <c r="D4462">
        <v>44</v>
      </c>
    </row>
    <row r="4463" spans="1:4" x14ac:dyDescent="0.25">
      <c r="A4463" s="1">
        <v>42084</v>
      </c>
      <c r="B4463">
        <v>1</v>
      </c>
      <c r="C4463">
        <v>3</v>
      </c>
      <c r="D4463">
        <v>35</v>
      </c>
    </row>
    <row r="4464" spans="1:4" x14ac:dyDescent="0.25">
      <c r="A4464" s="1">
        <v>42085</v>
      </c>
      <c r="B4464">
        <v>1</v>
      </c>
      <c r="C4464">
        <v>3</v>
      </c>
      <c r="D4464">
        <v>32</v>
      </c>
    </row>
    <row r="4465" spans="1:4" x14ac:dyDescent="0.25">
      <c r="A4465" s="1">
        <v>42086</v>
      </c>
      <c r="B4465">
        <v>1</v>
      </c>
      <c r="C4465">
        <v>3</v>
      </c>
      <c r="D4465">
        <v>28</v>
      </c>
    </row>
    <row r="4466" spans="1:4" x14ac:dyDescent="0.25">
      <c r="A4466" s="1">
        <v>42087</v>
      </c>
      <c r="B4466">
        <v>1</v>
      </c>
      <c r="C4466">
        <v>3</v>
      </c>
      <c r="D4466">
        <v>22</v>
      </c>
    </row>
    <row r="4467" spans="1:4" x14ac:dyDescent="0.25">
      <c r="A4467" s="1">
        <v>42088</v>
      </c>
      <c r="B4467">
        <v>1</v>
      </c>
      <c r="C4467">
        <v>3</v>
      </c>
      <c r="D4467">
        <v>22</v>
      </c>
    </row>
    <row r="4468" spans="1:4" x14ac:dyDescent="0.25">
      <c r="A4468" s="1">
        <v>42089</v>
      </c>
      <c r="B4468">
        <v>1</v>
      </c>
      <c r="C4468">
        <v>3</v>
      </c>
      <c r="D4468">
        <v>30</v>
      </c>
    </row>
    <row r="4469" spans="1:4" x14ac:dyDescent="0.25">
      <c r="A4469" s="1">
        <v>42090</v>
      </c>
      <c r="B4469">
        <v>1</v>
      </c>
      <c r="C4469">
        <v>3</v>
      </c>
      <c r="D4469">
        <v>30</v>
      </c>
    </row>
    <row r="4470" spans="1:4" x14ac:dyDescent="0.25">
      <c r="A4470" s="1">
        <v>42091</v>
      </c>
      <c r="B4470">
        <v>1</v>
      </c>
      <c r="C4470">
        <v>3</v>
      </c>
      <c r="D4470">
        <v>35</v>
      </c>
    </row>
    <row r="4471" spans="1:4" x14ac:dyDescent="0.25">
      <c r="A4471" s="1">
        <v>42092</v>
      </c>
      <c r="B4471">
        <v>1</v>
      </c>
      <c r="C4471">
        <v>3</v>
      </c>
      <c r="D4471">
        <v>31</v>
      </c>
    </row>
    <row r="4472" spans="1:4" x14ac:dyDescent="0.25">
      <c r="A4472" s="1">
        <v>42093</v>
      </c>
      <c r="B4472">
        <v>1</v>
      </c>
      <c r="C4472">
        <v>3</v>
      </c>
      <c r="D4472">
        <v>19</v>
      </c>
    </row>
    <row r="4473" spans="1:4" x14ac:dyDescent="0.25">
      <c r="A4473" s="1">
        <v>42094</v>
      </c>
      <c r="B4473">
        <v>1</v>
      </c>
      <c r="C4473">
        <v>3</v>
      </c>
      <c r="D4473">
        <v>35</v>
      </c>
    </row>
    <row r="4474" spans="1:4" x14ac:dyDescent="0.25">
      <c r="A4474" s="1">
        <v>42095</v>
      </c>
      <c r="B4474">
        <v>1</v>
      </c>
      <c r="C4474">
        <v>3</v>
      </c>
      <c r="D4474">
        <v>38</v>
      </c>
    </row>
    <row r="4475" spans="1:4" x14ac:dyDescent="0.25">
      <c r="A4475" s="1">
        <v>42096</v>
      </c>
      <c r="B4475">
        <v>1</v>
      </c>
      <c r="C4475">
        <v>3</v>
      </c>
      <c r="D4475">
        <v>34</v>
      </c>
    </row>
    <row r="4476" spans="1:4" x14ac:dyDescent="0.25">
      <c r="A4476" s="1">
        <v>42097</v>
      </c>
      <c r="B4476">
        <v>1</v>
      </c>
      <c r="C4476">
        <v>3</v>
      </c>
      <c r="D4476">
        <v>37</v>
      </c>
    </row>
    <row r="4477" spans="1:4" x14ac:dyDescent="0.25">
      <c r="A4477" s="1">
        <v>42098</v>
      </c>
      <c r="B4477">
        <v>1</v>
      </c>
      <c r="C4477">
        <v>3</v>
      </c>
      <c r="D4477">
        <v>38</v>
      </c>
    </row>
    <row r="4478" spans="1:4" x14ac:dyDescent="0.25">
      <c r="A4478" s="1">
        <v>42099</v>
      </c>
      <c r="B4478">
        <v>1</v>
      </c>
      <c r="C4478">
        <v>3</v>
      </c>
      <c r="D4478">
        <v>35</v>
      </c>
    </row>
    <row r="4479" spans="1:4" x14ac:dyDescent="0.25">
      <c r="A4479" s="1">
        <v>42100</v>
      </c>
      <c r="B4479">
        <v>1</v>
      </c>
      <c r="C4479">
        <v>3</v>
      </c>
      <c r="D4479">
        <v>36</v>
      </c>
    </row>
    <row r="4480" spans="1:4" x14ac:dyDescent="0.25">
      <c r="A4480" s="1">
        <v>42101</v>
      </c>
      <c r="B4480">
        <v>1</v>
      </c>
      <c r="C4480">
        <v>3</v>
      </c>
      <c r="D4480">
        <v>45</v>
      </c>
    </row>
    <row r="4481" spans="1:4" x14ac:dyDescent="0.25">
      <c r="A4481" s="1">
        <v>42102</v>
      </c>
      <c r="B4481">
        <v>1</v>
      </c>
      <c r="C4481">
        <v>3</v>
      </c>
      <c r="D4481">
        <v>27</v>
      </c>
    </row>
    <row r="4482" spans="1:4" x14ac:dyDescent="0.25">
      <c r="A4482" s="1">
        <v>42103</v>
      </c>
      <c r="B4482">
        <v>1</v>
      </c>
      <c r="C4482">
        <v>3</v>
      </c>
      <c r="D4482">
        <v>37</v>
      </c>
    </row>
    <row r="4483" spans="1:4" x14ac:dyDescent="0.25">
      <c r="A4483" s="1">
        <v>42104</v>
      </c>
      <c r="B4483">
        <v>1</v>
      </c>
      <c r="C4483">
        <v>3</v>
      </c>
      <c r="D4483">
        <v>39</v>
      </c>
    </row>
    <row r="4484" spans="1:4" x14ac:dyDescent="0.25">
      <c r="A4484" s="1">
        <v>42105</v>
      </c>
      <c r="B4484">
        <v>1</v>
      </c>
      <c r="C4484">
        <v>3</v>
      </c>
      <c r="D4484">
        <v>39</v>
      </c>
    </row>
    <row r="4485" spans="1:4" x14ac:dyDescent="0.25">
      <c r="A4485" s="1">
        <v>42106</v>
      </c>
      <c r="B4485">
        <v>1</v>
      </c>
      <c r="C4485">
        <v>3</v>
      </c>
      <c r="D4485">
        <v>41</v>
      </c>
    </row>
    <row r="4486" spans="1:4" x14ac:dyDescent="0.25">
      <c r="A4486" s="1">
        <v>42107</v>
      </c>
      <c r="B4486">
        <v>1</v>
      </c>
      <c r="C4486">
        <v>3</v>
      </c>
      <c r="D4486">
        <v>24</v>
      </c>
    </row>
    <row r="4487" spans="1:4" x14ac:dyDescent="0.25">
      <c r="A4487" s="1">
        <v>42108</v>
      </c>
      <c r="B4487">
        <v>1</v>
      </c>
      <c r="C4487">
        <v>3</v>
      </c>
      <c r="D4487">
        <v>21</v>
      </c>
    </row>
    <row r="4488" spans="1:4" x14ac:dyDescent="0.25">
      <c r="A4488" s="1">
        <v>42109</v>
      </c>
      <c r="B4488">
        <v>1</v>
      </c>
      <c r="C4488">
        <v>3</v>
      </c>
      <c r="D4488">
        <v>29</v>
      </c>
    </row>
    <row r="4489" spans="1:4" x14ac:dyDescent="0.25">
      <c r="A4489" s="1">
        <v>42110</v>
      </c>
      <c r="B4489">
        <v>1</v>
      </c>
      <c r="C4489">
        <v>3</v>
      </c>
      <c r="D4489">
        <v>33</v>
      </c>
    </row>
    <row r="4490" spans="1:4" x14ac:dyDescent="0.25">
      <c r="A4490" s="1">
        <v>42111</v>
      </c>
      <c r="B4490">
        <v>1</v>
      </c>
      <c r="C4490">
        <v>3</v>
      </c>
      <c r="D4490">
        <v>37</v>
      </c>
    </row>
    <row r="4491" spans="1:4" x14ac:dyDescent="0.25">
      <c r="A4491" s="1">
        <v>42112</v>
      </c>
      <c r="B4491">
        <v>1</v>
      </c>
      <c r="C4491">
        <v>3</v>
      </c>
      <c r="D4491">
        <v>35</v>
      </c>
    </row>
    <row r="4492" spans="1:4" x14ac:dyDescent="0.25">
      <c r="A4492" s="1">
        <v>42113</v>
      </c>
      <c r="B4492">
        <v>1</v>
      </c>
      <c r="C4492">
        <v>3</v>
      </c>
      <c r="D4492">
        <v>54</v>
      </c>
    </row>
    <row r="4493" spans="1:4" x14ac:dyDescent="0.25">
      <c r="A4493" s="1">
        <v>42114</v>
      </c>
      <c r="B4493">
        <v>1</v>
      </c>
      <c r="C4493">
        <v>3</v>
      </c>
      <c r="D4493">
        <v>26</v>
      </c>
    </row>
    <row r="4494" spans="1:4" x14ac:dyDescent="0.25">
      <c r="A4494" s="1">
        <v>42115</v>
      </c>
      <c r="B4494">
        <v>1</v>
      </c>
      <c r="C4494">
        <v>3</v>
      </c>
      <c r="D4494">
        <v>33</v>
      </c>
    </row>
    <row r="4495" spans="1:4" x14ac:dyDescent="0.25">
      <c r="A4495" s="1">
        <v>42116</v>
      </c>
      <c r="B4495">
        <v>1</v>
      </c>
      <c r="C4495">
        <v>3</v>
      </c>
      <c r="D4495">
        <v>35</v>
      </c>
    </row>
    <row r="4496" spans="1:4" x14ac:dyDescent="0.25">
      <c r="A4496" s="1">
        <v>42117</v>
      </c>
      <c r="B4496">
        <v>1</v>
      </c>
      <c r="C4496">
        <v>3</v>
      </c>
      <c r="D4496">
        <v>29</v>
      </c>
    </row>
    <row r="4497" spans="1:4" x14ac:dyDescent="0.25">
      <c r="A4497" s="1">
        <v>42118</v>
      </c>
      <c r="B4497">
        <v>1</v>
      </c>
      <c r="C4497">
        <v>3</v>
      </c>
      <c r="D4497">
        <v>32</v>
      </c>
    </row>
    <row r="4498" spans="1:4" x14ac:dyDescent="0.25">
      <c r="A4498" s="1">
        <v>42119</v>
      </c>
      <c r="B4498">
        <v>1</v>
      </c>
      <c r="C4498">
        <v>3</v>
      </c>
      <c r="D4498">
        <v>57</v>
      </c>
    </row>
    <row r="4499" spans="1:4" x14ac:dyDescent="0.25">
      <c r="A4499" s="1">
        <v>42120</v>
      </c>
      <c r="B4499">
        <v>1</v>
      </c>
      <c r="C4499">
        <v>3</v>
      </c>
      <c r="D4499">
        <v>41</v>
      </c>
    </row>
    <row r="4500" spans="1:4" x14ac:dyDescent="0.25">
      <c r="A4500" s="1">
        <v>42121</v>
      </c>
      <c r="B4500">
        <v>1</v>
      </c>
      <c r="C4500">
        <v>3</v>
      </c>
      <c r="D4500">
        <v>22</v>
      </c>
    </row>
    <row r="4501" spans="1:4" x14ac:dyDescent="0.25">
      <c r="A4501" s="1">
        <v>42122</v>
      </c>
      <c r="B4501">
        <v>1</v>
      </c>
      <c r="C4501">
        <v>3</v>
      </c>
      <c r="D4501">
        <v>30</v>
      </c>
    </row>
    <row r="4502" spans="1:4" x14ac:dyDescent="0.25">
      <c r="A4502" s="1">
        <v>42123</v>
      </c>
      <c r="B4502">
        <v>1</v>
      </c>
      <c r="C4502">
        <v>3</v>
      </c>
      <c r="D4502">
        <v>32</v>
      </c>
    </row>
    <row r="4503" spans="1:4" x14ac:dyDescent="0.25">
      <c r="A4503" s="1">
        <v>42124</v>
      </c>
      <c r="B4503">
        <v>1</v>
      </c>
      <c r="C4503">
        <v>3</v>
      </c>
      <c r="D4503">
        <v>42</v>
      </c>
    </row>
    <row r="4504" spans="1:4" x14ac:dyDescent="0.25">
      <c r="A4504" s="1">
        <v>42125</v>
      </c>
      <c r="B4504">
        <v>1</v>
      </c>
      <c r="C4504">
        <v>3</v>
      </c>
      <c r="D4504">
        <v>49</v>
      </c>
    </row>
    <row r="4505" spans="1:4" x14ac:dyDescent="0.25">
      <c r="A4505" s="1">
        <v>42126</v>
      </c>
      <c r="B4505">
        <v>1</v>
      </c>
      <c r="C4505">
        <v>3</v>
      </c>
      <c r="D4505">
        <v>50</v>
      </c>
    </row>
    <row r="4506" spans="1:4" x14ac:dyDescent="0.25">
      <c r="A4506" s="1">
        <v>42127</v>
      </c>
      <c r="B4506">
        <v>1</v>
      </c>
      <c r="C4506">
        <v>3</v>
      </c>
      <c r="D4506">
        <v>60</v>
      </c>
    </row>
    <row r="4507" spans="1:4" x14ac:dyDescent="0.25">
      <c r="A4507" s="1">
        <v>42128</v>
      </c>
      <c r="B4507">
        <v>1</v>
      </c>
      <c r="C4507">
        <v>3</v>
      </c>
      <c r="D4507">
        <v>36</v>
      </c>
    </row>
    <row r="4508" spans="1:4" x14ac:dyDescent="0.25">
      <c r="A4508" s="1">
        <v>42129</v>
      </c>
      <c r="B4508">
        <v>1</v>
      </c>
      <c r="C4508">
        <v>3</v>
      </c>
      <c r="D4508">
        <v>29</v>
      </c>
    </row>
    <row r="4509" spans="1:4" x14ac:dyDescent="0.25">
      <c r="A4509" s="1">
        <v>42130</v>
      </c>
      <c r="B4509">
        <v>1</v>
      </c>
      <c r="C4509">
        <v>3</v>
      </c>
      <c r="D4509">
        <v>31</v>
      </c>
    </row>
    <row r="4510" spans="1:4" x14ac:dyDescent="0.25">
      <c r="A4510" s="1">
        <v>42131</v>
      </c>
      <c r="B4510">
        <v>1</v>
      </c>
      <c r="C4510">
        <v>3</v>
      </c>
      <c r="D4510">
        <v>39</v>
      </c>
    </row>
    <row r="4511" spans="1:4" x14ac:dyDescent="0.25">
      <c r="A4511" s="1">
        <v>42132</v>
      </c>
      <c r="B4511">
        <v>1</v>
      </c>
      <c r="C4511">
        <v>3</v>
      </c>
      <c r="D4511">
        <v>30</v>
      </c>
    </row>
    <row r="4512" spans="1:4" x14ac:dyDescent="0.25">
      <c r="A4512" s="1">
        <v>42133</v>
      </c>
      <c r="B4512">
        <v>1</v>
      </c>
      <c r="C4512">
        <v>3</v>
      </c>
      <c r="D4512">
        <v>42</v>
      </c>
    </row>
    <row r="4513" spans="1:4" x14ac:dyDescent="0.25">
      <c r="A4513" s="1">
        <v>42134</v>
      </c>
      <c r="B4513">
        <v>1</v>
      </c>
      <c r="C4513">
        <v>3</v>
      </c>
      <c r="D4513">
        <v>50</v>
      </c>
    </row>
    <row r="4514" spans="1:4" x14ac:dyDescent="0.25">
      <c r="A4514" s="1">
        <v>42135</v>
      </c>
      <c r="B4514">
        <v>1</v>
      </c>
      <c r="C4514">
        <v>3</v>
      </c>
      <c r="D4514">
        <v>31</v>
      </c>
    </row>
    <row r="4515" spans="1:4" x14ac:dyDescent="0.25">
      <c r="A4515" s="1">
        <v>42136</v>
      </c>
      <c r="B4515">
        <v>1</v>
      </c>
      <c r="C4515">
        <v>3</v>
      </c>
      <c r="D4515">
        <v>26</v>
      </c>
    </row>
    <row r="4516" spans="1:4" x14ac:dyDescent="0.25">
      <c r="A4516" s="1">
        <v>42137</v>
      </c>
      <c r="B4516">
        <v>1</v>
      </c>
      <c r="C4516">
        <v>3</v>
      </c>
      <c r="D4516">
        <v>41</v>
      </c>
    </row>
    <row r="4517" spans="1:4" x14ac:dyDescent="0.25">
      <c r="A4517" s="1">
        <v>42138</v>
      </c>
      <c r="B4517">
        <v>1</v>
      </c>
      <c r="C4517">
        <v>3</v>
      </c>
      <c r="D4517">
        <v>44</v>
      </c>
    </row>
    <row r="4518" spans="1:4" x14ac:dyDescent="0.25">
      <c r="A4518" s="1">
        <v>42139</v>
      </c>
      <c r="B4518">
        <v>1</v>
      </c>
      <c r="C4518">
        <v>3</v>
      </c>
      <c r="D4518">
        <v>52</v>
      </c>
    </row>
    <row r="4519" spans="1:4" x14ac:dyDescent="0.25">
      <c r="A4519" s="1">
        <v>42140</v>
      </c>
      <c r="B4519">
        <v>1</v>
      </c>
      <c r="C4519">
        <v>3</v>
      </c>
      <c r="D4519">
        <v>41</v>
      </c>
    </row>
    <row r="4520" spans="1:4" x14ac:dyDescent="0.25">
      <c r="A4520" s="1">
        <v>42141</v>
      </c>
      <c r="B4520">
        <v>1</v>
      </c>
      <c r="C4520">
        <v>3</v>
      </c>
      <c r="D4520">
        <v>37</v>
      </c>
    </row>
    <row r="4521" spans="1:4" x14ac:dyDescent="0.25">
      <c r="A4521" s="1">
        <v>42142</v>
      </c>
      <c r="B4521">
        <v>1</v>
      </c>
      <c r="C4521">
        <v>3</v>
      </c>
      <c r="D4521">
        <v>33</v>
      </c>
    </row>
    <row r="4522" spans="1:4" x14ac:dyDescent="0.25">
      <c r="A4522" s="1">
        <v>42143</v>
      </c>
      <c r="B4522">
        <v>1</v>
      </c>
      <c r="C4522">
        <v>3</v>
      </c>
      <c r="D4522">
        <v>33</v>
      </c>
    </row>
    <row r="4523" spans="1:4" x14ac:dyDescent="0.25">
      <c r="A4523" s="1">
        <v>42144</v>
      </c>
      <c r="B4523">
        <v>1</v>
      </c>
      <c r="C4523">
        <v>3</v>
      </c>
      <c r="D4523">
        <v>31</v>
      </c>
    </row>
    <row r="4524" spans="1:4" x14ac:dyDescent="0.25">
      <c r="A4524" s="1">
        <v>42145</v>
      </c>
      <c r="B4524">
        <v>1</v>
      </c>
      <c r="C4524">
        <v>3</v>
      </c>
      <c r="D4524">
        <v>39</v>
      </c>
    </row>
    <row r="4525" spans="1:4" x14ac:dyDescent="0.25">
      <c r="A4525" s="1">
        <v>42146</v>
      </c>
      <c r="B4525">
        <v>1</v>
      </c>
      <c r="C4525">
        <v>3</v>
      </c>
      <c r="D4525">
        <v>40</v>
      </c>
    </row>
    <row r="4526" spans="1:4" x14ac:dyDescent="0.25">
      <c r="A4526" s="1">
        <v>42147</v>
      </c>
      <c r="B4526">
        <v>1</v>
      </c>
      <c r="C4526">
        <v>3</v>
      </c>
      <c r="D4526">
        <v>47</v>
      </c>
    </row>
    <row r="4527" spans="1:4" x14ac:dyDescent="0.25">
      <c r="A4527" s="1">
        <v>42148</v>
      </c>
      <c r="B4527">
        <v>1</v>
      </c>
      <c r="C4527">
        <v>3</v>
      </c>
      <c r="D4527">
        <v>38</v>
      </c>
    </row>
    <row r="4528" spans="1:4" x14ac:dyDescent="0.25">
      <c r="A4528" s="1">
        <v>42149</v>
      </c>
      <c r="B4528">
        <v>1</v>
      </c>
      <c r="C4528">
        <v>3</v>
      </c>
      <c r="D4528">
        <v>34</v>
      </c>
    </row>
    <row r="4529" spans="1:4" x14ac:dyDescent="0.25">
      <c r="A4529" s="1">
        <v>42150</v>
      </c>
      <c r="B4529">
        <v>1</v>
      </c>
      <c r="C4529">
        <v>3</v>
      </c>
      <c r="D4529">
        <v>47</v>
      </c>
    </row>
    <row r="4530" spans="1:4" x14ac:dyDescent="0.25">
      <c r="A4530" s="1">
        <v>42151</v>
      </c>
      <c r="B4530">
        <v>1</v>
      </c>
      <c r="C4530">
        <v>3</v>
      </c>
      <c r="D4530">
        <v>37</v>
      </c>
    </row>
    <row r="4531" spans="1:4" x14ac:dyDescent="0.25">
      <c r="A4531" s="1">
        <v>42152</v>
      </c>
      <c r="B4531">
        <v>1</v>
      </c>
      <c r="C4531">
        <v>3</v>
      </c>
      <c r="D4531">
        <v>43</v>
      </c>
    </row>
    <row r="4532" spans="1:4" x14ac:dyDescent="0.25">
      <c r="A4532" s="1">
        <v>42153</v>
      </c>
      <c r="B4532">
        <v>1</v>
      </c>
      <c r="C4532">
        <v>3</v>
      </c>
      <c r="D4532">
        <v>40</v>
      </c>
    </row>
    <row r="4533" spans="1:4" x14ac:dyDescent="0.25">
      <c r="A4533" s="1">
        <v>42154</v>
      </c>
      <c r="B4533">
        <v>1</v>
      </c>
      <c r="C4533">
        <v>3</v>
      </c>
      <c r="D4533">
        <v>37</v>
      </c>
    </row>
    <row r="4534" spans="1:4" x14ac:dyDescent="0.25">
      <c r="A4534" s="1">
        <v>42155</v>
      </c>
      <c r="B4534">
        <v>1</v>
      </c>
      <c r="C4534">
        <v>3</v>
      </c>
      <c r="D4534">
        <v>49</v>
      </c>
    </row>
    <row r="4535" spans="1:4" x14ac:dyDescent="0.25">
      <c r="A4535" s="1">
        <v>42156</v>
      </c>
      <c r="B4535">
        <v>1</v>
      </c>
      <c r="C4535">
        <v>3</v>
      </c>
      <c r="D4535">
        <v>29</v>
      </c>
    </row>
    <row r="4536" spans="1:4" x14ac:dyDescent="0.25">
      <c r="A4536" s="1">
        <v>42157</v>
      </c>
      <c r="B4536">
        <v>1</v>
      </c>
      <c r="C4536">
        <v>3</v>
      </c>
      <c r="D4536">
        <v>30</v>
      </c>
    </row>
    <row r="4537" spans="1:4" x14ac:dyDescent="0.25">
      <c r="A4537" s="1">
        <v>42158</v>
      </c>
      <c r="B4537">
        <v>1</v>
      </c>
      <c r="C4537">
        <v>3</v>
      </c>
      <c r="D4537">
        <v>40</v>
      </c>
    </row>
    <row r="4538" spans="1:4" x14ac:dyDescent="0.25">
      <c r="A4538" s="1">
        <v>42159</v>
      </c>
      <c r="B4538">
        <v>1</v>
      </c>
      <c r="C4538">
        <v>3</v>
      </c>
      <c r="D4538">
        <v>43</v>
      </c>
    </row>
    <row r="4539" spans="1:4" x14ac:dyDescent="0.25">
      <c r="A4539" s="1">
        <v>42160</v>
      </c>
      <c r="B4539">
        <v>1</v>
      </c>
      <c r="C4539">
        <v>3</v>
      </c>
      <c r="D4539">
        <v>46</v>
      </c>
    </row>
    <row r="4540" spans="1:4" x14ac:dyDescent="0.25">
      <c r="A4540" s="1">
        <v>42161</v>
      </c>
      <c r="B4540">
        <v>1</v>
      </c>
      <c r="C4540">
        <v>3</v>
      </c>
      <c r="D4540">
        <v>49</v>
      </c>
    </row>
    <row r="4541" spans="1:4" x14ac:dyDescent="0.25">
      <c r="A4541" s="1">
        <v>42162</v>
      </c>
      <c r="B4541">
        <v>1</v>
      </c>
      <c r="C4541">
        <v>3</v>
      </c>
      <c r="D4541">
        <v>48</v>
      </c>
    </row>
    <row r="4542" spans="1:4" x14ac:dyDescent="0.25">
      <c r="A4542" s="1">
        <v>42163</v>
      </c>
      <c r="B4542">
        <v>1</v>
      </c>
      <c r="C4542">
        <v>3</v>
      </c>
      <c r="D4542">
        <v>36</v>
      </c>
    </row>
    <row r="4543" spans="1:4" x14ac:dyDescent="0.25">
      <c r="A4543" s="1">
        <v>42164</v>
      </c>
      <c r="B4543">
        <v>1</v>
      </c>
      <c r="C4543">
        <v>3</v>
      </c>
      <c r="D4543">
        <v>43</v>
      </c>
    </row>
    <row r="4544" spans="1:4" x14ac:dyDescent="0.25">
      <c r="A4544" s="1">
        <v>42165</v>
      </c>
      <c r="B4544">
        <v>1</v>
      </c>
      <c r="C4544">
        <v>3</v>
      </c>
      <c r="D4544">
        <v>51</v>
      </c>
    </row>
    <row r="4545" spans="1:4" x14ac:dyDescent="0.25">
      <c r="A4545" s="1">
        <v>42166</v>
      </c>
      <c r="B4545">
        <v>1</v>
      </c>
      <c r="C4545">
        <v>3</v>
      </c>
      <c r="D4545">
        <v>42</v>
      </c>
    </row>
    <row r="4546" spans="1:4" x14ac:dyDescent="0.25">
      <c r="A4546" s="1">
        <v>42167</v>
      </c>
      <c r="B4546">
        <v>1</v>
      </c>
      <c r="C4546">
        <v>3</v>
      </c>
      <c r="D4546">
        <v>45</v>
      </c>
    </row>
    <row r="4547" spans="1:4" x14ac:dyDescent="0.25">
      <c r="A4547" s="1">
        <v>42168</v>
      </c>
      <c r="B4547">
        <v>1</v>
      </c>
      <c r="C4547">
        <v>3</v>
      </c>
      <c r="D4547">
        <v>43</v>
      </c>
    </row>
    <row r="4548" spans="1:4" x14ac:dyDescent="0.25">
      <c r="A4548" s="1">
        <v>42169</v>
      </c>
      <c r="B4548">
        <v>1</v>
      </c>
      <c r="C4548">
        <v>3</v>
      </c>
      <c r="D4548">
        <v>41</v>
      </c>
    </row>
    <row r="4549" spans="1:4" x14ac:dyDescent="0.25">
      <c r="A4549" s="1">
        <v>42170</v>
      </c>
      <c r="B4549">
        <v>1</v>
      </c>
      <c r="C4549">
        <v>3</v>
      </c>
      <c r="D4549">
        <v>38</v>
      </c>
    </row>
    <row r="4550" spans="1:4" x14ac:dyDescent="0.25">
      <c r="A4550" s="1">
        <v>42171</v>
      </c>
      <c r="B4550">
        <v>1</v>
      </c>
      <c r="C4550">
        <v>3</v>
      </c>
      <c r="D4550">
        <v>39</v>
      </c>
    </row>
    <row r="4551" spans="1:4" x14ac:dyDescent="0.25">
      <c r="A4551" s="1">
        <v>42172</v>
      </c>
      <c r="B4551">
        <v>1</v>
      </c>
      <c r="C4551">
        <v>3</v>
      </c>
      <c r="D4551">
        <v>40</v>
      </c>
    </row>
    <row r="4552" spans="1:4" x14ac:dyDescent="0.25">
      <c r="A4552" s="1">
        <v>42173</v>
      </c>
      <c r="B4552">
        <v>1</v>
      </c>
      <c r="C4552">
        <v>3</v>
      </c>
      <c r="D4552">
        <v>42</v>
      </c>
    </row>
    <row r="4553" spans="1:4" x14ac:dyDescent="0.25">
      <c r="A4553" s="1">
        <v>42174</v>
      </c>
      <c r="B4553">
        <v>1</v>
      </c>
      <c r="C4553">
        <v>3</v>
      </c>
      <c r="D4553">
        <v>58</v>
      </c>
    </row>
    <row r="4554" spans="1:4" x14ac:dyDescent="0.25">
      <c r="A4554" s="1">
        <v>42175</v>
      </c>
      <c r="B4554">
        <v>1</v>
      </c>
      <c r="C4554">
        <v>3</v>
      </c>
      <c r="D4554">
        <v>34</v>
      </c>
    </row>
    <row r="4555" spans="1:4" x14ac:dyDescent="0.25">
      <c r="A4555" s="1">
        <v>42176</v>
      </c>
      <c r="B4555">
        <v>1</v>
      </c>
      <c r="C4555">
        <v>3</v>
      </c>
      <c r="D4555">
        <v>44</v>
      </c>
    </row>
    <row r="4556" spans="1:4" x14ac:dyDescent="0.25">
      <c r="A4556" s="1">
        <v>42177</v>
      </c>
      <c r="B4556">
        <v>1</v>
      </c>
      <c r="C4556">
        <v>3</v>
      </c>
      <c r="D4556">
        <v>27</v>
      </c>
    </row>
    <row r="4557" spans="1:4" x14ac:dyDescent="0.25">
      <c r="A4557" s="1">
        <v>42178</v>
      </c>
      <c r="B4557">
        <v>1</v>
      </c>
      <c r="C4557">
        <v>3</v>
      </c>
      <c r="D4557">
        <v>51</v>
      </c>
    </row>
    <row r="4558" spans="1:4" x14ac:dyDescent="0.25">
      <c r="A4558" s="1">
        <v>42179</v>
      </c>
      <c r="B4558">
        <v>1</v>
      </c>
      <c r="C4558">
        <v>3</v>
      </c>
      <c r="D4558">
        <v>48</v>
      </c>
    </row>
    <row r="4559" spans="1:4" x14ac:dyDescent="0.25">
      <c r="A4559" s="1">
        <v>42180</v>
      </c>
      <c r="B4559">
        <v>1</v>
      </c>
      <c r="C4559">
        <v>3</v>
      </c>
      <c r="D4559">
        <v>43</v>
      </c>
    </row>
    <row r="4560" spans="1:4" x14ac:dyDescent="0.25">
      <c r="A4560" s="1">
        <v>42181</v>
      </c>
      <c r="B4560">
        <v>1</v>
      </c>
      <c r="C4560">
        <v>3</v>
      </c>
      <c r="D4560">
        <v>50</v>
      </c>
    </row>
    <row r="4561" spans="1:4" x14ac:dyDescent="0.25">
      <c r="A4561" s="1">
        <v>42182</v>
      </c>
      <c r="B4561">
        <v>1</v>
      </c>
      <c r="C4561">
        <v>3</v>
      </c>
      <c r="D4561">
        <v>34</v>
      </c>
    </row>
    <row r="4562" spans="1:4" x14ac:dyDescent="0.25">
      <c r="A4562" s="1">
        <v>42183</v>
      </c>
      <c r="B4562">
        <v>1</v>
      </c>
      <c r="C4562">
        <v>3</v>
      </c>
      <c r="D4562">
        <v>35</v>
      </c>
    </row>
    <row r="4563" spans="1:4" x14ac:dyDescent="0.25">
      <c r="A4563" s="1">
        <v>42184</v>
      </c>
      <c r="B4563">
        <v>1</v>
      </c>
      <c r="C4563">
        <v>3</v>
      </c>
      <c r="D4563">
        <v>25</v>
      </c>
    </row>
    <row r="4564" spans="1:4" x14ac:dyDescent="0.25">
      <c r="A4564" s="1">
        <v>42185</v>
      </c>
      <c r="B4564">
        <v>1</v>
      </c>
      <c r="C4564">
        <v>3</v>
      </c>
      <c r="D4564">
        <v>21</v>
      </c>
    </row>
    <row r="4565" spans="1:4" x14ac:dyDescent="0.25">
      <c r="A4565" s="1">
        <v>42186</v>
      </c>
      <c r="B4565">
        <v>1</v>
      </c>
      <c r="C4565">
        <v>3</v>
      </c>
      <c r="D4565">
        <v>36</v>
      </c>
    </row>
    <row r="4566" spans="1:4" x14ac:dyDescent="0.25">
      <c r="A4566" s="1">
        <v>42187</v>
      </c>
      <c r="B4566">
        <v>1</v>
      </c>
      <c r="C4566">
        <v>3</v>
      </c>
      <c r="D4566">
        <v>37</v>
      </c>
    </row>
    <row r="4567" spans="1:4" x14ac:dyDescent="0.25">
      <c r="A4567" s="1">
        <v>42188</v>
      </c>
      <c r="B4567">
        <v>1</v>
      </c>
      <c r="C4567">
        <v>3</v>
      </c>
      <c r="D4567">
        <v>35</v>
      </c>
    </row>
    <row r="4568" spans="1:4" x14ac:dyDescent="0.25">
      <c r="A4568" s="1">
        <v>42189</v>
      </c>
      <c r="B4568">
        <v>1</v>
      </c>
      <c r="C4568">
        <v>3</v>
      </c>
      <c r="D4568">
        <v>49</v>
      </c>
    </row>
    <row r="4569" spans="1:4" x14ac:dyDescent="0.25">
      <c r="A4569" s="1">
        <v>42190</v>
      </c>
      <c r="B4569">
        <v>1</v>
      </c>
      <c r="C4569">
        <v>3</v>
      </c>
      <c r="D4569">
        <v>53</v>
      </c>
    </row>
    <row r="4570" spans="1:4" x14ac:dyDescent="0.25">
      <c r="A4570" s="1">
        <v>42191</v>
      </c>
      <c r="B4570">
        <v>1</v>
      </c>
      <c r="C4570">
        <v>3</v>
      </c>
      <c r="D4570">
        <v>27</v>
      </c>
    </row>
    <row r="4571" spans="1:4" x14ac:dyDescent="0.25">
      <c r="A4571" s="1">
        <v>42192</v>
      </c>
      <c r="B4571">
        <v>1</v>
      </c>
      <c r="C4571">
        <v>3</v>
      </c>
      <c r="D4571">
        <v>38</v>
      </c>
    </row>
    <row r="4572" spans="1:4" x14ac:dyDescent="0.25">
      <c r="A4572" s="1">
        <v>42193</v>
      </c>
      <c r="B4572">
        <v>1</v>
      </c>
      <c r="C4572">
        <v>3</v>
      </c>
      <c r="D4572">
        <v>39</v>
      </c>
    </row>
    <row r="4573" spans="1:4" x14ac:dyDescent="0.25">
      <c r="A4573" s="1">
        <v>42194</v>
      </c>
      <c r="B4573">
        <v>1</v>
      </c>
      <c r="C4573">
        <v>3</v>
      </c>
      <c r="D4573">
        <v>26</v>
      </c>
    </row>
    <row r="4574" spans="1:4" x14ac:dyDescent="0.25">
      <c r="A4574" s="1">
        <v>42195</v>
      </c>
      <c r="B4574">
        <v>1</v>
      </c>
      <c r="C4574">
        <v>3</v>
      </c>
      <c r="D4574">
        <v>52</v>
      </c>
    </row>
    <row r="4575" spans="1:4" x14ac:dyDescent="0.25">
      <c r="A4575" s="1">
        <v>42196</v>
      </c>
      <c r="B4575">
        <v>1</v>
      </c>
      <c r="C4575">
        <v>3</v>
      </c>
      <c r="D4575">
        <v>59</v>
      </c>
    </row>
    <row r="4576" spans="1:4" x14ac:dyDescent="0.25">
      <c r="A4576" s="1">
        <v>42197</v>
      </c>
      <c r="B4576">
        <v>1</v>
      </c>
      <c r="C4576">
        <v>3</v>
      </c>
      <c r="D4576">
        <v>61</v>
      </c>
    </row>
    <row r="4577" spans="1:4" x14ac:dyDescent="0.25">
      <c r="A4577" s="1">
        <v>42198</v>
      </c>
      <c r="B4577">
        <v>1</v>
      </c>
      <c r="C4577">
        <v>3</v>
      </c>
      <c r="D4577">
        <v>30</v>
      </c>
    </row>
    <row r="4578" spans="1:4" x14ac:dyDescent="0.25">
      <c r="A4578" s="1">
        <v>42199</v>
      </c>
      <c r="B4578">
        <v>1</v>
      </c>
      <c r="C4578">
        <v>3</v>
      </c>
      <c r="D4578">
        <v>46</v>
      </c>
    </row>
    <row r="4579" spans="1:4" x14ac:dyDescent="0.25">
      <c r="A4579" s="1">
        <v>42200</v>
      </c>
      <c r="B4579">
        <v>1</v>
      </c>
      <c r="C4579">
        <v>3</v>
      </c>
      <c r="D4579">
        <v>34</v>
      </c>
    </row>
    <row r="4580" spans="1:4" x14ac:dyDescent="0.25">
      <c r="A4580" s="1">
        <v>42201</v>
      </c>
      <c r="B4580">
        <v>1</v>
      </c>
      <c r="C4580">
        <v>3</v>
      </c>
      <c r="D4580">
        <v>44</v>
      </c>
    </row>
    <row r="4581" spans="1:4" x14ac:dyDescent="0.25">
      <c r="A4581" s="1">
        <v>42202</v>
      </c>
      <c r="B4581">
        <v>1</v>
      </c>
      <c r="C4581">
        <v>3</v>
      </c>
      <c r="D4581">
        <v>49</v>
      </c>
    </row>
    <row r="4582" spans="1:4" x14ac:dyDescent="0.25">
      <c r="A4582" s="1">
        <v>42203</v>
      </c>
      <c r="B4582">
        <v>1</v>
      </c>
      <c r="C4582">
        <v>3</v>
      </c>
      <c r="D4582">
        <v>54</v>
      </c>
    </row>
    <row r="4583" spans="1:4" x14ac:dyDescent="0.25">
      <c r="A4583" s="1">
        <v>42204</v>
      </c>
      <c r="B4583">
        <v>1</v>
      </c>
      <c r="C4583">
        <v>3</v>
      </c>
      <c r="D4583">
        <v>45</v>
      </c>
    </row>
    <row r="4584" spans="1:4" x14ac:dyDescent="0.25">
      <c r="A4584" s="1">
        <v>42205</v>
      </c>
      <c r="B4584">
        <v>1</v>
      </c>
      <c r="C4584">
        <v>3</v>
      </c>
      <c r="D4584">
        <v>38</v>
      </c>
    </row>
    <row r="4585" spans="1:4" x14ac:dyDescent="0.25">
      <c r="A4585" s="1">
        <v>42206</v>
      </c>
      <c r="B4585">
        <v>1</v>
      </c>
      <c r="C4585">
        <v>3</v>
      </c>
      <c r="D4585">
        <v>43</v>
      </c>
    </row>
    <row r="4586" spans="1:4" x14ac:dyDescent="0.25">
      <c r="A4586" s="1">
        <v>42207</v>
      </c>
      <c r="B4586">
        <v>1</v>
      </c>
      <c r="C4586">
        <v>3</v>
      </c>
      <c r="D4586">
        <v>38</v>
      </c>
    </row>
    <row r="4587" spans="1:4" x14ac:dyDescent="0.25">
      <c r="A4587" s="1">
        <v>42208</v>
      </c>
      <c r="B4587">
        <v>1</v>
      </c>
      <c r="C4587">
        <v>3</v>
      </c>
      <c r="D4587">
        <v>41</v>
      </c>
    </row>
    <row r="4588" spans="1:4" x14ac:dyDescent="0.25">
      <c r="A4588" s="1">
        <v>42209</v>
      </c>
      <c r="B4588">
        <v>1</v>
      </c>
      <c r="C4588">
        <v>3</v>
      </c>
      <c r="D4588">
        <v>53</v>
      </c>
    </row>
    <row r="4589" spans="1:4" x14ac:dyDescent="0.25">
      <c r="A4589" s="1">
        <v>42210</v>
      </c>
      <c r="B4589">
        <v>1</v>
      </c>
      <c r="C4589">
        <v>3</v>
      </c>
      <c r="D4589">
        <v>53</v>
      </c>
    </row>
    <row r="4590" spans="1:4" x14ac:dyDescent="0.25">
      <c r="A4590" s="1">
        <v>42211</v>
      </c>
      <c r="B4590">
        <v>1</v>
      </c>
      <c r="C4590">
        <v>3</v>
      </c>
      <c r="D4590">
        <v>57</v>
      </c>
    </row>
    <row r="4591" spans="1:4" x14ac:dyDescent="0.25">
      <c r="A4591" s="1">
        <v>42212</v>
      </c>
      <c r="B4591">
        <v>1</v>
      </c>
      <c r="C4591">
        <v>3</v>
      </c>
      <c r="D4591">
        <v>23</v>
      </c>
    </row>
    <row r="4592" spans="1:4" x14ac:dyDescent="0.25">
      <c r="A4592" s="1">
        <v>42213</v>
      </c>
      <c r="B4592">
        <v>1</v>
      </c>
      <c r="C4592">
        <v>3</v>
      </c>
      <c r="D4592">
        <v>49</v>
      </c>
    </row>
    <row r="4593" spans="1:4" x14ac:dyDescent="0.25">
      <c r="A4593" s="1">
        <v>42214</v>
      </c>
      <c r="B4593">
        <v>1</v>
      </c>
      <c r="C4593">
        <v>3</v>
      </c>
      <c r="D4593">
        <v>38</v>
      </c>
    </row>
    <row r="4594" spans="1:4" x14ac:dyDescent="0.25">
      <c r="A4594" s="1">
        <v>42215</v>
      </c>
      <c r="B4594">
        <v>1</v>
      </c>
      <c r="C4594">
        <v>3</v>
      </c>
      <c r="D4594">
        <v>36</v>
      </c>
    </row>
    <row r="4595" spans="1:4" x14ac:dyDescent="0.25">
      <c r="A4595" s="1">
        <v>42216</v>
      </c>
      <c r="B4595">
        <v>1</v>
      </c>
      <c r="C4595">
        <v>3</v>
      </c>
      <c r="D4595">
        <v>42</v>
      </c>
    </row>
    <row r="4596" spans="1:4" x14ac:dyDescent="0.25">
      <c r="A4596" s="1">
        <v>42217</v>
      </c>
      <c r="B4596">
        <v>1</v>
      </c>
      <c r="C4596">
        <v>3</v>
      </c>
      <c r="D4596">
        <v>41</v>
      </c>
    </row>
    <row r="4597" spans="1:4" x14ac:dyDescent="0.25">
      <c r="A4597" s="1">
        <v>42218</v>
      </c>
      <c r="B4597">
        <v>1</v>
      </c>
      <c r="C4597">
        <v>3</v>
      </c>
      <c r="D4597">
        <v>35</v>
      </c>
    </row>
    <row r="4598" spans="1:4" x14ac:dyDescent="0.25">
      <c r="A4598" s="1">
        <v>42219</v>
      </c>
      <c r="B4598">
        <v>1</v>
      </c>
      <c r="C4598">
        <v>3</v>
      </c>
      <c r="D4598">
        <v>30</v>
      </c>
    </row>
    <row r="4599" spans="1:4" x14ac:dyDescent="0.25">
      <c r="A4599" s="1">
        <v>42220</v>
      </c>
      <c r="B4599">
        <v>1</v>
      </c>
      <c r="C4599">
        <v>3</v>
      </c>
      <c r="D4599">
        <v>31</v>
      </c>
    </row>
    <row r="4600" spans="1:4" x14ac:dyDescent="0.25">
      <c r="A4600" s="1">
        <v>42221</v>
      </c>
      <c r="B4600">
        <v>1</v>
      </c>
      <c r="C4600">
        <v>3</v>
      </c>
      <c r="D4600">
        <v>40</v>
      </c>
    </row>
    <row r="4601" spans="1:4" x14ac:dyDescent="0.25">
      <c r="A4601" s="1">
        <v>42222</v>
      </c>
      <c r="B4601">
        <v>1</v>
      </c>
      <c r="C4601">
        <v>3</v>
      </c>
      <c r="D4601">
        <v>40</v>
      </c>
    </row>
    <row r="4602" spans="1:4" x14ac:dyDescent="0.25">
      <c r="A4602" s="1">
        <v>42223</v>
      </c>
      <c r="B4602">
        <v>1</v>
      </c>
      <c r="C4602">
        <v>3</v>
      </c>
      <c r="D4602">
        <v>42</v>
      </c>
    </row>
    <row r="4603" spans="1:4" x14ac:dyDescent="0.25">
      <c r="A4603" s="1">
        <v>42224</v>
      </c>
      <c r="B4603">
        <v>1</v>
      </c>
      <c r="C4603">
        <v>3</v>
      </c>
      <c r="D4603">
        <v>36</v>
      </c>
    </row>
    <row r="4604" spans="1:4" x14ac:dyDescent="0.25">
      <c r="A4604" s="1">
        <v>42225</v>
      </c>
      <c r="B4604">
        <v>1</v>
      </c>
      <c r="C4604">
        <v>3</v>
      </c>
      <c r="D4604">
        <v>37</v>
      </c>
    </row>
    <row r="4605" spans="1:4" x14ac:dyDescent="0.25">
      <c r="A4605" s="1">
        <v>42226</v>
      </c>
      <c r="B4605">
        <v>1</v>
      </c>
      <c r="C4605">
        <v>3</v>
      </c>
      <c r="D4605">
        <v>28</v>
      </c>
    </row>
    <row r="4606" spans="1:4" x14ac:dyDescent="0.25">
      <c r="A4606" s="1">
        <v>42227</v>
      </c>
      <c r="B4606">
        <v>1</v>
      </c>
      <c r="C4606">
        <v>3</v>
      </c>
      <c r="D4606">
        <v>39</v>
      </c>
    </row>
    <row r="4607" spans="1:4" x14ac:dyDescent="0.25">
      <c r="A4607" s="1">
        <v>42228</v>
      </c>
      <c r="B4607">
        <v>1</v>
      </c>
      <c r="C4607">
        <v>3</v>
      </c>
      <c r="D4607">
        <v>40</v>
      </c>
    </row>
    <row r="4608" spans="1:4" x14ac:dyDescent="0.25">
      <c r="A4608" s="1">
        <v>42229</v>
      </c>
      <c r="B4608">
        <v>1</v>
      </c>
      <c r="C4608">
        <v>3</v>
      </c>
      <c r="D4608">
        <v>34</v>
      </c>
    </row>
    <row r="4609" spans="1:4" x14ac:dyDescent="0.25">
      <c r="A4609" s="1">
        <v>42230</v>
      </c>
      <c r="B4609">
        <v>1</v>
      </c>
      <c r="C4609">
        <v>3</v>
      </c>
      <c r="D4609">
        <v>34</v>
      </c>
    </row>
    <row r="4610" spans="1:4" x14ac:dyDescent="0.25">
      <c r="A4610" s="1">
        <v>42231</v>
      </c>
      <c r="B4610">
        <v>1</v>
      </c>
      <c r="C4610">
        <v>3</v>
      </c>
      <c r="D4610">
        <v>45</v>
      </c>
    </row>
    <row r="4611" spans="1:4" x14ac:dyDescent="0.25">
      <c r="A4611" s="1">
        <v>42232</v>
      </c>
      <c r="B4611">
        <v>1</v>
      </c>
      <c r="C4611">
        <v>3</v>
      </c>
      <c r="D4611">
        <v>47</v>
      </c>
    </row>
    <row r="4612" spans="1:4" x14ac:dyDescent="0.25">
      <c r="A4612" s="1">
        <v>42233</v>
      </c>
      <c r="B4612">
        <v>1</v>
      </c>
      <c r="C4612">
        <v>3</v>
      </c>
      <c r="D4612">
        <v>29</v>
      </c>
    </row>
    <row r="4613" spans="1:4" x14ac:dyDescent="0.25">
      <c r="A4613" s="1">
        <v>42234</v>
      </c>
      <c r="B4613">
        <v>1</v>
      </c>
      <c r="C4613">
        <v>3</v>
      </c>
      <c r="D4613">
        <v>24</v>
      </c>
    </row>
    <row r="4614" spans="1:4" x14ac:dyDescent="0.25">
      <c r="A4614" s="1">
        <v>42235</v>
      </c>
      <c r="B4614">
        <v>1</v>
      </c>
      <c r="C4614">
        <v>3</v>
      </c>
      <c r="D4614">
        <v>33</v>
      </c>
    </row>
    <row r="4615" spans="1:4" x14ac:dyDescent="0.25">
      <c r="A4615" s="1">
        <v>42236</v>
      </c>
      <c r="B4615">
        <v>1</v>
      </c>
      <c r="C4615">
        <v>3</v>
      </c>
      <c r="D4615">
        <v>50</v>
      </c>
    </row>
    <row r="4616" spans="1:4" x14ac:dyDescent="0.25">
      <c r="A4616" s="1">
        <v>42237</v>
      </c>
      <c r="B4616">
        <v>1</v>
      </c>
      <c r="C4616">
        <v>3</v>
      </c>
      <c r="D4616">
        <v>36</v>
      </c>
    </row>
    <row r="4617" spans="1:4" x14ac:dyDescent="0.25">
      <c r="A4617" s="1">
        <v>42238</v>
      </c>
      <c r="B4617">
        <v>1</v>
      </c>
      <c r="C4617">
        <v>3</v>
      </c>
      <c r="D4617">
        <v>45</v>
      </c>
    </row>
    <row r="4618" spans="1:4" x14ac:dyDescent="0.25">
      <c r="A4618" s="1">
        <v>42239</v>
      </c>
      <c r="B4618">
        <v>1</v>
      </c>
      <c r="C4618">
        <v>3</v>
      </c>
      <c r="D4618">
        <v>42</v>
      </c>
    </row>
    <row r="4619" spans="1:4" x14ac:dyDescent="0.25">
      <c r="A4619" s="1">
        <v>42240</v>
      </c>
      <c r="B4619">
        <v>1</v>
      </c>
      <c r="C4619">
        <v>3</v>
      </c>
      <c r="D4619">
        <v>26</v>
      </c>
    </row>
    <row r="4620" spans="1:4" x14ac:dyDescent="0.25">
      <c r="A4620" s="1">
        <v>42241</v>
      </c>
      <c r="B4620">
        <v>1</v>
      </c>
      <c r="C4620">
        <v>3</v>
      </c>
      <c r="D4620">
        <v>37</v>
      </c>
    </row>
    <row r="4621" spans="1:4" x14ac:dyDescent="0.25">
      <c r="A4621" s="1">
        <v>42242</v>
      </c>
      <c r="B4621">
        <v>1</v>
      </c>
      <c r="C4621">
        <v>3</v>
      </c>
      <c r="D4621">
        <v>31</v>
      </c>
    </row>
    <row r="4622" spans="1:4" x14ac:dyDescent="0.25">
      <c r="A4622" s="1">
        <v>42243</v>
      </c>
      <c r="B4622">
        <v>1</v>
      </c>
      <c r="C4622">
        <v>3</v>
      </c>
      <c r="D4622">
        <v>47</v>
      </c>
    </row>
    <row r="4623" spans="1:4" x14ac:dyDescent="0.25">
      <c r="A4623" s="1">
        <v>42244</v>
      </c>
      <c r="B4623">
        <v>1</v>
      </c>
      <c r="C4623">
        <v>3</v>
      </c>
      <c r="D4623">
        <v>41</v>
      </c>
    </row>
    <row r="4624" spans="1:4" x14ac:dyDescent="0.25">
      <c r="A4624" s="1">
        <v>42245</v>
      </c>
      <c r="B4624">
        <v>1</v>
      </c>
      <c r="C4624">
        <v>3</v>
      </c>
      <c r="D4624">
        <v>48</v>
      </c>
    </row>
    <row r="4625" spans="1:4" x14ac:dyDescent="0.25">
      <c r="A4625" s="1">
        <v>42246</v>
      </c>
      <c r="B4625">
        <v>1</v>
      </c>
      <c r="C4625">
        <v>3</v>
      </c>
      <c r="D4625">
        <v>50</v>
      </c>
    </row>
    <row r="4626" spans="1:4" x14ac:dyDescent="0.25">
      <c r="A4626" s="1">
        <v>42247</v>
      </c>
      <c r="B4626">
        <v>1</v>
      </c>
      <c r="C4626">
        <v>3</v>
      </c>
      <c r="D4626">
        <v>40</v>
      </c>
    </row>
    <row r="4627" spans="1:4" x14ac:dyDescent="0.25">
      <c r="A4627" s="1">
        <v>42248</v>
      </c>
      <c r="B4627">
        <v>1</v>
      </c>
      <c r="C4627">
        <v>3</v>
      </c>
      <c r="D4627">
        <v>27</v>
      </c>
    </row>
    <row r="4628" spans="1:4" x14ac:dyDescent="0.25">
      <c r="A4628" s="1">
        <v>42249</v>
      </c>
      <c r="B4628">
        <v>1</v>
      </c>
      <c r="C4628">
        <v>3</v>
      </c>
      <c r="D4628">
        <v>27</v>
      </c>
    </row>
    <row r="4629" spans="1:4" x14ac:dyDescent="0.25">
      <c r="A4629" s="1">
        <v>42250</v>
      </c>
      <c r="B4629">
        <v>1</v>
      </c>
      <c r="C4629">
        <v>3</v>
      </c>
      <c r="D4629">
        <v>33</v>
      </c>
    </row>
    <row r="4630" spans="1:4" x14ac:dyDescent="0.25">
      <c r="A4630" s="1">
        <v>42251</v>
      </c>
      <c r="B4630">
        <v>1</v>
      </c>
      <c r="C4630">
        <v>3</v>
      </c>
      <c r="D4630">
        <v>43</v>
      </c>
    </row>
    <row r="4631" spans="1:4" x14ac:dyDescent="0.25">
      <c r="A4631" s="1">
        <v>42252</v>
      </c>
      <c r="B4631">
        <v>1</v>
      </c>
      <c r="C4631">
        <v>3</v>
      </c>
      <c r="D4631">
        <v>37</v>
      </c>
    </row>
    <row r="4632" spans="1:4" x14ac:dyDescent="0.25">
      <c r="A4632" s="1">
        <v>42253</v>
      </c>
      <c r="B4632">
        <v>1</v>
      </c>
      <c r="C4632">
        <v>3</v>
      </c>
      <c r="D4632">
        <v>35</v>
      </c>
    </row>
    <row r="4633" spans="1:4" x14ac:dyDescent="0.25">
      <c r="A4633" s="1">
        <v>42254</v>
      </c>
      <c r="B4633">
        <v>1</v>
      </c>
      <c r="C4633">
        <v>3</v>
      </c>
      <c r="D4633">
        <v>33</v>
      </c>
    </row>
    <row r="4634" spans="1:4" x14ac:dyDescent="0.25">
      <c r="A4634" s="1">
        <v>42255</v>
      </c>
      <c r="B4634">
        <v>1</v>
      </c>
      <c r="C4634">
        <v>3</v>
      </c>
      <c r="D4634">
        <v>36</v>
      </c>
    </row>
    <row r="4635" spans="1:4" x14ac:dyDescent="0.25">
      <c r="A4635" s="1">
        <v>42256</v>
      </c>
      <c r="B4635">
        <v>1</v>
      </c>
      <c r="C4635">
        <v>3</v>
      </c>
      <c r="D4635">
        <v>39</v>
      </c>
    </row>
    <row r="4636" spans="1:4" x14ac:dyDescent="0.25">
      <c r="A4636" s="1">
        <v>42257</v>
      </c>
      <c r="B4636">
        <v>1</v>
      </c>
      <c r="C4636">
        <v>3</v>
      </c>
      <c r="D4636">
        <v>43</v>
      </c>
    </row>
    <row r="4637" spans="1:4" x14ac:dyDescent="0.25">
      <c r="A4637" s="1">
        <v>42258</v>
      </c>
      <c r="B4637">
        <v>1</v>
      </c>
      <c r="C4637">
        <v>3</v>
      </c>
      <c r="D4637">
        <v>37</v>
      </c>
    </row>
    <row r="4638" spans="1:4" x14ac:dyDescent="0.25">
      <c r="A4638" s="1">
        <v>42259</v>
      </c>
      <c r="B4638">
        <v>1</v>
      </c>
      <c r="C4638">
        <v>3</v>
      </c>
      <c r="D4638">
        <v>60</v>
      </c>
    </row>
    <row r="4639" spans="1:4" x14ac:dyDescent="0.25">
      <c r="A4639" s="1">
        <v>42260</v>
      </c>
      <c r="B4639">
        <v>1</v>
      </c>
      <c r="C4639">
        <v>3</v>
      </c>
      <c r="D4639">
        <v>47</v>
      </c>
    </row>
    <row r="4640" spans="1:4" x14ac:dyDescent="0.25">
      <c r="A4640" s="1">
        <v>42261</v>
      </c>
      <c r="B4640">
        <v>1</v>
      </c>
      <c r="C4640">
        <v>3</v>
      </c>
      <c r="D4640">
        <v>26</v>
      </c>
    </row>
    <row r="4641" spans="1:4" x14ac:dyDescent="0.25">
      <c r="A4641" s="1">
        <v>42262</v>
      </c>
      <c r="B4641">
        <v>1</v>
      </c>
      <c r="C4641">
        <v>3</v>
      </c>
      <c r="D4641">
        <v>25</v>
      </c>
    </row>
    <row r="4642" spans="1:4" x14ac:dyDescent="0.25">
      <c r="A4642" s="1">
        <v>42263</v>
      </c>
      <c r="B4642">
        <v>1</v>
      </c>
      <c r="C4642">
        <v>3</v>
      </c>
      <c r="D4642">
        <v>36</v>
      </c>
    </row>
    <row r="4643" spans="1:4" x14ac:dyDescent="0.25">
      <c r="A4643" s="1">
        <v>42264</v>
      </c>
      <c r="B4643">
        <v>1</v>
      </c>
      <c r="C4643">
        <v>3</v>
      </c>
      <c r="D4643">
        <v>44</v>
      </c>
    </row>
    <row r="4644" spans="1:4" x14ac:dyDescent="0.25">
      <c r="A4644" s="1">
        <v>42265</v>
      </c>
      <c r="B4644">
        <v>1</v>
      </c>
      <c r="C4644">
        <v>3</v>
      </c>
      <c r="D4644">
        <v>26</v>
      </c>
    </row>
    <row r="4645" spans="1:4" x14ac:dyDescent="0.25">
      <c r="A4645" s="1">
        <v>42266</v>
      </c>
      <c r="B4645">
        <v>1</v>
      </c>
      <c r="C4645">
        <v>3</v>
      </c>
      <c r="D4645">
        <v>38</v>
      </c>
    </row>
    <row r="4646" spans="1:4" x14ac:dyDescent="0.25">
      <c r="A4646" s="1">
        <v>42267</v>
      </c>
      <c r="B4646">
        <v>1</v>
      </c>
      <c r="C4646">
        <v>3</v>
      </c>
      <c r="D4646">
        <v>42</v>
      </c>
    </row>
    <row r="4647" spans="1:4" x14ac:dyDescent="0.25">
      <c r="A4647" s="1">
        <v>42268</v>
      </c>
      <c r="B4647">
        <v>1</v>
      </c>
      <c r="C4647">
        <v>3</v>
      </c>
      <c r="D4647">
        <v>36</v>
      </c>
    </row>
    <row r="4648" spans="1:4" x14ac:dyDescent="0.25">
      <c r="A4648" s="1">
        <v>42269</v>
      </c>
      <c r="B4648">
        <v>1</v>
      </c>
      <c r="C4648">
        <v>3</v>
      </c>
      <c r="D4648">
        <v>36</v>
      </c>
    </row>
    <row r="4649" spans="1:4" x14ac:dyDescent="0.25">
      <c r="A4649" s="1">
        <v>42270</v>
      </c>
      <c r="B4649">
        <v>1</v>
      </c>
      <c r="C4649">
        <v>3</v>
      </c>
      <c r="D4649">
        <v>29</v>
      </c>
    </row>
    <row r="4650" spans="1:4" x14ac:dyDescent="0.25">
      <c r="A4650" s="1">
        <v>42271</v>
      </c>
      <c r="B4650">
        <v>1</v>
      </c>
      <c r="C4650">
        <v>3</v>
      </c>
      <c r="D4650">
        <v>37</v>
      </c>
    </row>
    <row r="4651" spans="1:4" x14ac:dyDescent="0.25">
      <c r="A4651" s="1">
        <v>42272</v>
      </c>
      <c r="B4651">
        <v>1</v>
      </c>
      <c r="C4651">
        <v>3</v>
      </c>
      <c r="D4651">
        <v>43</v>
      </c>
    </row>
    <row r="4652" spans="1:4" x14ac:dyDescent="0.25">
      <c r="A4652" s="1">
        <v>42273</v>
      </c>
      <c r="B4652">
        <v>1</v>
      </c>
      <c r="C4652">
        <v>3</v>
      </c>
      <c r="D4652">
        <v>43</v>
      </c>
    </row>
    <row r="4653" spans="1:4" x14ac:dyDescent="0.25">
      <c r="A4653" s="1">
        <v>42274</v>
      </c>
      <c r="B4653">
        <v>1</v>
      </c>
      <c r="C4653">
        <v>3</v>
      </c>
      <c r="D4653">
        <v>55</v>
      </c>
    </row>
    <row r="4654" spans="1:4" x14ac:dyDescent="0.25">
      <c r="A4654" s="1">
        <v>42275</v>
      </c>
      <c r="B4654">
        <v>1</v>
      </c>
      <c r="C4654">
        <v>3</v>
      </c>
      <c r="D4654">
        <v>27</v>
      </c>
    </row>
    <row r="4655" spans="1:4" x14ac:dyDescent="0.25">
      <c r="A4655" s="1">
        <v>42276</v>
      </c>
      <c r="B4655">
        <v>1</v>
      </c>
      <c r="C4655">
        <v>3</v>
      </c>
      <c r="D4655">
        <v>39</v>
      </c>
    </row>
    <row r="4656" spans="1:4" x14ac:dyDescent="0.25">
      <c r="A4656" s="1">
        <v>42277</v>
      </c>
      <c r="B4656">
        <v>1</v>
      </c>
      <c r="C4656">
        <v>3</v>
      </c>
      <c r="D4656">
        <v>33</v>
      </c>
    </row>
    <row r="4657" spans="1:4" x14ac:dyDescent="0.25">
      <c r="A4657" s="1">
        <v>42278</v>
      </c>
      <c r="B4657">
        <v>1</v>
      </c>
      <c r="C4657">
        <v>3</v>
      </c>
      <c r="D4657">
        <v>26</v>
      </c>
    </row>
    <row r="4658" spans="1:4" x14ac:dyDescent="0.25">
      <c r="A4658" s="1">
        <v>42279</v>
      </c>
      <c r="B4658">
        <v>1</v>
      </c>
      <c r="C4658">
        <v>3</v>
      </c>
      <c r="D4658">
        <v>21</v>
      </c>
    </row>
    <row r="4659" spans="1:4" x14ac:dyDescent="0.25">
      <c r="A4659" s="1">
        <v>42280</v>
      </c>
      <c r="B4659">
        <v>1</v>
      </c>
      <c r="C4659">
        <v>3</v>
      </c>
      <c r="D4659">
        <v>40</v>
      </c>
    </row>
    <row r="4660" spans="1:4" x14ac:dyDescent="0.25">
      <c r="A4660" s="1">
        <v>42281</v>
      </c>
      <c r="B4660">
        <v>1</v>
      </c>
      <c r="C4660">
        <v>3</v>
      </c>
      <c r="D4660">
        <v>41</v>
      </c>
    </row>
    <row r="4661" spans="1:4" x14ac:dyDescent="0.25">
      <c r="A4661" s="1">
        <v>42282</v>
      </c>
      <c r="B4661">
        <v>1</v>
      </c>
      <c r="C4661">
        <v>3</v>
      </c>
      <c r="D4661">
        <v>31</v>
      </c>
    </row>
    <row r="4662" spans="1:4" x14ac:dyDescent="0.25">
      <c r="A4662" s="1">
        <v>42283</v>
      </c>
      <c r="B4662">
        <v>1</v>
      </c>
      <c r="C4662">
        <v>3</v>
      </c>
      <c r="D4662">
        <v>31</v>
      </c>
    </row>
    <row r="4663" spans="1:4" x14ac:dyDescent="0.25">
      <c r="A4663" s="1">
        <v>42284</v>
      </c>
      <c r="B4663">
        <v>1</v>
      </c>
      <c r="C4663">
        <v>3</v>
      </c>
      <c r="D4663">
        <v>34</v>
      </c>
    </row>
    <row r="4664" spans="1:4" x14ac:dyDescent="0.25">
      <c r="A4664" s="1">
        <v>42285</v>
      </c>
      <c r="B4664">
        <v>1</v>
      </c>
      <c r="C4664">
        <v>3</v>
      </c>
      <c r="D4664">
        <v>34</v>
      </c>
    </row>
    <row r="4665" spans="1:4" x14ac:dyDescent="0.25">
      <c r="A4665" s="1">
        <v>42286</v>
      </c>
      <c r="B4665">
        <v>1</v>
      </c>
      <c r="C4665">
        <v>3</v>
      </c>
      <c r="D4665">
        <v>32</v>
      </c>
    </row>
    <row r="4666" spans="1:4" x14ac:dyDescent="0.25">
      <c r="A4666" s="1">
        <v>42287</v>
      </c>
      <c r="B4666">
        <v>1</v>
      </c>
      <c r="C4666">
        <v>3</v>
      </c>
      <c r="D4666">
        <v>37</v>
      </c>
    </row>
    <row r="4667" spans="1:4" x14ac:dyDescent="0.25">
      <c r="A4667" s="1">
        <v>42288</v>
      </c>
      <c r="B4667">
        <v>1</v>
      </c>
      <c r="C4667">
        <v>3</v>
      </c>
      <c r="D4667">
        <v>35</v>
      </c>
    </row>
    <row r="4668" spans="1:4" x14ac:dyDescent="0.25">
      <c r="A4668" s="1">
        <v>42289</v>
      </c>
      <c r="B4668">
        <v>1</v>
      </c>
      <c r="C4668">
        <v>3</v>
      </c>
      <c r="D4668">
        <v>28</v>
      </c>
    </row>
    <row r="4669" spans="1:4" x14ac:dyDescent="0.25">
      <c r="A4669" s="1">
        <v>42290</v>
      </c>
      <c r="B4669">
        <v>1</v>
      </c>
      <c r="C4669">
        <v>3</v>
      </c>
      <c r="D4669">
        <v>44</v>
      </c>
    </row>
    <row r="4670" spans="1:4" x14ac:dyDescent="0.25">
      <c r="A4670" s="1">
        <v>42291</v>
      </c>
      <c r="B4670">
        <v>1</v>
      </c>
      <c r="C4670">
        <v>3</v>
      </c>
      <c r="D4670">
        <v>30</v>
      </c>
    </row>
    <row r="4671" spans="1:4" x14ac:dyDescent="0.25">
      <c r="A4671" s="1">
        <v>42292</v>
      </c>
      <c r="B4671">
        <v>1</v>
      </c>
      <c r="C4671">
        <v>3</v>
      </c>
      <c r="D4671">
        <v>26</v>
      </c>
    </row>
    <row r="4672" spans="1:4" x14ac:dyDescent="0.25">
      <c r="A4672" s="1">
        <v>42293</v>
      </c>
      <c r="B4672">
        <v>1</v>
      </c>
      <c r="C4672">
        <v>3</v>
      </c>
      <c r="D4672">
        <v>24</v>
      </c>
    </row>
    <row r="4673" spans="1:4" x14ac:dyDescent="0.25">
      <c r="A4673" s="1">
        <v>42294</v>
      </c>
      <c r="B4673">
        <v>1</v>
      </c>
      <c r="C4673">
        <v>3</v>
      </c>
      <c r="D4673">
        <v>32</v>
      </c>
    </row>
    <row r="4674" spans="1:4" x14ac:dyDescent="0.25">
      <c r="A4674" s="1">
        <v>42295</v>
      </c>
      <c r="B4674">
        <v>1</v>
      </c>
      <c r="C4674">
        <v>3</v>
      </c>
      <c r="D4674">
        <v>36</v>
      </c>
    </row>
    <row r="4675" spans="1:4" x14ac:dyDescent="0.25">
      <c r="A4675" s="1">
        <v>42296</v>
      </c>
      <c r="B4675">
        <v>1</v>
      </c>
      <c r="C4675">
        <v>3</v>
      </c>
      <c r="D4675">
        <v>32</v>
      </c>
    </row>
    <row r="4676" spans="1:4" x14ac:dyDescent="0.25">
      <c r="A4676" s="1">
        <v>42297</v>
      </c>
      <c r="B4676">
        <v>1</v>
      </c>
      <c r="C4676">
        <v>3</v>
      </c>
      <c r="D4676">
        <v>31</v>
      </c>
    </row>
    <row r="4677" spans="1:4" x14ac:dyDescent="0.25">
      <c r="A4677" s="1">
        <v>42298</v>
      </c>
      <c r="B4677">
        <v>1</v>
      </c>
      <c r="C4677">
        <v>3</v>
      </c>
      <c r="D4677">
        <v>36</v>
      </c>
    </row>
    <row r="4678" spans="1:4" x14ac:dyDescent="0.25">
      <c r="A4678" s="1">
        <v>42299</v>
      </c>
      <c r="B4678">
        <v>1</v>
      </c>
      <c r="C4678">
        <v>3</v>
      </c>
      <c r="D4678">
        <v>39</v>
      </c>
    </row>
    <row r="4679" spans="1:4" x14ac:dyDescent="0.25">
      <c r="A4679" s="1">
        <v>42300</v>
      </c>
      <c r="B4679">
        <v>1</v>
      </c>
      <c r="C4679">
        <v>3</v>
      </c>
      <c r="D4679">
        <v>33</v>
      </c>
    </row>
    <row r="4680" spans="1:4" x14ac:dyDescent="0.25">
      <c r="A4680" s="1">
        <v>42301</v>
      </c>
      <c r="B4680">
        <v>1</v>
      </c>
      <c r="C4680">
        <v>3</v>
      </c>
      <c r="D4680">
        <v>32</v>
      </c>
    </row>
    <row r="4681" spans="1:4" x14ac:dyDescent="0.25">
      <c r="A4681" s="1">
        <v>42302</v>
      </c>
      <c r="B4681">
        <v>1</v>
      </c>
      <c r="C4681">
        <v>3</v>
      </c>
      <c r="D4681">
        <v>39</v>
      </c>
    </row>
    <row r="4682" spans="1:4" x14ac:dyDescent="0.25">
      <c r="A4682" s="1">
        <v>42303</v>
      </c>
      <c r="B4682">
        <v>1</v>
      </c>
      <c r="C4682">
        <v>3</v>
      </c>
      <c r="D4682">
        <v>30</v>
      </c>
    </row>
    <row r="4683" spans="1:4" x14ac:dyDescent="0.25">
      <c r="A4683" s="1">
        <v>42304</v>
      </c>
      <c r="B4683">
        <v>1</v>
      </c>
      <c r="C4683">
        <v>3</v>
      </c>
      <c r="D4683">
        <v>40</v>
      </c>
    </row>
    <row r="4684" spans="1:4" x14ac:dyDescent="0.25">
      <c r="A4684" s="1">
        <v>42305</v>
      </c>
      <c r="B4684">
        <v>1</v>
      </c>
      <c r="C4684">
        <v>3</v>
      </c>
      <c r="D4684">
        <v>38</v>
      </c>
    </row>
    <row r="4685" spans="1:4" x14ac:dyDescent="0.25">
      <c r="A4685" s="1">
        <v>42306</v>
      </c>
      <c r="B4685">
        <v>1</v>
      </c>
      <c r="C4685">
        <v>3</v>
      </c>
      <c r="D4685">
        <v>38</v>
      </c>
    </row>
    <row r="4686" spans="1:4" x14ac:dyDescent="0.25">
      <c r="A4686" s="1">
        <v>42307</v>
      </c>
      <c r="B4686">
        <v>1</v>
      </c>
      <c r="C4686">
        <v>3</v>
      </c>
      <c r="D4686">
        <v>37</v>
      </c>
    </row>
    <row r="4687" spans="1:4" x14ac:dyDescent="0.25">
      <c r="A4687" s="1">
        <v>42308</v>
      </c>
      <c r="B4687">
        <v>1</v>
      </c>
      <c r="C4687">
        <v>3</v>
      </c>
      <c r="D4687">
        <v>34</v>
      </c>
    </row>
    <row r="4688" spans="1:4" x14ac:dyDescent="0.25">
      <c r="A4688" s="1">
        <v>42309</v>
      </c>
      <c r="B4688">
        <v>1</v>
      </c>
      <c r="C4688">
        <v>3</v>
      </c>
      <c r="D4688">
        <v>46</v>
      </c>
    </row>
    <row r="4689" spans="1:4" x14ac:dyDescent="0.25">
      <c r="A4689" s="1">
        <v>42310</v>
      </c>
      <c r="B4689">
        <v>1</v>
      </c>
      <c r="C4689">
        <v>3</v>
      </c>
      <c r="D4689">
        <v>22</v>
      </c>
    </row>
    <row r="4690" spans="1:4" x14ac:dyDescent="0.25">
      <c r="A4690" s="1">
        <v>42311</v>
      </c>
      <c r="B4690">
        <v>1</v>
      </c>
      <c r="C4690">
        <v>3</v>
      </c>
      <c r="D4690">
        <v>28</v>
      </c>
    </row>
    <row r="4691" spans="1:4" x14ac:dyDescent="0.25">
      <c r="A4691" s="1">
        <v>42312</v>
      </c>
      <c r="B4691">
        <v>1</v>
      </c>
      <c r="C4691">
        <v>3</v>
      </c>
      <c r="D4691">
        <v>25</v>
      </c>
    </row>
    <row r="4692" spans="1:4" x14ac:dyDescent="0.25">
      <c r="A4692" s="1">
        <v>42313</v>
      </c>
      <c r="B4692">
        <v>1</v>
      </c>
      <c r="C4692">
        <v>3</v>
      </c>
      <c r="D4692">
        <v>37</v>
      </c>
    </row>
    <row r="4693" spans="1:4" x14ac:dyDescent="0.25">
      <c r="A4693" s="1">
        <v>42314</v>
      </c>
      <c r="B4693">
        <v>1</v>
      </c>
      <c r="C4693">
        <v>3</v>
      </c>
      <c r="D4693">
        <v>37</v>
      </c>
    </row>
    <row r="4694" spans="1:4" x14ac:dyDescent="0.25">
      <c r="A4694" s="1">
        <v>42315</v>
      </c>
      <c r="B4694">
        <v>1</v>
      </c>
      <c r="C4694">
        <v>3</v>
      </c>
      <c r="D4694">
        <v>39</v>
      </c>
    </row>
    <row r="4695" spans="1:4" x14ac:dyDescent="0.25">
      <c r="A4695" s="1">
        <v>42316</v>
      </c>
      <c r="B4695">
        <v>1</v>
      </c>
      <c r="C4695">
        <v>3</v>
      </c>
      <c r="D4695">
        <v>47</v>
      </c>
    </row>
    <row r="4696" spans="1:4" x14ac:dyDescent="0.25">
      <c r="A4696" s="1">
        <v>42317</v>
      </c>
      <c r="B4696">
        <v>1</v>
      </c>
      <c r="C4696">
        <v>3</v>
      </c>
      <c r="D4696">
        <v>27</v>
      </c>
    </row>
    <row r="4697" spans="1:4" x14ac:dyDescent="0.25">
      <c r="A4697" s="1">
        <v>42318</v>
      </c>
      <c r="B4697">
        <v>1</v>
      </c>
      <c r="C4697">
        <v>3</v>
      </c>
      <c r="D4697">
        <v>22</v>
      </c>
    </row>
    <row r="4698" spans="1:4" x14ac:dyDescent="0.25">
      <c r="A4698" s="1">
        <v>42319</v>
      </c>
      <c r="B4698">
        <v>1</v>
      </c>
      <c r="C4698">
        <v>3</v>
      </c>
      <c r="D4698">
        <v>42</v>
      </c>
    </row>
    <row r="4699" spans="1:4" x14ac:dyDescent="0.25">
      <c r="A4699" s="1">
        <v>42320</v>
      </c>
      <c r="B4699">
        <v>1</v>
      </c>
      <c r="C4699">
        <v>3</v>
      </c>
      <c r="D4699">
        <v>42</v>
      </c>
    </row>
    <row r="4700" spans="1:4" x14ac:dyDescent="0.25">
      <c r="A4700" s="1">
        <v>42321</v>
      </c>
      <c r="B4700">
        <v>1</v>
      </c>
      <c r="C4700">
        <v>3</v>
      </c>
      <c r="D4700">
        <v>32</v>
      </c>
    </row>
    <row r="4701" spans="1:4" x14ac:dyDescent="0.25">
      <c r="A4701" s="1">
        <v>42322</v>
      </c>
      <c r="B4701">
        <v>1</v>
      </c>
      <c r="C4701">
        <v>3</v>
      </c>
      <c r="D4701">
        <v>43</v>
      </c>
    </row>
    <row r="4702" spans="1:4" x14ac:dyDescent="0.25">
      <c r="A4702" s="1">
        <v>42323</v>
      </c>
      <c r="B4702">
        <v>1</v>
      </c>
      <c r="C4702">
        <v>3</v>
      </c>
      <c r="D4702">
        <v>43</v>
      </c>
    </row>
    <row r="4703" spans="1:4" x14ac:dyDescent="0.25">
      <c r="A4703" s="1">
        <v>42324</v>
      </c>
      <c r="B4703">
        <v>1</v>
      </c>
      <c r="C4703">
        <v>3</v>
      </c>
      <c r="D4703">
        <v>30</v>
      </c>
    </row>
    <row r="4704" spans="1:4" x14ac:dyDescent="0.25">
      <c r="A4704" s="1">
        <v>42325</v>
      </c>
      <c r="B4704">
        <v>1</v>
      </c>
      <c r="C4704">
        <v>3</v>
      </c>
      <c r="D4704">
        <v>34</v>
      </c>
    </row>
    <row r="4705" spans="1:4" x14ac:dyDescent="0.25">
      <c r="A4705" s="1">
        <v>42326</v>
      </c>
      <c r="B4705">
        <v>1</v>
      </c>
      <c r="C4705">
        <v>3</v>
      </c>
      <c r="D4705">
        <v>36</v>
      </c>
    </row>
    <row r="4706" spans="1:4" x14ac:dyDescent="0.25">
      <c r="A4706" s="1">
        <v>42327</v>
      </c>
      <c r="B4706">
        <v>1</v>
      </c>
      <c r="C4706">
        <v>3</v>
      </c>
      <c r="D4706">
        <v>29</v>
      </c>
    </row>
    <row r="4707" spans="1:4" x14ac:dyDescent="0.25">
      <c r="A4707" s="1">
        <v>42328</v>
      </c>
      <c r="B4707">
        <v>1</v>
      </c>
      <c r="C4707">
        <v>3</v>
      </c>
      <c r="D4707">
        <v>43</v>
      </c>
    </row>
    <row r="4708" spans="1:4" x14ac:dyDescent="0.25">
      <c r="A4708" s="1">
        <v>42329</v>
      </c>
      <c r="B4708">
        <v>1</v>
      </c>
      <c r="C4708">
        <v>3</v>
      </c>
      <c r="D4708">
        <v>36</v>
      </c>
    </row>
    <row r="4709" spans="1:4" x14ac:dyDescent="0.25">
      <c r="A4709" s="1">
        <v>42330</v>
      </c>
      <c r="B4709">
        <v>1</v>
      </c>
      <c r="C4709">
        <v>3</v>
      </c>
      <c r="D4709">
        <v>43</v>
      </c>
    </row>
    <row r="4710" spans="1:4" x14ac:dyDescent="0.25">
      <c r="A4710" s="1">
        <v>42331</v>
      </c>
      <c r="B4710">
        <v>1</v>
      </c>
      <c r="C4710">
        <v>3</v>
      </c>
      <c r="D4710">
        <v>25</v>
      </c>
    </row>
    <row r="4711" spans="1:4" x14ac:dyDescent="0.25">
      <c r="A4711" s="1">
        <v>42332</v>
      </c>
      <c r="B4711">
        <v>1</v>
      </c>
      <c r="C4711">
        <v>3</v>
      </c>
      <c r="D4711">
        <v>27</v>
      </c>
    </row>
    <row r="4712" spans="1:4" x14ac:dyDescent="0.25">
      <c r="A4712" s="1">
        <v>42333</v>
      </c>
      <c r="B4712">
        <v>1</v>
      </c>
      <c r="C4712">
        <v>3</v>
      </c>
      <c r="D4712">
        <v>32</v>
      </c>
    </row>
    <row r="4713" spans="1:4" x14ac:dyDescent="0.25">
      <c r="A4713" s="1">
        <v>42334</v>
      </c>
      <c r="B4713">
        <v>1</v>
      </c>
      <c r="C4713">
        <v>3</v>
      </c>
      <c r="D4713">
        <v>38</v>
      </c>
    </row>
    <row r="4714" spans="1:4" x14ac:dyDescent="0.25">
      <c r="A4714" s="1">
        <v>42335</v>
      </c>
      <c r="B4714">
        <v>1</v>
      </c>
      <c r="C4714">
        <v>3</v>
      </c>
      <c r="D4714">
        <v>32</v>
      </c>
    </row>
    <row r="4715" spans="1:4" x14ac:dyDescent="0.25">
      <c r="A4715" s="1">
        <v>42336</v>
      </c>
      <c r="B4715">
        <v>1</v>
      </c>
      <c r="C4715">
        <v>3</v>
      </c>
      <c r="D4715">
        <v>41</v>
      </c>
    </row>
    <row r="4716" spans="1:4" x14ac:dyDescent="0.25">
      <c r="A4716" s="1">
        <v>42337</v>
      </c>
      <c r="B4716">
        <v>1</v>
      </c>
      <c r="C4716">
        <v>3</v>
      </c>
      <c r="D4716">
        <v>49</v>
      </c>
    </row>
    <row r="4717" spans="1:4" x14ac:dyDescent="0.25">
      <c r="A4717" s="1">
        <v>42338</v>
      </c>
      <c r="B4717">
        <v>1</v>
      </c>
      <c r="C4717">
        <v>3</v>
      </c>
      <c r="D4717">
        <v>32</v>
      </c>
    </row>
    <row r="4718" spans="1:4" x14ac:dyDescent="0.25">
      <c r="A4718" s="1">
        <v>42339</v>
      </c>
      <c r="B4718">
        <v>1</v>
      </c>
      <c r="C4718">
        <v>3</v>
      </c>
      <c r="D4718">
        <v>15</v>
      </c>
    </row>
    <row r="4719" spans="1:4" x14ac:dyDescent="0.25">
      <c r="A4719" s="1">
        <v>42340</v>
      </c>
      <c r="B4719">
        <v>1</v>
      </c>
      <c r="C4719">
        <v>3</v>
      </c>
      <c r="D4719">
        <v>22</v>
      </c>
    </row>
    <row r="4720" spans="1:4" x14ac:dyDescent="0.25">
      <c r="A4720" s="1">
        <v>42341</v>
      </c>
      <c r="B4720">
        <v>1</v>
      </c>
      <c r="C4720">
        <v>3</v>
      </c>
      <c r="D4720">
        <v>12</v>
      </c>
    </row>
    <row r="4721" spans="1:4" x14ac:dyDescent="0.25">
      <c r="A4721" s="1">
        <v>42342</v>
      </c>
      <c r="B4721">
        <v>1</v>
      </c>
      <c r="C4721">
        <v>3</v>
      </c>
      <c r="D4721">
        <v>23</v>
      </c>
    </row>
    <row r="4722" spans="1:4" x14ac:dyDescent="0.25">
      <c r="A4722" s="1">
        <v>42343</v>
      </c>
      <c r="B4722">
        <v>1</v>
      </c>
      <c r="C4722">
        <v>3</v>
      </c>
      <c r="D4722">
        <v>33</v>
      </c>
    </row>
    <row r="4723" spans="1:4" x14ac:dyDescent="0.25">
      <c r="A4723" s="1">
        <v>42344</v>
      </c>
      <c r="B4723">
        <v>1</v>
      </c>
      <c r="C4723">
        <v>3</v>
      </c>
      <c r="D4723">
        <v>40</v>
      </c>
    </row>
    <row r="4724" spans="1:4" x14ac:dyDescent="0.25">
      <c r="A4724" s="1">
        <v>42345</v>
      </c>
      <c r="B4724">
        <v>1</v>
      </c>
      <c r="C4724">
        <v>3</v>
      </c>
      <c r="D4724">
        <v>20</v>
      </c>
    </row>
    <row r="4725" spans="1:4" x14ac:dyDescent="0.25">
      <c r="A4725" s="1">
        <v>42346</v>
      </c>
      <c r="B4725">
        <v>1</v>
      </c>
      <c r="C4725">
        <v>3</v>
      </c>
      <c r="D4725">
        <v>24</v>
      </c>
    </row>
    <row r="4726" spans="1:4" x14ac:dyDescent="0.25">
      <c r="A4726" s="1">
        <v>42347</v>
      </c>
      <c r="B4726">
        <v>1</v>
      </c>
      <c r="C4726">
        <v>3</v>
      </c>
      <c r="D4726">
        <v>19</v>
      </c>
    </row>
    <row r="4727" spans="1:4" x14ac:dyDescent="0.25">
      <c r="A4727" s="1">
        <v>42348</v>
      </c>
      <c r="B4727">
        <v>1</v>
      </c>
      <c r="C4727">
        <v>3</v>
      </c>
      <c r="D4727">
        <v>30</v>
      </c>
    </row>
    <row r="4728" spans="1:4" x14ac:dyDescent="0.25">
      <c r="A4728" s="1">
        <v>42349</v>
      </c>
      <c r="B4728">
        <v>1</v>
      </c>
      <c r="C4728">
        <v>3</v>
      </c>
      <c r="D4728">
        <v>25</v>
      </c>
    </row>
    <row r="4729" spans="1:4" x14ac:dyDescent="0.25">
      <c r="A4729" s="1">
        <v>42350</v>
      </c>
      <c r="B4729">
        <v>1</v>
      </c>
      <c r="C4729">
        <v>3</v>
      </c>
      <c r="D4729">
        <v>34</v>
      </c>
    </row>
    <row r="4730" spans="1:4" x14ac:dyDescent="0.25">
      <c r="A4730" s="1">
        <v>42351</v>
      </c>
      <c r="B4730">
        <v>1</v>
      </c>
      <c r="C4730">
        <v>3</v>
      </c>
      <c r="D4730">
        <v>39</v>
      </c>
    </row>
    <row r="4731" spans="1:4" x14ac:dyDescent="0.25">
      <c r="A4731" s="1">
        <v>42352</v>
      </c>
      <c r="B4731">
        <v>1</v>
      </c>
      <c r="C4731">
        <v>3</v>
      </c>
      <c r="D4731">
        <v>22</v>
      </c>
    </row>
    <row r="4732" spans="1:4" x14ac:dyDescent="0.25">
      <c r="A4732" s="1">
        <v>42353</v>
      </c>
      <c r="B4732">
        <v>1</v>
      </c>
      <c r="C4732">
        <v>3</v>
      </c>
      <c r="D4732">
        <v>24</v>
      </c>
    </row>
    <row r="4733" spans="1:4" x14ac:dyDescent="0.25">
      <c r="A4733" s="1">
        <v>42354</v>
      </c>
      <c r="B4733">
        <v>1</v>
      </c>
      <c r="C4733">
        <v>3</v>
      </c>
      <c r="D4733">
        <v>26</v>
      </c>
    </row>
    <row r="4734" spans="1:4" x14ac:dyDescent="0.25">
      <c r="A4734" s="1">
        <v>42355</v>
      </c>
      <c r="B4734">
        <v>1</v>
      </c>
      <c r="C4734">
        <v>3</v>
      </c>
      <c r="D4734">
        <v>23</v>
      </c>
    </row>
    <row r="4735" spans="1:4" x14ac:dyDescent="0.25">
      <c r="A4735" s="1">
        <v>42356</v>
      </c>
      <c r="B4735">
        <v>1</v>
      </c>
      <c r="C4735">
        <v>3</v>
      </c>
      <c r="D4735">
        <v>36</v>
      </c>
    </row>
    <row r="4736" spans="1:4" x14ac:dyDescent="0.25">
      <c r="A4736" s="1">
        <v>42357</v>
      </c>
      <c r="B4736">
        <v>1</v>
      </c>
      <c r="C4736">
        <v>3</v>
      </c>
      <c r="D4736">
        <v>24</v>
      </c>
    </row>
    <row r="4737" spans="1:4" x14ac:dyDescent="0.25">
      <c r="A4737" s="1">
        <v>42358</v>
      </c>
      <c r="B4737">
        <v>1</v>
      </c>
      <c r="C4737">
        <v>3</v>
      </c>
      <c r="D4737">
        <v>22</v>
      </c>
    </row>
    <row r="4738" spans="1:4" x14ac:dyDescent="0.25">
      <c r="A4738" s="1">
        <v>42359</v>
      </c>
      <c r="B4738">
        <v>1</v>
      </c>
      <c r="C4738">
        <v>3</v>
      </c>
      <c r="D4738">
        <v>18</v>
      </c>
    </row>
    <row r="4739" spans="1:4" x14ac:dyDescent="0.25">
      <c r="A4739" s="1">
        <v>42360</v>
      </c>
      <c r="B4739">
        <v>1</v>
      </c>
      <c r="C4739">
        <v>3</v>
      </c>
      <c r="D4739">
        <v>29</v>
      </c>
    </row>
    <row r="4740" spans="1:4" x14ac:dyDescent="0.25">
      <c r="A4740" s="1">
        <v>42361</v>
      </c>
      <c r="B4740">
        <v>1</v>
      </c>
      <c r="C4740">
        <v>3</v>
      </c>
      <c r="D4740">
        <v>22</v>
      </c>
    </row>
    <row r="4741" spans="1:4" x14ac:dyDescent="0.25">
      <c r="A4741" s="1">
        <v>42362</v>
      </c>
      <c r="B4741">
        <v>1</v>
      </c>
      <c r="C4741">
        <v>3</v>
      </c>
      <c r="D4741">
        <v>32</v>
      </c>
    </row>
    <row r="4742" spans="1:4" x14ac:dyDescent="0.25">
      <c r="A4742" s="1">
        <v>42363</v>
      </c>
      <c r="B4742">
        <v>1</v>
      </c>
      <c r="C4742">
        <v>3</v>
      </c>
      <c r="D4742">
        <v>20</v>
      </c>
    </row>
    <row r="4743" spans="1:4" x14ac:dyDescent="0.25">
      <c r="A4743" s="1">
        <v>42364</v>
      </c>
      <c r="B4743">
        <v>1</v>
      </c>
      <c r="C4743">
        <v>3</v>
      </c>
      <c r="D4743">
        <v>23</v>
      </c>
    </row>
    <row r="4744" spans="1:4" x14ac:dyDescent="0.25">
      <c r="A4744" s="1">
        <v>42365</v>
      </c>
      <c r="B4744">
        <v>1</v>
      </c>
      <c r="C4744">
        <v>3</v>
      </c>
      <c r="D4744">
        <v>19</v>
      </c>
    </row>
    <row r="4745" spans="1:4" x14ac:dyDescent="0.25">
      <c r="A4745" s="1">
        <v>42366</v>
      </c>
      <c r="B4745">
        <v>1</v>
      </c>
      <c r="C4745">
        <v>3</v>
      </c>
      <c r="D4745">
        <v>8</v>
      </c>
    </row>
    <row r="4746" spans="1:4" x14ac:dyDescent="0.25">
      <c r="A4746" s="1">
        <v>42367</v>
      </c>
      <c r="B4746">
        <v>1</v>
      </c>
      <c r="C4746">
        <v>3</v>
      </c>
      <c r="D4746">
        <v>28</v>
      </c>
    </row>
    <row r="4747" spans="1:4" x14ac:dyDescent="0.25">
      <c r="A4747" s="1">
        <v>42368</v>
      </c>
      <c r="B4747">
        <v>1</v>
      </c>
      <c r="C4747">
        <v>3</v>
      </c>
      <c r="D4747">
        <v>21</v>
      </c>
    </row>
    <row r="4748" spans="1:4" x14ac:dyDescent="0.25">
      <c r="A4748" s="1">
        <v>42369</v>
      </c>
      <c r="B4748">
        <v>1</v>
      </c>
      <c r="C4748">
        <v>3</v>
      </c>
      <c r="D4748">
        <v>17</v>
      </c>
    </row>
    <row r="4749" spans="1:4" x14ac:dyDescent="0.25">
      <c r="A4749" s="1">
        <v>42370</v>
      </c>
      <c r="B4749">
        <v>1</v>
      </c>
      <c r="C4749">
        <v>3</v>
      </c>
      <c r="D4749">
        <v>23</v>
      </c>
    </row>
    <row r="4750" spans="1:4" x14ac:dyDescent="0.25">
      <c r="A4750" s="1">
        <v>42371</v>
      </c>
      <c r="B4750">
        <v>1</v>
      </c>
      <c r="C4750">
        <v>3</v>
      </c>
      <c r="D4750">
        <v>22</v>
      </c>
    </row>
    <row r="4751" spans="1:4" x14ac:dyDescent="0.25">
      <c r="A4751" s="1">
        <v>42372</v>
      </c>
      <c r="B4751">
        <v>1</v>
      </c>
      <c r="C4751">
        <v>3</v>
      </c>
      <c r="D4751">
        <v>31</v>
      </c>
    </row>
    <row r="4752" spans="1:4" x14ac:dyDescent="0.25">
      <c r="A4752" s="1">
        <v>42373</v>
      </c>
      <c r="B4752">
        <v>1</v>
      </c>
      <c r="C4752">
        <v>3</v>
      </c>
      <c r="D4752">
        <v>23</v>
      </c>
    </row>
    <row r="4753" spans="1:4" x14ac:dyDescent="0.25">
      <c r="A4753" s="1">
        <v>42374</v>
      </c>
      <c r="B4753">
        <v>1</v>
      </c>
      <c r="C4753">
        <v>3</v>
      </c>
      <c r="D4753">
        <v>18</v>
      </c>
    </row>
    <row r="4754" spans="1:4" x14ac:dyDescent="0.25">
      <c r="A4754" s="1">
        <v>42375</v>
      </c>
      <c r="B4754">
        <v>1</v>
      </c>
      <c r="C4754">
        <v>3</v>
      </c>
      <c r="D4754">
        <v>20</v>
      </c>
    </row>
    <row r="4755" spans="1:4" x14ac:dyDescent="0.25">
      <c r="A4755" s="1">
        <v>42376</v>
      </c>
      <c r="B4755">
        <v>1</v>
      </c>
      <c r="C4755">
        <v>3</v>
      </c>
      <c r="D4755">
        <v>24</v>
      </c>
    </row>
    <row r="4756" spans="1:4" x14ac:dyDescent="0.25">
      <c r="A4756" s="1">
        <v>42377</v>
      </c>
      <c r="B4756">
        <v>1</v>
      </c>
      <c r="C4756">
        <v>3</v>
      </c>
      <c r="D4756">
        <v>40</v>
      </c>
    </row>
    <row r="4757" spans="1:4" x14ac:dyDescent="0.25">
      <c r="A4757" s="1">
        <v>42378</v>
      </c>
      <c r="B4757">
        <v>1</v>
      </c>
      <c r="C4757">
        <v>3</v>
      </c>
      <c r="D4757">
        <v>31</v>
      </c>
    </row>
    <row r="4758" spans="1:4" x14ac:dyDescent="0.25">
      <c r="A4758" s="1">
        <v>42379</v>
      </c>
      <c r="B4758">
        <v>1</v>
      </c>
      <c r="C4758">
        <v>3</v>
      </c>
      <c r="D4758">
        <v>35</v>
      </c>
    </row>
    <row r="4759" spans="1:4" x14ac:dyDescent="0.25">
      <c r="A4759" s="1">
        <v>42380</v>
      </c>
      <c r="B4759">
        <v>1</v>
      </c>
      <c r="C4759">
        <v>3</v>
      </c>
      <c r="D4759">
        <v>15</v>
      </c>
    </row>
    <row r="4760" spans="1:4" x14ac:dyDescent="0.25">
      <c r="A4760" s="1">
        <v>42381</v>
      </c>
      <c r="B4760">
        <v>1</v>
      </c>
      <c r="C4760">
        <v>3</v>
      </c>
      <c r="D4760">
        <v>34</v>
      </c>
    </row>
    <row r="4761" spans="1:4" x14ac:dyDescent="0.25">
      <c r="A4761" s="1">
        <v>42382</v>
      </c>
      <c r="B4761">
        <v>1</v>
      </c>
      <c r="C4761">
        <v>3</v>
      </c>
      <c r="D4761">
        <v>24</v>
      </c>
    </row>
    <row r="4762" spans="1:4" x14ac:dyDescent="0.25">
      <c r="A4762" s="1">
        <v>42383</v>
      </c>
      <c r="B4762">
        <v>1</v>
      </c>
      <c r="C4762">
        <v>3</v>
      </c>
      <c r="D4762">
        <v>27</v>
      </c>
    </row>
    <row r="4763" spans="1:4" x14ac:dyDescent="0.25">
      <c r="A4763" s="1">
        <v>42384</v>
      </c>
      <c r="B4763">
        <v>1</v>
      </c>
      <c r="C4763">
        <v>3</v>
      </c>
      <c r="D4763">
        <v>27</v>
      </c>
    </row>
    <row r="4764" spans="1:4" x14ac:dyDescent="0.25">
      <c r="A4764" s="1">
        <v>42385</v>
      </c>
      <c r="B4764">
        <v>1</v>
      </c>
      <c r="C4764">
        <v>3</v>
      </c>
      <c r="D4764">
        <v>27</v>
      </c>
    </row>
    <row r="4765" spans="1:4" x14ac:dyDescent="0.25">
      <c r="A4765" s="1">
        <v>42386</v>
      </c>
      <c r="B4765">
        <v>1</v>
      </c>
      <c r="C4765">
        <v>3</v>
      </c>
      <c r="D4765">
        <v>31</v>
      </c>
    </row>
    <row r="4766" spans="1:4" x14ac:dyDescent="0.25">
      <c r="A4766" s="1">
        <v>42387</v>
      </c>
      <c r="B4766">
        <v>1</v>
      </c>
      <c r="C4766">
        <v>3</v>
      </c>
      <c r="D4766">
        <v>22</v>
      </c>
    </row>
    <row r="4767" spans="1:4" x14ac:dyDescent="0.25">
      <c r="A4767" s="1">
        <v>42388</v>
      </c>
      <c r="B4767">
        <v>1</v>
      </c>
      <c r="C4767">
        <v>3</v>
      </c>
      <c r="D4767">
        <v>21</v>
      </c>
    </row>
    <row r="4768" spans="1:4" x14ac:dyDescent="0.25">
      <c r="A4768" s="1">
        <v>42389</v>
      </c>
      <c r="B4768">
        <v>1</v>
      </c>
      <c r="C4768">
        <v>3</v>
      </c>
      <c r="D4768">
        <v>20</v>
      </c>
    </row>
    <row r="4769" spans="1:4" x14ac:dyDescent="0.25">
      <c r="A4769" s="1">
        <v>42390</v>
      </c>
      <c r="B4769">
        <v>1</v>
      </c>
      <c r="C4769">
        <v>3</v>
      </c>
      <c r="D4769">
        <v>22</v>
      </c>
    </row>
    <row r="4770" spans="1:4" x14ac:dyDescent="0.25">
      <c r="A4770" s="1">
        <v>42391</v>
      </c>
      <c r="B4770">
        <v>1</v>
      </c>
      <c r="C4770">
        <v>3</v>
      </c>
      <c r="D4770">
        <v>29</v>
      </c>
    </row>
    <row r="4771" spans="1:4" x14ac:dyDescent="0.25">
      <c r="A4771" s="1">
        <v>42392</v>
      </c>
      <c r="B4771">
        <v>1</v>
      </c>
      <c r="C4771">
        <v>3</v>
      </c>
      <c r="D4771">
        <v>32</v>
      </c>
    </row>
    <row r="4772" spans="1:4" x14ac:dyDescent="0.25">
      <c r="A4772" s="1">
        <v>42393</v>
      </c>
      <c r="B4772">
        <v>1</v>
      </c>
      <c r="C4772">
        <v>3</v>
      </c>
      <c r="D4772">
        <v>31</v>
      </c>
    </row>
    <row r="4773" spans="1:4" x14ac:dyDescent="0.25">
      <c r="A4773" s="1">
        <v>42394</v>
      </c>
      <c r="B4773">
        <v>1</v>
      </c>
      <c r="C4773">
        <v>3</v>
      </c>
      <c r="D4773">
        <v>21</v>
      </c>
    </row>
    <row r="4774" spans="1:4" x14ac:dyDescent="0.25">
      <c r="A4774" s="1">
        <v>42395</v>
      </c>
      <c r="B4774">
        <v>1</v>
      </c>
      <c r="C4774">
        <v>3</v>
      </c>
      <c r="D4774">
        <v>18</v>
      </c>
    </row>
    <row r="4775" spans="1:4" x14ac:dyDescent="0.25">
      <c r="A4775" s="1">
        <v>42396</v>
      </c>
      <c r="B4775">
        <v>1</v>
      </c>
      <c r="C4775">
        <v>3</v>
      </c>
      <c r="D4775">
        <v>21</v>
      </c>
    </row>
    <row r="4776" spans="1:4" x14ac:dyDescent="0.25">
      <c r="A4776" s="1">
        <v>42397</v>
      </c>
      <c r="B4776">
        <v>1</v>
      </c>
      <c r="C4776">
        <v>3</v>
      </c>
      <c r="D4776">
        <v>22</v>
      </c>
    </row>
    <row r="4777" spans="1:4" x14ac:dyDescent="0.25">
      <c r="A4777" s="1">
        <v>42398</v>
      </c>
      <c r="B4777">
        <v>1</v>
      </c>
      <c r="C4777">
        <v>3</v>
      </c>
      <c r="D4777">
        <v>26</v>
      </c>
    </row>
    <row r="4778" spans="1:4" x14ac:dyDescent="0.25">
      <c r="A4778" s="1">
        <v>42399</v>
      </c>
      <c r="B4778">
        <v>1</v>
      </c>
      <c r="C4778">
        <v>3</v>
      </c>
      <c r="D4778">
        <v>27</v>
      </c>
    </row>
    <row r="4779" spans="1:4" x14ac:dyDescent="0.25">
      <c r="A4779" s="1">
        <v>42400</v>
      </c>
      <c r="B4779">
        <v>1</v>
      </c>
      <c r="C4779">
        <v>3</v>
      </c>
      <c r="D4779">
        <v>31</v>
      </c>
    </row>
    <row r="4780" spans="1:4" x14ac:dyDescent="0.25">
      <c r="A4780" s="1">
        <v>42401</v>
      </c>
      <c r="B4780">
        <v>1</v>
      </c>
      <c r="C4780">
        <v>3</v>
      </c>
      <c r="D4780">
        <v>14</v>
      </c>
    </row>
    <row r="4781" spans="1:4" x14ac:dyDescent="0.25">
      <c r="A4781" s="1">
        <v>42402</v>
      </c>
      <c r="B4781">
        <v>1</v>
      </c>
      <c r="C4781">
        <v>3</v>
      </c>
      <c r="D4781">
        <v>28</v>
      </c>
    </row>
    <row r="4782" spans="1:4" x14ac:dyDescent="0.25">
      <c r="A4782" s="1">
        <v>42403</v>
      </c>
      <c r="B4782">
        <v>1</v>
      </c>
      <c r="C4782">
        <v>3</v>
      </c>
      <c r="D4782">
        <v>26</v>
      </c>
    </row>
    <row r="4783" spans="1:4" x14ac:dyDescent="0.25">
      <c r="A4783" s="1">
        <v>42404</v>
      </c>
      <c r="B4783">
        <v>1</v>
      </c>
      <c r="C4783">
        <v>3</v>
      </c>
      <c r="D4783">
        <v>27</v>
      </c>
    </row>
    <row r="4784" spans="1:4" x14ac:dyDescent="0.25">
      <c r="A4784" s="1">
        <v>42405</v>
      </c>
      <c r="B4784">
        <v>1</v>
      </c>
      <c r="C4784">
        <v>3</v>
      </c>
      <c r="D4784">
        <v>32</v>
      </c>
    </row>
    <row r="4785" spans="1:4" x14ac:dyDescent="0.25">
      <c r="A4785" s="1">
        <v>42406</v>
      </c>
      <c r="B4785">
        <v>1</v>
      </c>
      <c r="C4785">
        <v>3</v>
      </c>
      <c r="D4785">
        <v>34</v>
      </c>
    </row>
    <row r="4786" spans="1:4" x14ac:dyDescent="0.25">
      <c r="A4786" s="1">
        <v>42407</v>
      </c>
      <c r="B4786">
        <v>1</v>
      </c>
      <c r="C4786">
        <v>3</v>
      </c>
      <c r="D4786">
        <v>33</v>
      </c>
    </row>
    <row r="4787" spans="1:4" x14ac:dyDescent="0.25">
      <c r="A4787" s="1">
        <v>42408</v>
      </c>
      <c r="B4787">
        <v>1</v>
      </c>
      <c r="C4787">
        <v>3</v>
      </c>
      <c r="D4787">
        <v>22</v>
      </c>
    </row>
    <row r="4788" spans="1:4" x14ac:dyDescent="0.25">
      <c r="A4788" s="1">
        <v>42409</v>
      </c>
      <c r="B4788">
        <v>1</v>
      </c>
      <c r="C4788">
        <v>3</v>
      </c>
      <c r="D4788">
        <v>35</v>
      </c>
    </row>
    <row r="4789" spans="1:4" x14ac:dyDescent="0.25">
      <c r="A4789" s="1">
        <v>42410</v>
      </c>
      <c r="B4789">
        <v>1</v>
      </c>
      <c r="C4789">
        <v>3</v>
      </c>
      <c r="D4789">
        <v>33</v>
      </c>
    </row>
    <row r="4790" spans="1:4" x14ac:dyDescent="0.25">
      <c r="A4790" s="1">
        <v>42411</v>
      </c>
      <c r="B4790">
        <v>1</v>
      </c>
      <c r="C4790">
        <v>3</v>
      </c>
      <c r="D4790">
        <v>27</v>
      </c>
    </row>
    <row r="4791" spans="1:4" x14ac:dyDescent="0.25">
      <c r="A4791" s="1">
        <v>42412</v>
      </c>
      <c r="B4791">
        <v>1</v>
      </c>
      <c r="C4791">
        <v>3</v>
      </c>
      <c r="D4791">
        <v>24</v>
      </c>
    </row>
    <row r="4792" spans="1:4" x14ac:dyDescent="0.25">
      <c r="A4792" s="1">
        <v>42413</v>
      </c>
      <c r="B4792">
        <v>1</v>
      </c>
      <c r="C4792">
        <v>3</v>
      </c>
      <c r="D4792">
        <v>33</v>
      </c>
    </row>
    <row r="4793" spans="1:4" x14ac:dyDescent="0.25">
      <c r="A4793" s="1">
        <v>42414</v>
      </c>
      <c r="B4793">
        <v>1</v>
      </c>
      <c r="C4793">
        <v>3</v>
      </c>
      <c r="D4793">
        <v>30</v>
      </c>
    </row>
    <row r="4794" spans="1:4" x14ac:dyDescent="0.25">
      <c r="A4794" s="1">
        <v>42415</v>
      </c>
      <c r="B4794">
        <v>1</v>
      </c>
      <c r="C4794">
        <v>3</v>
      </c>
      <c r="D4794">
        <v>18</v>
      </c>
    </row>
    <row r="4795" spans="1:4" x14ac:dyDescent="0.25">
      <c r="A4795" s="1">
        <v>42416</v>
      </c>
      <c r="B4795">
        <v>1</v>
      </c>
      <c r="C4795">
        <v>3</v>
      </c>
      <c r="D4795">
        <v>30</v>
      </c>
    </row>
    <row r="4796" spans="1:4" x14ac:dyDescent="0.25">
      <c r="A4796" s="1">
        <v>42417</v>
      </c>
      <c r="B4796">
        <v>1</v>
      </c>
      <c r="C4796">
        <v>3</v>
      </c>
      <c r="D4796">
        <v>22</v>
      </c>
    </row>
    <row r="4797" spans="1:4" x14ac:dyDescent="0.25">
      <c r="A4797" s="1">
        <v>42418</v>
      </c>
      <c r="B4797">
        <v>1</v>
      </c>
      <c r="C4797">
        <v>3</v>
      </c>
      <c r="D4797">
        <v>25</v>
      </c>
    </row>
    <row r="4798" spans="1:4" x14ac:dyDescent="0.25">
      <c r="A4798" s="1">
        <v>42419</v>
      </c>
      <c r="B4798">
        <v>1</v>
      </c>
      <c r="C4798">
        <v>3</v>
      </c>
      <c r="D4798">
        <v>27</v>
      </c>
    </row>
    <row r="4799" spans="1:4" x14ac:dyDescent="0.25">
      <c r="A4799" s="1">
        <v>42420</v>
      </c>
      <c r="B4799">
        <v>1</v>
      </c>
      <c r="C4799">
        <v>3</v>
      </c>
      <c r="D4799">
        <v>27</v>
      </c>
    </row>
    <row r="4800" spans="1:4" x14ac:dyDescent="0.25">
      <c r="A4800" s="1">
        <v>42421</v>
      </c>
      <c r="B4800">
        <v>1</v>
      </c>
      <c r="C4800">
        <v>3</v>
      </c>
      <c r="D4800">
        <v>37</v>
      </c>
    </row>
    <row r="4801" spans="1:4" x14ac:dyDescent="0.25">
      <c r="A4801" s="1">
        <v>42422</v>
      </c>
      <c r="B4801">
        <v>1</v>
      </c>
      <c r="C4801">
        <v>3</v>
      </c>
      <c r="D4801">
        <v>27</v>
      </c>
    </row>
    <row r="4802" spans="1:4" x14ac:dyDescent="0.25">
      <c r="A4802" s="1">
        <v>42423</v>
      </c>
      <c r="B4802">
        <v>1</v>
      </c>
      <c r="C4802">
        <v>3</v>
      </c>
      <c r="D4802">
        <v>28</v>
      </c>
    </row>
    <row r="4803" spans="1:4" x14ac:dyDescent="0.25">
      <c r="A4803" s="1">
        <v>42424</v>
      </c>
      <c r="B4803">
        <v>1</v>
      </c>
      <c r="C4803">
        <v>3</v>
      </c>
      <c r="D4803">
        <v>32</v>
      </c>
    </row>
    <row r="4804" spans="1:4" x14ac:dyDescent="0.25">
      <c r="A4804" s="1">
        <v>42425</v>
      </c>
      <c r="B4804">
        <v>1</v>
      </c>
      <c r="C4804">
        <v>3</v>
      </c>
      <c r="D4804">
        <v>20</v>
      </c>
    </row>
    <row r="4805" spans="1:4" x14ac:dyDescent="0.25">
      <c r="A4805" s="1">
        <v>42426</v>
      </c>
      <c r="B4805">
        <v>1</v>
      </c>
      <c r="C4805">
        <v>3</v>
      </c>
      <c r="D4805">
        <v>27</v>
      </c>
    </row>
    <row r="4806" spans="1:4" x14ac:dyDescent="0.25">
      <c r="A4806" s="1">
        <v>42427</v>
      </c>
      <c r="B4806">
        <v>1</v>
      </c>
      <c r="C4806">
        <v>3</v>
      </c>
      <c r="D4806">
        <v>21</v>
      </c>
    </row>
    <row r="4807" spans="1:4" x14ac:dyDescent="0.25">
      <c r="A4807" s="1">
        <v>42428</v>
      </c>
      <c r="B4807">
        <v>1</v>
      </c>
      <c r="C4807">
        <v>3</v>
      </c>
      <c r="D4807">
        <v>32</v>
      </c>
    </row>
    <row r="4808" spans="1:4" x14ac:dyDescent="0.25">
      <c r="A4808" s="1">
        <v>42429</v>
      </c>
      <c r="B4808">
        <v>1</v>
      </c>
      <c r="C4808">
        <v>3</v>
      </c>
      <c r="D4808">
        <v>20</v>
      </c>
    </row>
    <row r="4809" spans="1:4" x14ac:dyDescent="0.25">
      <c r="A4809" s="1">
        <v>42430</v>
      </c>
      <c r="B4809">
        <v>1</v>
      </c>
      <c r="C4809">
        <v>3</v>
      </c>
      <c r="D4809">
        <v>32</v>
      </c>
    </row>
    <row r="4810" spans="1:4" x14ac:dyDescent="0.25">
      <c r="A4810" s="1">
        <v>42431</v>
      </c>
      <c r="B4810">
        <v>1</v>
      </c>
      <c r="C4810">
        <v>3</v>
      </c>
      <c r="D4810">
        <v>22</v>
      </c>
    </row>
    <row r="4811" spans="1:4" x14ac:dyDescent="0.25">
      <c r="A4811" s="1">
        <v>42432</v>
      </c>
      <c r="B4811">
        <v>1</v>
      </c>
      <c r="C4811">
        <v>3</v>
      </c>
      <c r="D4811">
        <v>40</v>
      </c>
    </row>
    <row r="4812" spans="1:4" x14ac:dyDescent="0.25">
      <c r="A4812" s="1">
        <v>42433</v>
      </c>
      <c r="B4812">
        <v>1</v>
      </c>
      <c r="C4812">
        <v>3</v>
      </c>
      <c r="D4812">
        <v>36</v>
      </c>
    </row>
    <row r="4813" spans="1:4" x14ac:dyDescent="0.25">
      <c r="A4813" s="1">
        <v>42434</v>
      </c>
      <c r="B4813">
        <v>1</v>
      </c>
      <c r="C4813">
        <v>3</v>
      </c>
      <c r="D4813">
        <v>43</v>
      </c>
    </row>
    <row r="4814" spans="1:4" x14ac:dyDescent="0.25">
      <c r="A4814" s="1">
        <v>42435</v>
      </c>
      <c r="B4814">
        <v>1</v>
      </c>
      <c r="C4814">
        <v>3</v>
      </c>
      <c r="D4814">
        <v>35</v>
      </c>
    </row>
    <row r="4815" spans="1:4" x14ac:dyDescent="0.25">
      <c r="A4815" s="1">
        <v>42436</v>
      </c>
      <c r="B4815">
        <v>1</v>
      </c>
      <c r="C4815">
        <v>3</v>
      </c>
      <c r="D4815">
        <v>26</v>
      </c>
    </row>
    <row r="4816" spans="1:4" x14ac:dyDescent="0.25">
      <c r="A4816" s="1">
        <v>42437</v>
      </c>
      <c r="B4816">
        <v>1</v>
      </c>
      <c r="C4816">
        <v>3</v>
      </c>
      <c r="D4816">
        <v>34</v>
      </c>
    </row>
    <row r="4817" spans="1:4" x14ac:dyDescent="0.25">
      <c r="A4817" s="1">
        <v>42438</v>
      </c>
      <c r="B4817">
        <v>1</v>
      </c>
      <c r="C4817">
        <v>3</v>
      </c>
      <c r="D4817">
        <v>38</v>
      </c>
    </row>
    <row r="4818" spans="1:4" x14ac:dyDescent="0.25">
      <c r="A4818" s="1">
        <v>42439</v>
      </c>
      <c r="B4818">
        <v>1</v>
      </c>
      <c r="C4818">
        <v>3</v>
      </c>
      <c r="D4818">
        <v>46</v>
      </c>
    </row>
    <row r="4819" spans="1:4" x14ac:dyDescent="0.25">
      <c r="A4819" s="1">
        <v>42440</v>
      </c>
      <c r="B4819">
        <v>1</v>
      </c>
      <c r="C4819">
        <v>3</v>
      </c>
      <c r="D4819">
        <v>26</v>
      </c>
    </row>
    <row r="4820" spans="1:4" x14ac:dyDescent="0.25">
      <c r="A4820" s="1">
        <v>42441</v>
      </c>
      <c r="B4820">
        <v>1</v>
      </c>
      <c r="C4820">
        <v>3</v>
      </c>
      <c r="D4820">
        <v>38</v>
      </c>
    </row>
    <row r="4821" spans="1:4" x14ac:dyDescent="0.25">
      <c r="A4821" s="1">
        <v>42442</v>
      </c>
      <c r="B4821">
        <v>1</v>
      </c>
      <c r="C4821">
        <v>3</v>
      </c>
      <c r="D4821">
        <v>34</v>
      </c>
    </row>
    <row r="4822" spans="1:4" x14ac:dyDescent="0.25">
      <c r="A4822" s="1">
        <v>42443</v>
      </c>
      <c r="B4822">
        <v>1</v>
      </c>
      <c r="C4822">
        <v>3</v>
      </c>
      <c r="D4822">
        <v>18</v>
      </c>
    </row>
    <row r="4823" spans="1:4" x14ac:dyDescent="0.25">
      <c r="A4823" s="1">
        <v>42444</v>
      </c>
      <c r="B4823">
        <v>1</v>
      </c>
      <c r="C4823">
        <v>3</v>
      </c>
      <c r="D4823">
        <v>24</v>
      </c>
    </row>
    <row r="4824" spans="1:4" x14ac:dyDescent="0.25">
      <c r="A4824" s="1">
        <v>42445</v>
      </c>
      <c r="B4824">
        <v>1</v>
      </c>
      <c r="C4824">
        <v>3</v>
      </c>
      <c r="D4824">
        <v>28</v>
      </c>
    </row>
    <row r="4825" spans="1:4" x14ac:dyDescent="0.25">
      <c r="A4825" s="1">
        <v>42446</v>
      </c>
      <c r="B4825">
        <v>1</v>
      </c>
      <c r="C4825">
        <v>3</v>
      </c>
      <c r="D4825">
        <v>24</v>
      </c>
    </row>
    <row r="4826" spans="1:4" x14ac:dyDescent="0.25">
      <c r="A4826" s="1">
        <v>42447</v>
      </c>
      <c r="B4826">
        <v>1</v>
      </c>
      <c r="C4826">
        <v>3</v>
      </c>
      <c r="D4826">
        <v>37</v>
      </c>
    </row>
    <row r="4827" spans="1:4" x14ac:dyDescent="0.25">
      <c r="A4827" s="1">
        <v>42448</v>
      </c>
      <c r="B4827">
        <v>1</v>
      </c>
      <c r="C4827">
        <v>3</v>
      </c>
      <c r="D4827">
        <v>44</v>
      </c>
    </row>
    <row r="4828" spans="1:4" x14ac:dyDescent="0.25">
      <c r="A4828" s="1">
        <v>42449</v>
      </c>
      <c r="B4828">
        <v>1</v>
      </c>
      <c r="C4828">
        <v>3</v>
      </c>
      <c r="D4828">
        <v>39</v>
      </c>
    </row>
    <row r="4829" spans="1:4" x14ac:dyDescent="0.25">
      <c r="A4829" s="1">
        <v>42450</v>
      </c>
      <c r="B4829">
        <v>1</v>
      </c>
      <c r="C4829">
        <v>3</v>
      </c>
      <c r="D4829">
        <v>21</v>
      </c>
    </row>
    <row r="4830" spans="1:4" x14ac:dyDescent="0.25">
      <c r="A4830" s="1">
        <v>42451</v>
      </c>
      <c r="B4830">
        <v>1</v>
      </c>
      <c r="C4830">
        <v>3</v>
      </c>
      <c r="D4830">
        <v>25</v>
      </c>
    </row>
    <row r="4831" spans="1:4" x14ac:dyDescent="0.25">
      <c r="A4831" s="1">
        <v>42452</v>
      </c>
      <c r="B4831">
        <v>1</v>
      </c>
      <c r="C4831">
        <v>3</v>
      </c>
      <c r="D4831">
        <v>36</v>
      </c>
    </row>
    <row r="4832" spans="1:4" x14ac:dyDescent="0.25">
      <c r="A4832" s="1">
        <v>42453</v>
      </c>
      <c r="B4832">
        <v>1</v>
      </c>
      <c r="C4832">
        <v>3</v>
      </c>
      <c r="D4832">
        <v>30</v>
      </c>
    </row>
    <row r="4833" spans="1:4" x14ac:dyDescent="0.25">
      <c r="A4833" s="1">
        <v>42454</v>
      </c>
      <c r="B4833">
        <v>1</v>
      </c>
      <c r="C4833">
        <v>3</v>
      </c>
      <c r="D4833">
        <v>44</v>
      </c>
    </row>
    <row r="4834" spans="1:4" x14ac:dyDescent="0.25">
      <c r="A4834" s="1">
        <v>42455</v>
      </c>
      <c r="B4834">
        <v>1</v>
      </c>
      <c r="C4834">
        <v>3</v>
      </c>
      <c r="D4834">
        <v>37</v>
      </c>
    </row>
    <row r="4835" spans="1:4" x14ac:dyDescent="0.25">
      <c r="A4835" s="1">
        <v>42456</v>
      </c>
      <c r="B4835">
        <v>1</v>
      </c>
      <c r="C4835">
        <v>3</v>
      </c>
      <c r="D4835">
        <v>37</v>
      </c>
    </row>
    <row r="4836" spans="1:4" x14ac:dyDescent="0.25">
      <c r="A4836" s="1">
        <v>42457</v>
      </c>
      <c r="B4836">
        <v>1</v>
      </c>
      <c r="C4836">
        <v>3</v>
      </c>
      <c r="D4836">
        <v>27</v>
      </c>
    </row>
    <row r="4837" spans="1:4" x14ac:dyDescent="0.25">
      <c r="A4837" s="1">
        <v>42458</v>
      </c>
      <c r="B4837">
        <v>1</v>
      </c>
      <c r="C4837">
        <v>3</v>
      </c>
      <c r="D4837">
        <v>30</v>
      </c>
    </row>
    <row r="4838" spans="1:4" x14ac:dyDescent="0.25">
      <c r="A4838" s="1">
        <v>42459</v>
      </c>
      <c r="B4838">
        <v>1</v>
      </c>
      <c r="C4838">
        <v>3</v>
      </c>
      <c r="D4838">
        <v>21</v>
      </c>
    </row>
    <row r="4839" spans="1:4" x14ac:dyDescent="0.25">
      <c r="A4839" s="1">
        <v>42460</v>
      </c>
      <c r="B4839">
        <v>1</v>
      </c>
      <c r="C4839">
        <v>3</v>
      </c>
      <c r="D4839">
        <v>29</v>
      </c>
    </row>
    <row r="4840" spans="1:4" x14ac:dyDescent="0.25">
      <c r="A4840" s="1">
        <v>42461</v>
      </c>
      <c r="B4840">
        <v>1</v>
      </c>
      <c r="C4840">
        <v>3</v>
      </c>
      <c r="D4840">
        <v>40</v>
      </c>
    </row>
    <row r="4841" spans="1:4" x14ac:dyDescent="0.25">
      <c r="A4841" s="1">
        <v>42462</v>
      </c>
      <c r="B4841">
        <v>1</v>
      </c>
      <c r="C4841">
        <v>3</v>
      </c>
      <c r="D4841">
        <v>28</v>
      </c>
    </row>
    <row r="4842" spans="1:4" x14ac:dyDescent="0.25">
      <c r="A4842" s="1">
        <v>42463</v>
      </c>
      <c r="B4842">
        <v>1</v>
      </c>
      <c r="C4842">
        <v>3</v>
      </c>
      <c r="D4842">
        <v>43</v>
      </c>
    </row>
    <row r="4843" spans="1:4" x14ac:dyDescent="0.25">
      <c r="A4843" s="1">
        <v>42464</v>
      </c>
      <c r="B4843">
        <v>1</v>
      </c>
      <c r="C4843">
        <v>3</v>
      </c>
      <c r="D4843">
        <v>36</v>
      </c>
    </row>
    <row r="4844" spans="1:4" x14ac:dyDescent="0.25">
      <c r="A4844" s="1">
        <v>42465</v>
      </c>
      <c r="B4844">
        <v>1</v>
      </c>
      <c r="C4844">
        <v>3</v>
      </c>
      <c r="D4844">
        <v>32</v>
      </c>
    </row>
    <row r="4845" spans="1:4" x14ac:dyDescent="0.25">
      <c r="A4845" s="1">
        <v>42466</v>
      </c>
      <c r="B4845">
        <v>1</v>
      </c>
      <c r="C4845">
        <v>3</v>
      </c>
      <c r="D4845">
        <v>35</v>
      </c>
    </row>
    <row r="4846" spans="1:4" x14ac:dyDescent="0.25">
      <c r="A4846" s="1">
        <v>42467</v>
      </c>
      <c r="B4846">
        <v>1</v>
      </c>
      <c r="C4846">
        <v>3</v>
      </c>
      <c r="D4846">
        <v>40</v>
      </c>
    </row>
    <row r="4847" spans="1:4" x14ac:dyDescent="0.25">
      <c r="A4847" s="1">
        <v>42468</v>
      </c>
      <c r="B4847">
        <v>1</v>
      </c>
      <c r="C4847">
        <v>3</v>
      </c>
      <c r="D4847">
        <v>50</v>
      </c>
    </row>
    <row r="4848" spans="1:4" x14ac:dyDescent="0.25">
      <c r="A4848" s="1">
        <v>42469</v>
      </c>
      <c r="B4848">
        <v>1</v>
      </c>
      <c r="C4848">
        <v>3</v>
      </c>
      <c r="D4848">
        <v>36</v>
      </c>
    </row>
    <row r="4849" spans="1:4" x14ac:dyDescent="0.25">
      <c r="A4849" s="1">
        <v>42470</v>
      </c>
      <c r="B4849">
        <v>1</v>
      </c>
      <c r="C4849">
        <v>3</v>
      </c>
      <c r="D4849">
        <v>67</v>
      </c>
    </row>
    <row r="4850" spans="1:4" x14ac:dyDescent="0.25">
      <c r="A4850" s="1">
        <v>42471</v>
      </c>
      <c r="B4850">
        <v>1</v>
      </c>
      <c r="C4850">
        <v>3</v>
      </c>
      <c r="D4850">
        <v>33</v>
      </c>
    </row>
    <row r="4851" spans="1:4" x14ac:dyDescent="0.25">
      <c r="A4851" s="1">
        <v>42472</v>
      </c>
      <c r="B4851">
        <v>1</v>
      </c>
      <c r="C4851">
        <v>3</v>
      </c>
      <c r="D4851">
        <v>29</v>
      </c>
    </row>
    <row r="4852" spans="1:4" x14ac:dyDescent="0.25">
      <c r="A4852" s="1">
        <v>42473</v>
      </c>
      <c r="B4852">
        <v>1</v>
      </c>
      <c r="C4852">
        <v>3</v>
      </c>
      <c r="D4852">
        <v>28</v>
      </c>
    </row>
    <row r="4853" spans="1:4" x14ac:dyDescent="0.25">
      <c r="A4853" s="1">
        <v>42474</v>
      </c>
      <c r="B4853">
        <v>1</v>
      </c>
      <c r="C4853">
        <v>3</v>
      </c>
      <c r="D4853">
        <v>38</v>
      </c>
    </row>
    <row r="4854" spans="1:4" x14ac:dyDescent="0.25">
      <c r="A4854" s="1">
        <v>42475</v>
      </c>
      <c r="B4854">
        <v>1</v>
      </c>
      <c r="C4854">
        <v>3</v>
      </c>
      <c r="D4854">
        <v>34</v>
      </c>
    </row>
    <row r="4855" spans="1:4" x14ac:dyDescent="0.25">
      <c r="A4855" s="1">
        <v>42476</v>
      </c>
      <c r="B4855">
        <v>1</v>
      </c>
      <c r="C4855">
        <v>3</v>
      </c>
      <c r="D4855">
        <v>48</v>
      </c>
    </row>
    <row r="4856" spans="1:4" x14ac:dyDescent="0.25">
      <c r="A4856" s="1">
        <v>42477</v>
      </c>
      <c r="B4856">
        <v>1</v>
      </c>
      <c r="C4856">
        <v>3</v>
      </c>
      <c r="D4856">
        <v>39</v>
      </c>
    </row>
    <row r="4857" spans="1:4" x14ac:dyDescent="0.25">
      <c r="A4857" s="1">
        <v>42478</v>
      </c>
      <c r="B4857">
        <v>1</v>
      </c>
      <c r="C4857">
        <v>3</v>
      </c>
      <c r="D4857">
        <v>26</v>
      </c>
    </row>
    <row r="4858" spans="1:4" x14ac:dyDescent="0.25">
      <c r="A4858" s="1">
        <v>42479</v>
      </c>
      <c r="B4858">
        <v>1</v>
      </c>
      <c r="C4858">
        <v>3</v>
      </c>
      <c r="D4858">
        <v>23</v>
      </c>
    </row>
    <row r="4859" spans="1:4" x14ac:dyDescent="0.25">
      <c r="A4859" s="1">
        <v>42480</v>
      </c>
      <c r="B4859">
        <v>1</v>
      </c>
      <c r="C4859">
        <v>3</v>
      </c>
      <c r="D4859">
        <v>43</v>
      </c>
    </row>
    <row r="4860" spans="1:4" x14ac:dyDescent="0.25">
      <c r="A4860" s="1">
        <v>42481</v>
      </c>
      <c r="B4860">
        <v>1</v>
      </c>
      <c r="C4860">
        <v>3</v>
      </c>
      <c r="D4860">
        <v>43</v>
      </c>
    </row>
    <row r="4861" spans="1:4" x14ac:dyDescent="0.25">
      <c r="A4861" s="1">
        <v>42482</v>
      </c>
      <c r="B4861">
        <v>1</v>
      </c>
      <c r="C4861">
        <v>3</v>
      </c>
      <c r="D4861">
        <v>35</v>
      </c>
    </row>
    <row r="4862" spans="1:4" x14ac:dyDescent="0.25">
      <c r="A4862" s="1">
        <v>42483</v>
      </c>
      <c r="B4862">
        <v>1</v>
      </c>
      <c r="C4862">
        <v>3</v>
      </c>
      <c r="D4862">
        <v>44</v>
      </c>
    </row>
    <row r="4863" spans="1:4" x14ac:dyDescent="0.25">
      <c r="A4863" s="1">
        <v>42484</v>
      </c>
      <c r="B4863">
        <v>1</v>
      </c>
      <c r="C4863">
        <v>3</v>
      </c>
      <c r="D4863">
        <v>43</v>
      </c>
    </row>
    <row r="4864" spans="1:4" x14ac:dyDescent="0.25">
      <c r="A4864" s="1">
        <v>42485</v>
      </c>
      <c r="B4864">
        <v>1</v>
      </c>
      <c r="C4864">
        <v>3</v>
      </c>
      <c r="D4864">
        <v>34</v>
      </c>
    </row>
    <row r="4865" spans="1:4" x14ac:dyDescent="0.25">
      <c r="A4865" s="1">
        <v>42486</v>
      </c>
      <c r="B4865">
        <v>1</v>
      </c>
      <c r="C4865">
        <v>3</v>
      </c>
      <c r="D4865">
        <v>32</v>
      </c>
    </row>
    <row r="4866" spans="1:4" x14ac:dyDescent="0.25">
      <c r="A4866" s="1">
        <v>42487</v>
      </c>
      <c r="B4866">
        <v>1</v>
      </c>
      <c r="C4866">
        <v>3</v>
      </c>
      <c r="D4866">
        <v>31</v>
      </c>
    </row>
    <row r="4867" spans="1:4" x14ac:dyDescent="0.25">
      <c r="A4867" s="1">
        <v>42488</v>
      </c>
      <c r="B4867">
        <v>1</v>
      </c>
      <c r="C4867">
        <v>3</v>
      </c>
      <c r="D4867">
        <v>34</v>
      </c>
    </row>
    <row r="4868" spans="1:4" x14ac:dyDescent="0.25">
      <c r="A4868" s="1">
        <v>42489</v>
      </c>
      <c r="B4868">
        <v>1</v>
      </c>
      <c r="C4868">
        <v>3</v>
      </c>
      <c r="D4868">
        <v>32</v>
      </c>
    </row>
    <row r="4869" spans="1:4" x14ac:dyDescent="0.25">
      <c r="A4869" s="1">
        <v>42490</v>
      </c>
      <c r="B4869">
        <v>1</v>
      </c>
      <c r="C4869">
        <v>3</v>
      </c>
      <c r="D4869">
        <v>37</v>
      </c>
    </row>
    <row r="4870" spans="1:4" x14ac:dyDescent="0.25">
      <c r="A4870" s="1">
        <v>42491</v>
      </c>
      <c r="B4870">
        <v>1</v>
      </c>
      <c r="C4870">
        <v>3</v>
      </c>
      <c r="D4870">
        <v>53</v>
      </c>
    </row>
    <row r="4871" spans="1:4" x14ac:dyDescent="0.25">
      <c r="A4871" s="1">
        <v>42492</v>
      </c>
      <c r="B4871">
        <v>1</v>
      </c>
      <c r="C4871">
        <v>3</v>
      </c>
      <c r="D4871">
        <v>30</v>
      </c>
    </row>
    <row r="4872" spans="1:4" x14ac:dyDescent="0.25">
      <c r="A4872" s="1">
        <v>42493</v>
      </c>
      <c r="B4872">
        <v>1</v>
      </c>
      <c r="C4872">
        <v>3</v>
      </c>
      <c r="D4872">
        <v>35</v>
      </c>
    </row>
    <row r="4873" spans="1:4" x14ac:dyDescent="0.25">
      <c r="A4873" s="1">
        <v>42494</v>
      </c>
      <c r="B4873">
        <v>1</v>
      </c>
      <c r="C4873">
        <v>3</v>
      </c>
      <c r="D4873">
        <v>37</v>
      </c>
    </row>
    <row r="4874" spans="1:4" x14ac:dyDescent="0.25">
      <c r="A4874" s="1">
        <v>42495</v>
      </c>
      <c r="B4874">
        <v>1</v>
      </c>
      <c r="C4874">
        <v>3</v>
      </c>
      <c r="D4874">
        <v>59</v>
      </c>
    </row>
    <row r="4875" spans="1:4" x14ac:dyDescent="0.25">
      <c r="A4875" s="1">
        <v>42496</v>
      </c>
      <c r="B4875">
        <v>1</v>
      </c>
      <c r="C4875">
        <v>3</v>
      </c>
      <c r="D4875">
        <v>50</v>
      </c>
    </row>
    <row r="4876" spans="1:4" x14ac:dyDescent="0.25">
      <c r="A4876" s="1">
        <v>42497</v>
      </c>
      <c r="B4876">
        <v>1</v>
      </c>
      <c r="C4876">
        <v>3</v>
      </c>
      <c r="D4876">
        <v>54</v>
      </c>
    </row>
    <row r="4877" spans="1:4" x14ac:dyDescent="0.25">
      <c r="A4877" s="1">
        <v>42498</v>
      </c>
      <c r="B4877">
        <v>1</v>
      </c>
      <c r="C4877">
        <v>3</v>
      </c>
      <c r="D4877">
        <v>49</v>
      </c>
    </row>
    <row r="4878" spans="1:4" x14ac:dyDescent="0.25">
      <c r="A4878" s="1">
        <v>42499</v>
      </c>
      <c r="B4878">
        <v>1</v>
      </c>
      <c r="C4878">
        <v>3</v>
      </c>
      <c r="D4878">
        <v>40</v>
      </c>
    </row>
    <row r="4879" spans="1:4" x14ac:dyDescent="0.25">
      <c r="A4879" s="1">
        <v>42500</v>
      </c>
      <c r="B4879">
        <v>1</v>
      </c>
      <c r="C4879">
        <v>3</v>
      </c>
      <c r="D4879">
        <v>35</v>
      </c>
    </row>
    <row r="4880" spans="1:4" x14ac:dyDescent="0.25">
      <c r="A4880" s="1">
        <v>42501</v>
      </c>
      <c r="B4880">
        <v>1</v>
      </c>
      <c r="C4880">
        <v>3</v>
      </c>
      <c r="D4880">
        <v>39</v>
      </c>
    </row>
    <row r="4881" spans="1:4" x14ac:dyDescent="0.25">
      <c r="A4881" s="1">
        <v>42502</v>
      </c>
      <c r="B4881">
        <v>1</v>
      </c>
      <c r="C4881">
        <v>3</v>
      </c>
      <c r="D4881">
        <v>39</v>
      </c>
    </row>
    <row r="4882" spans="1:4" x14ac:dyDescent="0.25">
      <c r="A4882" s="1">
        <v>42503</v>
      </c>
      <c r="B4882">
        <v>1</v>
      </c>
      <c r="C4882">
        <v>3</v>
      </c>
      <c r="D4882">
        <v>44</v>
      </c>
    </row>
    <row r="4883" spans="1:4" x14ac:dyDescent="0.25">
      <c r="A4883" s="1">
        <v>42504</v>
      </c>
      <c r="B4883">
        <v>1</v>
      </c>
      <c r="C4883">
        <v>3</v>
      </c>
      <c r="D4883">
        <v>32</v>
      </c>
    </row>
    <row r="4884" spans="1:4" x14ac:dyDescent="0.25">
      <c r="A4884" s="1">
        <v>42505</v>
      </c>
      <c r="B4884">
        <v>1</v>
      </c>
      <c r="C4884">
        <v>3</v>
      </c>
      <c r="D4884">
        <v>46</v>
      </c>
    </row>
    <row r="4885" spans="1:4" x14ac:dyDescent="0.25">
      <c r="A4885" s="1">
        <v>42506</v>
      </c>
      <c r="B4885">
        <v>1</v>
      </c>
      <c r="C4885">
        <v>3</v>
      </c>
      <c r="D4885">
        <v>36</v>
      </c>
    </row>
    <row r="4886" spans="1:4" x14ac:dyDescent="0.25">
      <c r="A4886" s="1">
        <v>42507</v>
      </c>
      <c r="B4886">
        <v>1</v>
      </c>
      <c r="C4886">
        <v>3</v>
      </c>
      <c r="D4886">
        <v>34</v>
      </c>
    </row>
    <row r="4887" spans="1:4" x14ac:dyDescent="0.25">
      <c r="A4887" s="1">
        <v>42508</v>
      </c>
      <c r="B4887">
        <v>1</v>
      </c>
      <c r="C4887">
        <v>3</v>
      </c>
      <c r="D4887">
        <v>43</v>
      </c>
    </row>
    <row r="4888" spans="1:4" x14ac:dyDescent="0.25">
      <c r="A4888" s="1">
        <v>42509</v>
      </c>
      <c r="B4888">
        <v>1</v>
      </c>
      <c r="C4888">
        <v>3</v>
      </c>
      <c r="D4888">
        <v>44</v>
      </c>
    </row>
    <row r="4889" spans="1:4" x14ac:dyDescent="0.25">
      <c r="A4889" s="1">
        <v>42510</v>
      </c>
      <c r="B4889">
        <v>1</v>
      </c>
      <c r="C4889">
        <v>3</v>
      </c>
      <c r="D4889">
        <v>46</v>
      </c>
    </row>
    <row r="4890" spans="1:4" x14ac:dyDescent="0.25">
      <c r="A4890" s="1">
        <v>42511</v>
      </c>
      <c r="B4890">
        <v>1</v>
      </c>
      <c r="C4890">
        <v>3</v>
      </c>
      <c r="D4890">
        <v>51</v>
      </c>
    </row>
    <row r="4891" spans="1:4" x14ac:dyDescent="0.25">
      <c r="A4891" s="1">
        <v>42512</v>
      </c>
      <c r="B4891">
        <v>1</v>
      </c>
      <c r="C4891">
        <v>3</v>
      </c>
      <c r="D4891">
        <v>43</v>
      </c>
    </row>
    <row r="4892" spans="1:4" x14ac:dyDescent="0.25">
      <c r="A4892" s="1">
        <v>42513</v>
      </c>
      <c r="B4892">
        <v>1</v>
      </c>
      <c r="C4892">
        <v>3</v>
      </c>
      <c r="D4892">
        <v>36</v>
      </c>
    </row>
    <row r="4893" spans="1:4" x14ac:dyDescent="0.25">
      <c r="A4893" s="1">
        <v>42514</v>
      </c>
      <c r="B4893">
        <v>1</v>
      </c>
      <c r="C4893">
        <v>3</v>
      </c>
      <c r="D4893">
        <v>34</v>
      </c>
    </row>
    <row r="4894" spans="1:4" x14ac:dyDescent="0.25">
      <c r="A4894" s="1">
        <v>42515</v>
      </c>
      <c r="B4894">
        <v>1</v>
      </c>
      <c r="C4894">
        <v>3</v>
      </c>
      <c r="D4894">
        <v>39</v>
      </c>
    </row>
    <row r="4895" spans="1:4" x14ac:dyDescent="0.25">
      <c r="A4895" s="1">
        <v>42516</v>
      </c>
      <c r="B4895">
        <v>1</v>
      </c>
      <c r="C4895">
        <v>3</v>
      </c>
      <c r="D4895">
        <v>52</v>
      </c>
    </row>
    <row r="4896" spans="1:4" x14ac:dyDescent="0.25">
      <c r="A4896" s="1">
        <v>42517</v>
      </c>
      <c r="B4896">
        <v>1</v>
      </c>
      <c r="C4896">
        <v>3</v>
      </c>
      <c r="D4896">
        <v>34</v>
      </c>
    </row>
    <row r="4897" spans="1:4" x14ac:dyDescent="0.25">
      <c r="A4897" s="1">
        <v>42518</v>
      </c>
      <c r="B4897">
        <v>1</v>
      </c>
      <c r="C4897">
        <v>3</v>
      </c>
      <c r="D4897">
        <v>55</v>
      </c>
    </row>
    <row r="4898" spans="1:4" x14ac:dyDescent="0.25">
      <c r="A4898" s="1">
        <v>42519</v>
      </c>
      <c r="B4898">
        <v>1</v>
      </c>
      <c r="C4898">
        <v>3</v>
      </c>
      <c r="D4898">
        <v>33</v>
      </c>
    </row>
    <row r="4899" spans="1:4" x14ac:dyDescent="0.25">
      <c r="A4899" s="1">
        <v>42520</v>
      </c>
      <c r="B4899">
        <v>1</v>
      </c>
      <c r="C4899">
        <v>3</v>
      </c>
      <c r="D4899">
        <v>36</v>
      </c>
    </row>
    <row r="4900" spans="1:4" x14ac:dyDescent="0.25">
      <c r="A4900" s="1">
        <v>42521</v>
      </c>
      <c r="B4900">
        <v>1</v>
      </c>
      <c r="C4900">
        <v>3</v>
      </c>
      <c r="D4900">
        <v>39</v>
      </c>
    </row>
    <row r="4901" spans="1:4" x14ac:dyDescent="0.25">
      <c r="A4901" s="1">
        <v>42522</v>
      </c>
      <c r="B4901">
        <v>1</v>
      </c>
      <c r="C4901">
        <v>3</v>
      </c>
      <c r="D4901">
        <v>40</v>
      </c>
    </row>
    <row r="4902" spans="1:4" x14ac:dyDescent="0.25">
      <c r="A4902" s="1">
        <v>42523</v>
      </c>
      <c r="B4902">
        <v>1</v>
      </c>
      <c r="C4902">
        <v>3</v>
      </c>
      <c r="D4902">
        <v>48</v>
      </c>
    </row>
    <row r="4903" spans="1:4" x14ac:dyDescent="0.25">
      <c r="A4903" s="1">
        <v>42524</v>
      </c>
      <c r="B4903">
        <v>1</v>
      </c>
      <c r="C4903">
        <v>3</v>
      </c>
      <c r="D4903">
        <v>40</v>
      </c>
    </row>
    <row r="4904" spans="1:4" x14ac:dyDescent="0.25">
      <c r="A4904" s="1">
        <v>42525</v>
      </c>
      <c r="B4904">
        <v>1</v>
      </c>
      <c r="C4904">
        <v>3</v>
      </c>
      <c r="D4904">
        <v>57</v>
      </c>
    </row>
    <row r="4905" spans="1:4" x14ac:dyDescent="0.25">
      <c r="A4905" s="1">
        <v>42526</v>
      </c>
      <c r="B4905">
        <v>1</v>
      </c>
      <c r="C4905">
        <v>3</v>
      </c>
      <c r="D4905">
        <v>48</v>
      </c>
    </row>
    <row r="4906" spans="1:4" x14ac:dyDescent="0.25">
      <c r="A4906" s="1">
        <v>42527</v>
      </c>
      <c r="B4906">
        <v>1</v>
      </c>
      <c r="C4906">
        <v>3</v>
      </c>
      <c r="D4906">
        <v>19</v>
      </c>
    </row>
    <row r="4907" spans="1:4" x14ac:dyDescent="0.25">
      <c r="A4907" s="1">
        <v>42528</v>
      </c>
      <c r="B4907">
        <v>1</v>
      </c>
      <c r="C4907">
        <v>3</v>
      </c>
      <c r="D4907">
        <v>43</v>
      </c>
    </row>
    <row r="4908" spans="1:4" x14ac:dyDescent="0.25">
      <c r="A4908" s="1">
        <v>42529</v>
      </c>
      <c r="B4908">
        <v>1</v>
      </c>
      <c r="C4908">
        <v>3</v>
      </c>
      <c r="D4908">
        <v>36</v>
      </c>
    </row>
    <row r="4909" spans="1:4" x14ac:dyDescent="0.25">
      <c r="A4909" s="1">
        <v>42530</v>
      </c>
      <c r="B4909">
        <v>1</v>
      </c>
      <c r="C4909">
        <v>3</v>
      </c>
      <c r="D4909">
        <v>32</v>
      </c>
    </row>
    <row r="4910" spans="1:4" x14ac:dyDescent="0.25">
      <c r="A4910" s="1">
        <v>42531</v>
      </c>
      <c r="B4910">
        <v>1</v>
      </c>
      <c r="C4910">
        <v>3</v>
      </c>
      <c r="D4910">
        <v>50</v>
      </c>
    </row>
    <row r="4911" spans="1:4" x14ac:dyDescent="0.25">
      <c r="A4911" s="1">
        <v>42532</v>
      </c>
      <c r="B4911">
        <v>1</v>
      </c>
      <c r="C4911">
        <v>3</v>
      </c>
      <c r="D4911">
        <v>36</v>
      </c>
    </row>
    <row r="4912" spans="1:4" x14ac:dyDescent="0.25">
      <c r="A4912" s="1">
        <v>42533</v>
      </c>
      <c r="B4912">
        <v>1</v>
      </c>
      <c r="C4912">
        <v>3</v>
      </c>
      <c r="D4912">
        <v>59</v>
      </c>
    </row>
    <row r="4913" spans="1:4" x14ac:dyDescent="0.25">
      <c r="A4913" s="1">
        <v>42534</v>
      </c>
      <c r="B4913">
        <v>1</v>
      </c>
      <c r="C4913">
        <v>3</v>
      </c>
      <c r="D4913">
        <v>38</v>
      </c>
    </row>
    <row r="4914" spans="1:4" x14ac:dyDescent="0.25">
      <c r="A4914" s="1">
        <v>42535</v>
      </c>
      <c r="B4914">
        <v>1</v>
      </c>
      <c r="C4914">
        <v>3</v>
      </c>
      <c r="D4914">
        <v>43</v>
      </c>
    </row>
    <row r="4915" spans="1:4" x14ac:dyDescent="0.25">
      <c r="A4915" s="1">
        <v>42536</v>
      </c>
      <c r="B4915">
        <v>1</v>
      </c>
      <c r="C4915">
        <v>3</v>
      </c>
      <c r="D4915">
        <v>52</v>
      </c>
    </row>
    <row r="4916" spans="1:4" x14ac:dyDescent="0.25">
      <c r="A4916" s="1">
        <v>42537</v>
      </c>
      <c r="B4916">
        <v>1</v>
      </c>
      <c r="C4916">
        <v>3</v>
      </c>
      <c r="D4916">
        <v>37</v>
      </c>
    </row>
    <row r="4917" spans="1:4" x14ac:dyDescent="0.25">
      <c r="A4917" s="1">
        <v>42538</v>
      </c>
      <c r="B4917">
        <v>1</v>
      </c>
      <c r="C4917">
        <v>3</v>
      </c>
      <c r="D4917">
        <v>50</v>
      </c>
    </row>
    <row r="4918" spans="1:4" x14ac:dyDescent="0.25">
      <c r="A4918" s="1">
        <v>42539</v>
      </c>
      <c r="B4918">
        <v>1</v>
      </c>
      <c r="C4918">
        <v>3</v>
      </c>
      <c r="D4918">
        <v>47</v>
      </c>
    </row>
    <row r="4919" spans="1:4" x14ac:dyDescent="0.25">
      <c r="A4919" s="1">
        <v>42540</v>
      </c>
      <c r="B4919">
        <v>1</v>
      </c>
      <c r="C4919">
        <v>3</v>
      </c>
      <c r="D4919">
        <v>46</v>
      </c>
    </row>
    <row r="4920" spans="1:4" x14ac:dyDescent="0.25">
      <c r="A4920" s="1">
        <v>42541</v>
      </c>
      <c r="B4920">
        <v>1</v>
      </c>
      <c r="C4920">
        <v>3</v>
      </c>
      <c r="D4920">
        <v>35</v>
      </c>
    </row>
    <row r="4921" spans="1:4" x14ac:dyDescent="0.25">
      <c r="A4921" s="1">
        <v>42542</v>
      </c>
      <c r="B4921">
        <v>1</v>
      </c>
      <c r="C4921">
        <v>3</v>
      </c>
      <c r="D4921">
        <v>40</v>
      </c>
    </row>
    <row r="4922" spans="1:4" x14ac:dyDescent="0.25">
      <c r="A4922" s="1">
        <v>42543</v>
      </c>
      <c r="B4922">
        <v>1</v>
      </c>
      <c r="C4922">
        <v>3</v>
      </c>
      <c r="D4922">
        <v>34</v>
      </c>
    </row>
    <row r="4923" spans="1:4" x14ac:dyDescent="0.25">
      <c r="A4923" s="1">
        <v>42544</v>
      </c>
      <c r="B4923">
        <v>1</v>
      </c>
      <c r="C4923">
        <v>3</v>
      </c>
      <c r="D4923">
        <v>46</v>
      </c>
    </row>
    <row r="4924" spans="1:4" x14ac:dyDescent="0.25">
      <c r="A4924" s="1">
        <v>42545</v>
      </c>
      <c r="B4924">
        <v>1</v>
      </c>
      <c r="C4924">
        <v>3</v>
      </c>
      <c r="D4924">
        <v>43</v>
      </c>
    </row>
    <row r="4925" spans="1:4" x14ac:dyDescent="0.25">
      <c r="A4925" s="1">
        <v>42546</v>
      </c>
      <c r="B4925">
        <v>1</v>
      </c>
      <c r="C4925">
        <v>3</v>
      </c>
      <c r="D4925">
        <v>42</v>
      </c>
    </row>
    <row r="4926" spans="1:4" x14ac:dyDescent="0.25">
      <c r="A4926" s="1">
        <v>42547</v>
      </c>
      <c r="B4926">
        <v>1</v>
      </c>
      <c r="C4926">
        <v>3</v>
      </c>
      <c r="D4926">
        <v>57</v>
      </c>
    </row>
    <row r="4927" spans="1:4" x14ac:dyDescent="0.25">
      <c r="A4927" s="1">
        <v>42548</v>
      </c>
      <c r="B4927">
        <v>1</v>
      </c>
      <c r="C4927">
        <v>3</v>
      </c>
      <c r="D4927">
        <v>24</v>
      </c>
    </row>
    <row r="4928" spans="1:4" x14ac:dyDescent="0.25">
      <c r="A4928" s="1">
        <v>42549</v>
      </c>
      <c r="B4928">
        <v>1</v>
      </c>
      <c r="C4928">
        <v>3</v>
      </c>
      <c r="D4928">
        <v>40</v>
      </c>
    </row>
    <row r="4929" spans="1:4" x14ac:dyDescent="0.25">
      <c r="A4929" s="1">
        <v>42550</v>
      </c>
      <c r="B4929">
        <v>1</v>
      </c>
      <c r="C4929">
        <v>3</v>
      </c>
      <c r="D4929">
        <v>38</v>
      </c>
    </row>
    <row r="4930" spans="1:4" x14ac:dyDescent="0.25">
      <c r="A4930" s="1">
        <v>42551</v>
      </c>
      <c r="B4930">
        <v>1</v>
      </c>
      <c r="C4930">
        <v>3</v>
      </c>
      <c r="D4930">
        <v>56</v>
      </c>
    </row>
    <row r="4931" spans="1:4" x14ac:dyDescent="0.25">
      <c r="A4931" s="1">
        <v>42552</v>
      </c>
      <c r="B4931">
        <v>1</v>
      </c>
      <c r="C4931">
        <v>3</v>
      </c>
      <c r="D4931">
        <v>51</v>
      </c>
    </row>
    <row r="4932" spans="1:4" x14ac:dyDescent="0.25">
      <c r="A4932" s="1">
        <v>42553</v>
      </c>
      <c r="B4932">
        <v>1</v>
      </c>
      <c r="C4932">
        <v>3</v>
      </c>
      <c r="D4932">
        <v>35</v>
      </c>
    </row>
    <row r="4933" spans="1:4" x14ac:dyDescent="0.25">
      <c r="A4933" s="1">
        <v>42554</v>
      </c>
      <c r="B4933">
        <v>1</v>
      </c>
      <c r="C4933">
        <v>3</v>
      </c>
      <c r="D4933">
        <v>54</v>
      </c>
    </row>
    <row r="4934" spans="1:4" x14ac:dyDescent="0.25">
      <c r="A4934" s="1">
        <v>42555</v>
      </c>
      <c r="B4934">
        <v>1</v>
      </c>
      <c r="C4934">
        <v>3</v>
      </c>
      <c r="D4934">
        <v>35</v>
      </c>
    </row>
    <row r="4935" spans="1:4" x14ac:dyDescent="0.25">
      <c r="A4935" s="1">
        <v>42556</v>
      </c>
      <c r="B4935">
        <v>1</v>
      </c>
      <c r="C4935">
        <v>3</v>
      </c>
      <c r="D4935">
        <v>53</v>
      </c>
    </row>
    <row r="4936" spans="1:4" x14ac:dyDescent="0.25">
      <c r="A4936" s="1">
        <v>42557</v>
      </c>
      <c r="B4936">
        <v>1</v>
      </c>
      <c r="C4936">
        <v>3</v>
      </c>
      <c r="D4936">
        <v>40</v>
      </c>
    </row>
    <row r="4937" spans="1:4" x14ac:dyDescent="0.25">
      <c r="A4937" s="1">
        <v>42558</v>
      </c>
      <c r="B4937">
        <v>1</v>
      </c>
      <c r="C4937">
        <v>3</v>
      </c>
      <c r="D4937">
        <v>41</v>
      </c>
    </row>
    <row r="4938" spans="1:4" x14ac:dyDescent="0.25">
      <c r="A4938" s="1">
        <v>42559</v>
      </c>
      <c r="B4938">
        <v>1</v>
      </c>
      <c r="C4938">
        <v>3</v>
      </c>
      <c r="D4938">
        <v>31</v>
      </c>
    </row>
    <row r="4939" spans="1:4" x14ac:dyDescent="0.25">
      <c r="A4939" s="1">
        <v>42560</v>
      </c>
      <c r="B4939">
        <v>1</v>
      </c>
      <c r="C4939">
        <v>3</v>
      </c>
      <c r="D4939">
        <v>55</v>
      </c>
    </row>
    <row r="4940" spans="1:4" x14ac:dyDescent="0.25">
      <c r="A4940" s="1">
        <v>42561</v>
      </c>
      <c r="B4940">
        <v>1</v>
      </c>
      <c r="C4940">
        <v>3</v>
      </c>
      <c r="D4940">
        <v>54</v>
      </c>
    </row>
    <row r="4941" spans="1:4" x14ac:dyDescent="0.25">
      <c r="A4941" s="1">
        <v>42562</v>
      </c>
      <c r="B4941">
        <v>1</v>
      </c>
      <c r="C4941">
        <v>3</v>
      </c>
      <c r="D4941">
        <v>41</v>
      </c>
    </row>
    <row r="4942" spans="1:4" x14ac:dyDescent="0.25">
      <c r="A4942" s="1">
        <v>42563</v>
      </c>
      <c r="B4942">
        <v>1</v>
      </c>
      <c r="C4942">
        <v>3</v>
      </c>
      <c r="D4942">
        <v>41</v>
      </c>
    </row>
    <row r="4943" spans="1:4" x14ac:dyDescent="0.25">
      <c r="A4943" s="1">
        <v>42564</v>
      </c>
      <c r="B4943">
        <v>1</v>
      </c>
      <c r="C4943">
        <v>3</v>
      </c>
      <c r="D4943">
        <v>39</v>
      </c>
    </row>
    <row r="4944" spans="1:4" x14ac:dyDescent="0.25">
      <c r="A4944" s="1">
        <v>42565</v>
      </c>
      <c r="B4944">
        <v>1</v>
      </c>
      <c r="C4944">
        <v>3</v>
      </c>
      <c r="D4944">
        <v>57</v>
      </c>
    </row>
    <row r="4945" spans="1:4" x14ac:dyDescent="0.25">
      <c r="A4945" s="1">
        <v>42566</v>
      </c>
      <c r="B4945">
        <v>1</v>
      </c>
      <c r="C4945">
        <v>3</v>
      </c>
      <c r="D4945">
        <v>47</v>
      </c>
    </row>
    <row r="4946" spans="1:4" x14ac:dyDescent="0.25">
      <c r="A4946" s="1">
        <v>42567</v>
      </c>
      <c r="B4946">
        <v>1</v>
      </c>
      <c r="C4946">
        <v>3</v>
      </c>
      <c r="D4946">
        <v>50</v>
      </c>
    </row>
    <row r="4947" spans="1:4" x14ac:dyDescent="0.25">
      <c r="A4947" s="1">
        <v>42568</v>
      </c>
      <c r="B4947">
        <v>1</v>
      </c>
      <c r="C4947">
        <v>3</v>
      </c>
      <c r="D4947">
        <v>60</v>
      </c>
    </row>
    <row r="4948" spans="1:4" x14ac:dyDescent="0.25">
      <c r="A4948" s="1">
        <v>42569</v>
      </c>
      <c r="B4948">
        <v>1</v>
      </c>
      <c r="C4948">
        <v>3</v>
      </c>
      <c r="D4948">
        <v>44</v>
      </c>
    </row>
    <row r="4949" spans="1:4" x14ac:dyDescent="0.25">
      <c r="A4949" s="1">
        <v>42570</v>
      </c>
      <c r="B4949">
        <v>1</v>
      </c>
      <c r="C4949">
        <v>3</v>
      </c>
      <c r="D4949">
        <v>43</v>
      </c>
    </row>
    <row r="4950" spans="1:4" x14ac:dyDescent="0.25">
      <c r="A4950" s="1">
        <v>42571</v>
      </c>
      <c r="B4950">
        <v>1</v>
      </c>
      <c r="C4950">
        <v>3</v>
      </c>
      <c r="D4950">
        <v>46</v>
      </c>
    </row>
    <row r="4951" spans="1:4" x14ac:dyDescent="0.25">
      <c r="A4951" s="1">
        <v>42572</v>
      </c>
      <c r="B4951">
        <v>1</v>
      </c>
      <c r="C4951">
        <v>3</v>
      </c>
      <c r="D4951">
        <v>45</v>
      </c>
    </row>
    <row r="4952" spans="1:4" x14ac:dyDescent="0.25">
      <c r="A4952" s="1">
        <v>42573</v>
      </c>
      <c r="B4952">
        <v>1</v>
      </c>
      <c r="C4952">
        <v>3</v>
      </c>
      <c r="D4952">
        <v>51</v>
      </c>
    </row>
    <row r="4953" spans="1:4" x14ac:dyDescent="0.25">
      <c r="A4953" s="1">
        <v>42574</v>
      </c>
      <c r="B4953">
        <v>1</v>
      </c>
      <c r="C4953">
        <v>3</v>
      </c>
      <c r="D4953">
        <v>49</v>
      </c>
    </row>
    <row r="4954" spans="1:4" x14ac:dyDescent="0.25">
      <c r="A4954" s="1">
        <v>42575</v>
      </c>
      <c r="B4954">
        <v>1</v>
      </c>
      <c r="C4954">
        <v>3</v>
      </c>
      <c r="D4954">
        <v>70</v>
      </c>
    </row>
    <row r="4955" spans="1:4" x14ac:dyDescent="0.25">
      <c r="A4955" s="1">
        <v>42576</v>
      </c>
      <c r="B4955">
        <v>1</v>
      </c>
      <c r="C4955">
        <v>3</v>
      </c>
      <c r="D4955">
        <v>39</v>
      </c>
    </row>
    <row r="4956" spans="1:4" x14ac:dyDescent="0.25">
      <c r="A4956" s="1">
        <v>42577</v>
      </c>
      <c r="B4956">
        <v>1</v>
      </c>
      <c r="C4956">
        <v>3</v>
      </c>
      <c r="D4956">
        <v>35</v>
      </c>
    </row>
    <row r="4957" spans="1:4" x14ac:dyDescent="0.25">
      <c r="A4957" s="1">
        <v>42578</v>
      </c>
      <c r="B4957">
        <v>1</v>
      </c>
      <c r="C4957">
        <v>3</v>
      </c>
      <c r="D4957">
        <v>37</v>
      </c>
    </row>
    <row r="4958" spans="1:4" x14ac:dyDescent="0.25">
      <c r="A4958" s="1">
        <v>42579</v>
      </c>
      <c r="B4958">
        <v>1</v>
      </c>
      <c r="C4958">
        <v>3</v>
      </c>
      <c r="D4958">
        <v>55</v>
      </c>
    </row>
    <row r="4959" spans="1:4" x14ac:dyDescent="0.25">
      <c r="A4959" s="1">
        <v>42580</v>
      </c>
      <c r="B4959">
        <v>1</v>
      </c>
      <c r="C4959">
        <v>3</v>
      </c>
      <c r="D4959">
        <v>45</v>
      </c>
    </row>
    <row r="4960" spans="1:4" x14ac:dyDescent="0.25">
      <c r="A4960" s="1">
        <v>42581</v>
      </c>
      <c r="B4960">
        <v>1</v>
      </c>
      <c r="C4960">
        <v>3</v>
      </c>
      <c r="D4960">
        <v>50</v>
      </c>
    </row>
    <row r="4961" spans="1:4" x14ac:dyDescent="0.25">
      <c r="A4961" s="1">
        <v>42582</v>
      </c>
      <c r="B4961">
        <v>1</v>
      </c>
      <c r="C4961">
        <v>3</v>
      </c>
      <c r="D4961">
        <v>50</v>
      </c>
    </row>
    <row r="4962" spans="1:4" x14ac:dyDescent="0.25">
      <c r="A4962" s="1">
        <v>42583</v>
      </c>
      <c r="B4962">
        <v>1</v>
      </c>
      <c r="C4962">
        <v>3</v>
      </c>
      <c r="D4962">
        <v>17</v>
      </c>
    </row>
    <row r="4963" spans="1:4" x14ac:dyDescent="0.25">
      <c r="A4963" s="1">
        <v>42584</v>
      </c>
      <c r="B4963">
        <v>1</v>
      </c>
      <c r="C4963">
        <v>3</v>
      </c>
      <c r="D4963">
        <v>35</v>
      </c>
    </row>
    <row r="4964" spans="1:4" x14ac:dyDescent="0.25">
      <c r="A4964" s="1">
        <v>42585</v>
      </c>
      <c r="B4964">
        <v>1</v>
      </c>
      <c r="C4964">
        <v>3</v>
      </c>
      <c r="D4964">
        <v>36</v>
      </c>
    </row>
    <row r="4965" spans="1:4" x14ac:dyDescent="0.25">
      <c r="A4965" s="1">
        <v>42586</v>
      </c>
      <c r="B4965">
        <v>1</v>
      </c>
      <c r="C4965">
        <v>3</v>
      </c>
      <c r="D4965">
        <v>35</v>
      </c>
    </row>
    <row r="4966" spans="1:4" x14ac:dyDescent="0.25">
      <c r="A4966" s="1">
        <v>42587</v>
      </c>
      <c r="B4966">
        <v>1</v>
      </c>
      <c r="C4966">
        <v>3</v>
      </c>
      <c r="D4966">
        <v>36</v>
      </c>
    </row>
    <row r="4967" spans="1:4" x14ac:dyDescent="0.25">
      <c r="A4967" s="1">
        <v>42588</v>
      </c>
      <c r="B4967">
        <v>1</v>
      </c>
      <c r="C4967">
        <v>3</v>
      </c>
      <c r="D4967">
        <v>46</v>
      </c>
    </row>
    <row r="4968" spans="1:4" x14ac:dyDescent="0.25">
      <c r="A4968" s="1">
        <v>42589</v>
      </c>
      <c r="B4968">
        <v>1</v>
      </c>
      <c r="C4968">
        <v>3</v>
      </c>
      <c r="D4968">
        <v>38</v>
      </c>
    </row>
    <row r="4969" spans="1:4" x14ac:dyDescent="0.25">
      <c r="A4969" s="1">
        <v>42590</v>
      </c>
      <c r="B4969">
        <v>1</v>
      </c>
      <c r="C4969">
        <v>3</v>
      </c>
      <c r="D4969">
        <v>36</v>
      </c>
    </row>
    <row r="4970" spans="1:4" x14ac:dyDescent="0.25">
      <c r="A4970" s="1">
        <v>42591</v>
      </c>
      <c r="B4970">
        <v>1</v>
      </c>
      <c r="C4970">
        <v>3</v>
      </c>
      <c r="D4970">
        <v>50</v>
      </c>
    </row>
    <row r="4971" spans="1:4" x14ac:dyDescent="0.25">
      <c r="A4971" s="1">
        <v>42592</v>
      </c>
      <c r="B4971">
        <v>1</v>
      </c>
      <c r="C4971">
        <v>3</v>
      </c>
      <c r="D4971">
        <v>26</v>
      </c>
    </row>
    <row r="4972" spans="1:4" x14ac:dyDescent="0.25">
      <c r="A4972" s="1">
        <v>42593</v>
      </c>
      <c r="B4972">
        <v>1</v>
      </c>
      <c r="C4972">
        <v>3</v>
      </c>
      <c r="D4972">
        <v>37</v>
      </c>
    </row>
    <row r="4973" spans="1:4" x14ac:dyDescent="0.25">
      <c r="A4973" s="1">
        <v>42594</v>
      </c>
      <c r="B4973">
        <v>1</v>
      </c>
      <c r="C4973">
        <v>3</v>
      </c>
      <c r="D4973">
        <v>48</v>
      </c>
    </row>
    <row r="4974" spans="1:4" x14ac:dyDescent="0.25">
      <c r="A4974" s="1">
        <v>42595</v>
      </c>
      <c r="B4974">
        <v>1</v>
      </c>
      <c r="C4974">
        <v>3</v>
      </c>
      <c r="D4974">
        <v>52</v>
      </c>
    </row>
    <row r="4975" spans="1:4" x14ac:dyDescent="0.25">
      <c r="A4975" s="1">
        <v>42596</v>
      </c>
      <c r="B4975">
        <v>1</v>
      </c>
      <c r="C4975">
        <v>3</v>
      </c>
      <c r="D4975">
        <v>46</v>
      </c>
    </row>
    <row r="4976" spans="1:4" x14ac:dyDescent="0.25">
      <c r="A4976" s="1">
        <v>42597</v>
      </c>
      <c r="B4976">
        <v>1</v>
      </c>
      <c r="C4976">
        <v>3</v>
      </c>
      <c r="D4976">
        <v>31</v>
      </c>
    </row>
    <row r="4977" spans="1:4" x14ac:dyDescent="0.25">
      <c r="A4977" s="1">
        <v>42598</v>
      </c>
      <c r="B4977">
        <v>1</v>
      </c>
      <c r="C4977">
        <v>3</v>
      </c>
      <c r="D4977">
        <v>35</v>
      </c>
    </row>
    <row r="4978" spans="1:4" x14ac:dyDescent="0.25">
      <c r="A4978" s="1">
        <v>42599</v>
      </c>
      <c r="B4978">
        <v>1</v>
      </c>
      <c r="C4978">
        <v>3</v>
      </c>
      <c r="D4978">
        <v>36</v>
      </c>
    </row>
    <row r="4979" spans="1:4" x14ac:dyDescent="0.25">
      <c r="A4979" s="1">
        <v>42600</v>
      </c>
      <c r="B4979">
        <v>1</v>
      </c>
      <c r="C4979">
        <v>3</v>
      </c>
      <c r="D4979">
        <v>36</v>
      </c>
    </row>
    <row r="4980" spans="1:4" x14ac:dyDescent="0.25">
      <c r="A4980" s="1">
        <v>42601</v>
      </c>
      <c r="B4980">
        <v>1</v>
      </c>
      <c r="C4980">
        <v>3</v>
      </c>
      <c r="D4980">
        <v>41</v>
      </c>
    </row>
    <row r="4981" spans="1:4" x14ac:dyDescent="0.25">
      <c r="A4981" s="1">
        <v>42602</v>
      </c>
      <c r="B4981">
        <v>1</v>
      </c>
      <c r="C4981">
        <v>3</v>
      </c>
      <c r="D4981">
        <v>48</v>
      </c>
    </row>
    <row r="4982" spans="1:4" x14ac:dyDescent="0.25">
      <c r="A4982" s="1">
        <v>42603</v>
      </c>
      <c r="B4982">
        <v>1</v>
      </c>
      <c r="C4982">
        <v>3</v>
      </c>
      <c r="D4982">
        <v>38</v>
      </c>
    </row>
    <row r="4983" spans="1:4" x14ac:dyDescent="0.25">
      <c r="A4983" s="1">
        <v>42604</v>
      </c>
      <c r="B4983">
        <v>1</v>
      </c>
      <c r="C4983">
        <v>3</v>
      </c>
      <c r="D4983">
        <v>30</v>
      </c>
    </row>
    <row r="4984" spans="1:4" x14ac:dyDescent="0.25">
      <c r="A4984" s="1">
        <v>42605</v>
      </c>
      <c r="B4984">
        <v>1</v>
      </c>
      <c r="C4984">
        <v>3</v>
      </c>
      <c r="D4984">
        <v>36</v>
      </c>
    </row>
    <row r="4985" spans="1:4" x14ac:dyDescent="0.25">
      <c r="A4985" s="1">
        <v>42606</v>
      </c>
      <c r="B4985">
        <v>1</v>
      </c>
      <c r="C4985">
        <v>3</v>
      </c>
      <c r="D4985">
        <v>46</v>
      </c>
    </row>
    <row r="4986" spans="1:4" x14ac:dyDescent="0.25">
      <c r="A4986" s="1">
        <v>42607</v>
      </c>
      <c r="B4986">
        <v>1</v>
      </c>
      <c r="C4986">
        <v>3</v>
      </c>
      <c r="D4986">
        <v>43</v>
      </c>
    </row>
    <row r="4987" spans="1:4" x14ac:dyDescent="0.25">
      <c r="A4987" s="1">
        <v>42608</v>
      </c>
      <c r="B4987">
        <v>1</v>
      </c>
      <c r="C4987">
        <v>3</v>
      </c>
      <c r="D4987">
        <v>47</v>
      </c>
    </row>
    <row r="4988" spans="1:4" x14ac:dyDescent="0.25">
      <c r="A4988" s="1">
        <v>42609</v>
      </c>
      <c r="B4988">
        <v>1</v>
      </c>
      <c r="C4988">
        <v>3</v>
      </c>
      <c r="D4988">
        <v>40</v>
      </c>
    </row>
    <row r="4989" spans="1:4" x14ac:dyDescent="0.25">
      <c r="A4989" s="1">
        <v>42610</v>
      </c>
      <c r="B4989">
        <v>1</v>
      </c>
      <c r="C4989">
        <v>3</v>
      </c>
      <c r="D4989">
        <v>43</v>
      </c>
    </row>
    <row r="4990" spans="1:4" x14ac:dyDescent="0.25">
      <c r="A4990" s="1">
        <v>42611</v>
      </c>
      <c r="B4990">
        <v>1</v>
      </c>
      <c r="C4990">
        <v>3</v>
      </c>
      <c r="D4990">
        <v>41</v>
      </c>
    </row>
    <row r="4991" spans="1:4" x14ac:dyDescent="0.25">
      <c r="A4991" s="1">
        <v>42612</v>
      </c>
      <c r="B4991">
        <v>1</v>
      </c>
      <c r="C4991">
        <v>3</v>
      </c>
      <c r="D4991">
        <v>25</v>
      </c>
    </row>
    <row r="4992" spans="1:4" x14ac:dyDescent="0.25">
      <c r="A4992" s="1">
        <v>42613</v>
      </c>
      <c r="B4992">
        <v>1</v>
      </c>
      <c r="C4992">
        <v>3</v>
      </c>
      <c r="D4992">
        <v>43</v>
      </c>
    </row>
    <row r="4993" spans="1:4" x14ac:dyDescent="0.25">
      <c r="A4993" s="1">
        <v>42614</v>
      </c>
      <c r="B4993">
        <v>1</v>
      </c>
      <c r="C4993">
        <v>3</v>
      </c>
      <c r="D4993">
        <v>31</v>
      </c>
    </row>
    <row r="4994" spans="1:4" x14ac:dyDescent="0.25">
      <c r="A4994" s="1">
        <v>42615</v>
      </c>
      <c r="B4994">
        <v>1</v>
      </c>
      <c r="C4994">
        <v>3</v>
      </c>
      <c r="D4994">
        <v>39</v>
      </c>
    </row>
    <row r="4995" spans="1:4" x14ac:dyDescent="0.25">
      <c r="A4995" s="1">
        <v>42616</v>
      </c>
      <c r="B4995">
        <v>1</v>
      </c>
      <c r="C4995">
        <v>3</v>
      </c>
      <c r="D4995">
        <v>48</v>
      </c>
    </row>
    <row r="4996" spans="1:4" x14ac:dyDescent="0.25">
      <c r="A4996" s="1">
        <v>42617</v>
      </c>
      <c r="B4996">
        <v>1</v>
      </c>
      <c r="C4996">
        <v>3</v>
      </c>
      <c r="D4996">
        <v>49</v>
      </c>
    </row>
    <row r="4997" spans="1:4" x14ac:dyDescent="0.25">
      <c r="A4997" s="1">
        <v>42618</v>
      </c>
      <c r="B4997">
        <v>1</v>
      </c>
      <c r="C4997">
        <v>3</v>
      </c>
      <c r="D4997">
        <v>30</v>
      </c>
    </row>
    <row r="4998" spans="1:4" x14ac:dyDescent="0.25">
      <c r="A4998" s="1">
        <v>42619</v>
      </c>
      <c r="B4998">
        <v>1</v>
      </c>
      <c r="C4998">
        <v>3</v>
      </c>
      <c r="D4998">
        <v>35</v>
      </c>
    </row>
    <row r="4999" spans="1:4" x14ac:dyDescent="0.25">
      <c r="A4999" s="1">
        <v>42620</v>
      </c>
      <c r="B4999">
        <v>1</v>
      </c>
      <c r="C4999">
        <v>3</v>
      </c>
      <c r="D4999">
        <v>33</v>
      </c>
    </row>
    <row r="5000" spans="1:4" x14ac:dyDescent="0.25">
      <c r="A5000" s="1">
        <v>42621</v>
      </c>
      <c r="B5000">
        <v>1</v>
      </c>
      <c r="C5000">
        <v>3</v>
      </c>
      <c r="D5000">
        <v>37</v>
      </c>
    </row>
    <row r="5001" spans="1:4" x14ac:dyDescent="0.25">
      <c r="A5001" s="1">
        <v>42622</v>
      </c>
      <c r="B5001">
        <v>1</v>
      </c>
      <c r="C5001">
        <v>3</v>
      </c>
      <c r="D5001">
        <v>49</v>
      </c>
    </row>
    <row r="5002" spans="1:4" x14ac:dyDescent="0.25">
      <c r="A5002" s="1">
        <v>42623</v>
      </c>
      <c r="B5002">
        <v>1</v>
      </c>
      <c r="C5002">
        <v>3</v>
      </c>
      <c r="D5002">
        <v>41</v>
      </c>
    </row>
    <row r="5003" spans="1:4" x14ac:dyDescent="0.25">
      <c r="A5003" s="1">
        <v>42624</v>
      </c>
      <c r="B5003">
        <v>1</v>
      </c>
      <c r="C5003">
        <v>3</v>
      </c>
      <c r="D5003">
        <v>42</v>
      </c>
    </row>
    <row r="5004" spans="1:4" x14ac:dyDescent="0.25">
      <c r="A5004" s="1">
        <v>42625</v>
      </c>
      <c r="B5004">
        <v>1</v>
      </c>
      <c r="C5004">
        <v>3</v>
      </c>
      <c r="D5004">
        <v>34</v>
      </c>
    </row>
    <row r="5005" spans="1:4" x14ac:dyDescent="0.25">
      <c r="A5005" s="1">
        <v>42626</v>
      </c>
      <c r="B5005">
        <v>1</v>
      </c>
      <c r="C5005">
        <v>3</v>
      </c>
      <c r="D5005">
        <v>31</v>
      </c>
    </row>
    <row r="5006" spans="1:4" x14ac:dyDescent="0.25">
      <c r="A5006" s="1">
        <v>42627</v>
      </c>
      <c r="B5006">
        <v>1</v>
      </c>
      <c r="C5006">
        <v>3</v>
      </c>
      <c r="D5006">
        <v>41</v>
      </c>
    </row>
    <row r="5007" spans="1:4" x14ac:dyDescent="0.25">
      <c r="A5007" s="1">
        <v>42628</v>
      </c>
      <c r="B5007">
        <v>1</v>
      </c>
      <c r="C5007">
        <v>3</v>
      </c>
      <c r="D5007">
        <v>39</v>
      </c>
    </row>
    <row r="5008" spans="1:4" x14ac:dyDescent="0.25">
      <c r="A5008" s="1">
        <v>42629</v>
      </c>
      <c r="B5008">
        <v>1</v>
      </c>
      <c r="C5008">
        <v>3</v>
      </c>
      <c r="D5008">
        <v>58</v>
      </c>
    </row>
    <row r="5009" spans="1:4" x14ac:dyDescent="0.25">
      <c r="A5009" s="1">
        <v>42630</v>
      </c>
      <c r="B5009">
        <v>1</v>
      </c>
      <c r="C5009">
        <v>3</v>
      </c>
      <c r="D5009">
        <v>36</v>
      </c>
    </row>
    <row r="5010" spans="1:4" x14ac:dyDescent="0.25">
      <c r="A5010" s="1">
        <v>42631</v>
      </c>
      <c r="B5010">
        <v>1</v>
      </c>
      <c r="C5010">
        <v>3</v>
      </c>
      <c r="D5010">
        <v>45</v>
      </c>
    </row>
    <row r="5011" spans="1:4" x14ac:dyDescent="0.25">
      <c r="A5011" s="1">
        <v>42632</v>
      </c>
      <c r="B5011">
        <v>1</v>
      </c>
      <c r="C5011">
        <v>3</v>
      </c>
      <c r="D5011">
        <v>29</v>
      </c>
    </row>
    <row r="5012" spans="1:4" x14ac:dyDescent="0.25">
      <c r="A5012" s="1">
        <v>42633</v>
      </c>
      <c r="B5012">
        <v>1</v>
      </c>
      <c r="C5012">
        <v>3</v>
      </c>
      <c r="D5012">
        <v>42</v>
      </c>
    </row>
    <row r="5013" spans="1:4" x14ac:dyDescent="0.25">
      <c r="A5013" s="1">
        <v>42634</v>
      </c>
      <c r="B5013">
        <v>1</v>
      </c>
      <c r="C5013">
        <v>3</v>
      </c>
      <c r="D5013">
        <v>34</v>
      </c>
    </row>
    <row r="5014" spans="1:4" x14ac:dyDescent="0.25">
      <c r="A5014" s="1">
        <v>42635</v>
      </c>
      <c r="B5014">
        <v>1</v>
      </c>
      <c r="C5014">
        <v>3</v>
      </c>
      <c r="D5014">
        <v>41</v>
      </c>
    </row>
    <row r="5015" spans="1:4" x14ac:dyDescent="0.25">
      <c r="A5015" s="1">
        <v>42636</v>
      </c>
      <c r="B5015">
        <v>1</v>
      </c>
      <c r="C5015">
        <v>3</v>
      </c>
      <c r="D5015">
        <v>36</v>
      </c>
    </row>
    <row r="5016" spans="1:4" x14ac:dyDescent="0.25">
      <c r="A5016" s="1">
        <v>42637</v>
      </c>
      <c r="B5016">
        <v>1</v>
      </c>
      <c r="C5016">
        <v>3</v>
      </c>
      <c r="D5016">
        <v>44</v>
      </c>
    </row>
    <row r="5017" spans="1:4" x14ac:dyDescent="0.25">
      <c r="A5017" s="1">
        <v>42638</v>
      </c>
      <c r="B5017">
        <v>1</v>
      </c>
      <c r="C5017">
        <v>3</v>
      </c>
      <c r="D5017">
        <v>41</v>
      </c>
    </row>
    <row r="5018" spans="1:4" x14ac:dyDescent="0.25">
      <c r="A5018" s="1">
        <v>42639</v>
      </c>
      <c r="B5018">
        <v>1</v>
      </c>
      <c r="C5018">
        <v>3</v>
      </c>
      <c r="D5018">
        <v>38</v>
      </c>
    </row>
    <row r="5019" spans="1:4" x14ac:dyDescent="0.25">
      <c r="A5019" s="1">
        <v>42640</v>
      </c>
      <c r="B5019">
        <v>1</v>
      </c>
      <c r="C5019">
        <v>3</v>
      </c>
      <c r="D5019">
        <v>31</v>
      </c>
    </row>
    <row r="5020" spans="1:4" x14ac:dyDescent="0.25">
      <c r="A5020" s="1">
        <v>42641</v>
      </c>
      <c r="B5020">
        <v>1</v>
      </c>
      <c r="C5020">
        <v>3</v>
      </c>
      <c r="D5020">
        <v>30</v>
      </c>
    </row>
    <row r="5021" spans="1:4" x14ac:dyDescent="0.25">
      <c r="A5021" s="1">
        <v>42642</v>
      </c>
      <c r="B5021">
        <v>1</v>
      </c>
      <c r="C5021">
        <v>3</v>
      </c>
      <c r="D5021">
        <v>36</v>
      </c>
    </row>
    <row r="5022" spans="1:4" x14ac:dyDescent="0.25">
      <c r="A5022" s="1">
        <v>42643</v>
      </c>
      <c r="B5022">
        <v>1</v>
      </c>
      <c r="C5022">
        <v>3</v>
      </c>
      <c r="D5022">
        <v>43</v>
      </c>
    </row>
    <row r="5023" spans="1:4" x14ac:dyDescent="0.25">
      <c r="A5023" s="1">
        <v>42644</v>
      </c>
      <c r="B5023">
        <v>1</v>
      </c>
      <c r="C5023">
        <v>3</v>
      </c>
      <c r="D5023">
        <v>38</v>
      </c>
    </row>
    <row r="5024" spans="1:4" x14ac:dyDescent="0.25">
      <c r="A5024" s="1">
        <v>42645</v>
      </c>
      <c r="B5024">
        <v>1</v>
      </c>
      <c r="C5024">
        <v>3</v>
      </c>
      <c r="D5024">
        <v>48</v>
      </c>
    </row>
    <row r="5025" spans="1:4" x14ac:dyDescent="0.25">
      <c r="A5025" s="1">
        <v>42646</v>
      </c>
      <c r="B5025">
        <v>1</v>
      </c>
      <c r="C5025">
        <v>3</v>
      </c>
      <c r="D5025">
        <v>30</v>
      </c>
    </row>
    <row r="5026" spans="1:4" x14ac:dyDescent="0.25">
      <c r="A5026" s="1">
        <v>42647</v>
      </c>
      <c r="B5026">
        <v>1</v>
      </c>
      <c r="C5026">
        <v>3</v>
      </c>
      <c r="D5026">
        <v>24</v>
      </c>
    </row>
    <row r="5027" spans="1:4" x14ac:dyDescent="0.25">
      <c r="A5027" s="1">
        <v>42648</v>
      </c>
      <c r="B5027">
        <v>1</v>
      </c>
      <c r="C5027">
        <v>3</v>
      </c>
      <c r="D5027">
        <v>21</v>
      </c>
    </row>
    <row r="5028" spans="1:4" x14ac:dyDescent="0.25">
      <c r="A5028" s="1">
        <v>42649</v>
      </c>
      <c r="B5028">
        <v>1</v>
      </c>
      <c r="C5028">
        <v>3</v>
      </c>
      <c r="D5028">
        <v>42</v>
      </c>
    </row>
    <row r="5029" spans="1:4" x14ac:dyDescent="0.25">
      <c r="A5029" s="1">
        <v>42650</v>
      </c>
      <c r="B5029">
        <v>1</v>
      </c>
      <c r="C5029">
        <v>3</v>
      </c>
      <c r="D5029">
        <v>39</v>
      </c>
    </row>
    <row r="5030" spans="1:4" x14ac:dyDescent="0.25">
      <c r="A5030" s="1">
        <v>42651</v>
      </c>
      <c r="B5030">
        <v>1</v>
      </c>
      <c r="C5030">
        <v>3</v>
      </c>
      <c r="D5030">
        <v>35</v>
      </c>
    </row>
    <row r="5031" spans="1:4" x14ac:dyDescent="0.25">
      <c r="A5031" s="1">
        <v>42652</v>
      </c>
      <c r="B5031">
        <v>1</v>
      </c>
      <c r="C5031">
        <v>3</v>
      </c>
      <c r="D5031">
        <v>40</v>
      </c>
    </row>
    <row r="5032" spans="1:4" x14ac:dyDescent="0.25">
      <c r="A5032" s="1">
        <v>42653</v>
      </c>
      <c r="B5032">
        <v>1</v>
      </c>
      <c r="C5032">
        <v>3</v>
      </c>
      <c r="D5032">
        <v>30</v>
      </c>
    </row>
    <row r="5033" spans="1:4" x14ac:dyDescent="0.25">
      <c r="A5033" s="1">
        <v>42654</v>
      </c>
      <c r="B5033">
        <v>1</v>
      </c>
      <c r="C5033">
        <v>3</v>
      </c>
      <c r="D5033">
        <v>32</v>
      </c>
    </row>
    <row r="5034" spans="1:4" x14ac:dyDescent="0.25">
      <c r="A5034" s="1">
        <v>42655</v>
      </c>
      <c r="B5034">
        <v>1</v>
      </c>
      <c r="C5034">
        <v>3</v>
      </c>
      <c r="D5034">
        <v>39</v>
      </c>
    </row>
    <row r="5035" spans="1:4" x14ac:dyDescent="0.25">
      <c r="A5035" s="1">
        <v>42656</v>
      </c>
      <c r="B5035">
        <v>1</v>
      </c>
      <c r="C5035">
        <v>3</v>
      </c>
      <c r="D5035">
        <v>31</v>
      </c>
    </row>
    <row r="5036" spans="1:4" x14ac:dyDescent="0.25">
      <c r="A5036" s="1">
        <v>42657</v>
      </c>
      <c r="B5036">
        <v>1</v>
      </c>
      <c r="C5036">
        <v>3</v>
      </c>
      <c r="D5036">
        <v>30</v>
      </c>
    </row>
    <row r="5037" spans="1:4" x14ac:dyDescent="0.25">
      <c r="A5037" s="1">
        <v>42658</v>
      </c>
      <c r="B5037">
        <v>1</v>
      </c>
      <c r="C5037">
        <v>3</v>
      </c>
      <c r="D5037">
        <v>42</v>
      </c>
    </row>
    <row r="5038" spans="1:4" x14ac:dyDescent="0.25">
      <c r="A5038" s="1">
        <v>42659</v>
      </c>
      <c r="B5038">
        <v>1</v>
      </c>
      <c r="C5038">
        <v>3</v>
      </c>
      <c r="D5038">
        <v>48</v>
      </c>
    </row>
    <row r="5039" spans="1:4" x14ac:dyDescent="0.25">
      <c r="A5039" s="1">
        <v>42660</v>
      </c>
      <c r="B5039">
        <v>1</v>
      </c>
      <c r="C5039">
        <v>3</v>
      </c>
      <c r="D5039">
        <v>30</v>
      </c>
    </row>
    <row r="5040" spans="1:4" x14ac:dyDescent="0.25">
      <c r="A5040" s="1">
        <v>42661</v>
      </c>
      <c r="B5040">
        <v>1</v>
      </c>
      <c r="C5040">
        <v>3</v>
      </c>
      <c r="D5040">
        <v>27</v>
      </c>
    </row>
    <row r="5041" spans="1:4" x14ac:dyDescent="0.25">
      <c r="A5041" s="1">
        <v>42662</v>
      </c>
      <c r="B5041">
        <v>1</v>
      </c>
      <c r="C5041">
        <v>3</v>
      </c>
      <c r="D5041">
        <v>31</v>
      </c>
    </row>
    <row r="5042" spans="1:4" x14ac:dyDescent="0.25">
      <c r="A5042" s="1">
        <v>42663</v>
      </c>
      <c r="B5042">
        <v>1</v>
      </c>
      <c r="C5042">
        <v>3</v>
      </c>
      <c r="D5042">
        <v>35</v>
      </c>
    </row>
    <row r="5043" spans="1:4" x14ac:dyDescent="0.25">
      <c r="A5043" s="1">
        <v>42664</v>
      </c>
      <c r="B5043">
        <v>1</v>
      </c>
      <c r="C5043">
        <v>3</v>
      </c>
      <c r="D5043">
        <v>28</v>
      </c>
    </row>
    <row r="5044" spans="1:4" x14ac:dyDescent="0.25">
      <c r="A5044" s="1">
        <v>42665</v>
      </c>
      <c r="B5044">
        <v>1</v>
      </c>
      <c r="C5044">
        <v>3</v>
      </c>
      <c r="D5044">
        <v>41</v>
      </c>
    </row>
    <row r="5045" spans="1:4" x14ac:dyDescent="0.25">
      <c r="A5045" s="1">
        <v>42666</v>
      </c>
      <c r="B5045">
        <v>1</v>
      </c>
      <c r="C5045">
        <v>3</v>
      </c>
      <c r="D5045">
        <v>43</v>
      </c>
    </row>
    <row r="5046" spans="1:4" x14ac:dyDescent="0.25">
      <c r="A5046" s="1">
        <v>42667</v>
      </c>
      <c r="B5046">
        <v>1</v>
      </c>
      <c r="C5046">
        <v>3</v>
      </c>
      <c r="D5046">
        <v>26</v>
      </c>
    </row>
    <row r="5047" spans="1:4" x14ac:dyDescent="0.25">
      <c r="A5047" s="1">
        <v>42668</v>
      </c>
      <c r="B5047">
        <v>1</v>
      </c>
      <c r="C5047">
        <v>3</v>
      </c>
      <c r="D5047">
        <v>32</v>
      </c>
    </row>
    <row r="5048" spans="1:4" x14ac:dyDescent="0.25">
      <c r="A5048" s="1">
        <v>42669</v>
      </c>
      <c r="B5048">
        <v>1</v>
      </c>
      <c r="C5048">
        <v>3</v>
      </c>
      <c r="D5048">
        <v>30</v>
      </c>
    </row>
    <row r="5049" spans="1:4" x14ac:dyDescent="0.25">
      <c r="A5049" s="1">
        <v>42670</v>
      </c>
      <c r="B5049">
        <v>1</v>
      </c>
      <c r="C5049">
        <v>3</v>
      </c>
      <c r="D5049">
        <v>29</v>
      </c>
    </row>
    <row r="5050" spans="1:4" x14ac:dyDescent="0.25">
      <c r="A5050" s="1">
        <v>42671</v>
      </c>
      <c r="B5050">
        <v>1</v>
      </c>
      <c r="C5050">
        <v>3</v>
      </c>
      <c r="D5050">
        <v>37</v>
      </c>
    </row>
    <row r="5051" spans="1:4" x14ac:dyDescent="0.25">
      <c r="A5051" s="1">
        <v>42672</v>
      </c>
      <c r="B5051">
        <v>1</v>
      </c>
      <c r="C5051">
        <v>3</v>
      </c>
      <c r="D5051">
        <v>42</v>
      </c>
    </row>
    <row r="5052" spans="1:4" x14ac:dyDescent="0.25">
      <c r="A5052" s="1">
        <v>42673</v>
      </c>
      <c r="B5052">
        <v>1</v>
      </c>
      <c r="C5052">
        <v>3</v>
      </c>
      <c r="D5052">
        <v>44</v>
      </c>
    </row>
    <row r="5053" spans="1:4" x14ac:dyDescent="0.25">
      <c r="A5053" s="1">
        <v>42674</v>
      </c>
      <c r="B5053">
        <v>1</v>
      </c>
      <c r="C5053">
        <v>3</v>
      </c>
      <c r="D5053">
        <v>32</v>
      </c>
    </row>
    <row r="5054" spans="1:4" x14ac:dyDescent="0.25">
      <c r="A5054" s="1">
        <v>42675</v>
      </c>
      <c r="B5054">
        <v>1</v>
      </c>
      <c r="C5054">
        <v>3</v>
      </c>
      <c r="D5054">
        <v>40</v>
      </c>
    </row>
    <row r="5055" spans="1:4" x14ac:dyDescent="0.25">
      <c r="A5055" s="1">
        <v>42676</v>
      </c>
      <c r="B5055">
        <v>1</v>
      </c>
      <c r="C5055">
        <v>3</v>
      </c>
      <c r="D5055">
        <v>29</v>
      </c>
    </row>
    <row r="5056" spans="1:4" x14ac:dyDescent="0.25">
      <c r="A5056" s="1">
        <v>42677</v>
      </c>
      <c r="B5056">
        <v>1</v>
      </c>
      <c r="C5056">
        <v>3</v>
      </c>
      <c r="D5056">
        <v>41</v>
      </c>
    </row>
    <row r="5057" spans="1:4" x14ac:dyDescent="0.25">
      <c r="A5057" s="1">
        <v>42678</v>
      </c>
      <c r="B5057">
        <v>1</v>
      </c>
      <c r="C5057">
        <v>3</v>
      </c>
      <c r="D5057">
        <v>45</v>
      </c>
    </row>
    <row r="5058" spans="1:4" x14ac:dyDescent="0.25">
      <c r="A5058" s="1">
        <v>42679</v>
      </c>
      <c r="B5058">
        <v>1</v>
      </c>
      <c r="C5058">
        <v>3</v>
      </c>
      <c r="D5058">
        <v>35</v>
      </c>
    </row>
    <row r="5059" spans="1:4" x14ac:dyDescent="0.25">
      <c r="A5059" s="1">
        <v>42680</v>
      </c>
      <c r="B5059">
        <v>1</v>
      </c>
      <c r="C5059">
        <v>3</v>
      </c>
      <c r="D5059">
        <v>44</v>
      </c>
    </row>
    <row r="5060" spans="1:4" x14ac:dyDescent="0.25">
      <c r="A5060" s="1">
        <v>42681</v>
      </c>
      <c r="B5060">
        <v>1</v>
      </c>
      <c r="C5060">
        <v>3</v>
      </c>
      <c r="D5060">
        <v>22</v>
      </c>
    </row>
    <row r="5061" spans="1:4" x14ac:dyDescent="0.25">
      <c r="A5061" s="1">
        <v>42682</v>
      </c>
      <c r="B5061">
        <v>1</v>
      </c>
      <c r="C5061">
        <v>3</v>
      </c>
      <c r="D5061">
        <v>31</v>
      </c>
    </row>
    <row r="5062" spans="1:4" x14ac:dyDescent="0.25">
      <c r="A5062" s="1">
        <v>42683</v>
      </c>
      <c r="B5062">
        <v>1</v>
      </c>
      <c r="C5062">
        <v>3</v>
      </c>
      <c r="D5062">
        <v>36</v>
      </c>
    </row>
    <row r="5063" spans="1:4" x14ac:dyDescent="0.25">
      <c r="A5063" s="1">
        <v>42684</v>
      </c>
      <c r="B5063">
        <v>1</v>
      </c>
      <c r="C5063">
        <v>3</v>
      </c>
      <c r="D5063">
        <v>37</v>
      </c>
    </row>
    <row r="5064" spans="1:4" x14ac:dyDescent="0.25">
      <c r="A5064" s="1">
        <v>42685</v>
      </c>
      <c r="B5064">
        <v>1</v>
      </c>
      <c r="C5064">
        <v>3</v>
      </c>
      <c r="D5064">
        <v>39</v>
      </c>
    </row>
    <row r="5065" spans="1:4" x14ac:dyDescent="0.25">
      <c r="A5065" s="1">
        <v>42686</v>
      </c>
      <c r="B5065">
        <v>1</v>
      </c>
      <c r="C5065">
        <v>3</v>
      </c>
      <c r="D5065">
        <v>43</v>
      </c>
    </row>
    <row r="5066" spans="1:4" x14ac:dyDescent="0.25">
      <c r="A5066" s="1">
        <v>42687</v>
      </c>
      <c r="B5066">
        <v>1</v>
      </c>
      <c r="C5066">
        <v>3</v>
      </c>
      <c r="D5066">
        <v>56</v>
      </c>
    </row>
    <row r="5067" spans="1:4" x14ac:dyDescent="0.25">
      <c r="A5067" s="1">
        <v>42688</v>
      </c>
      <c r="B5067">
        <v>1</v>
      </c>
      <c r="C5067">
        <v>3</v>
      </c>
      <c r="D5067">
        <v>26</v>
      </c>
    </row>
    <row r="5068" spans="1:4" x14ac:dyDescent="0.25">
      <c r="A5068" s="1">
        <v>42689</v>
      </c>
      <c r="B5068">
        <v>1</v>
      </c>
      <c r="C5068">
        <v>3</v>
      </c>
      <c r="D5068">
        <v>39</v>
      </c>
    </row>
    <row r="5069" spans="1:4" x14ac:dyDescent="0.25">
      <c r="A5069" s="1">
        <v>42690</v>
      </c>
      <c r="B5069">
        <v>1</v>
      </c>
      <c r="C5069">
        <v>3</v>
      </c>
      <c r="D5069">
        <v>29</v>
      </c>
    </row>
    <row r="5070" spans="1:4" x14ac:dyDescent="0.25">
      <c r="A5070" s="1">
        <v>42691</v>
      </c>
      <c r="B5070">
        <v>1</v>
      </c>
      <c r="C5070">
        <v>3</v>
      </c>
      <c r="D5070">
        <v>36</v>
      </c>
    </row>
    <row r="5071" spans="1:4" x14ac:dyDescent="0.25">
      <c r="A5071" s="1">
        <v>42692</v>
      </c>
      <c r="B5071">
        <v>1</v>
      </c>
      <c r="C5071">
        <v>3</v>
      </c>
      <c r="D5071">
        <v>38</v>
      </c>
    </row>
    <row r="5072" spans="1:4" x14ac:dyDescent="0.25">
      <c r="A5072" s="1">
        <v>42693</v>
      </c>
      <c r="B5072">
        <v>1</v>
      </c>
      <c r="C5072">
        <v>3</v>
      </c>
      <c r="D5072">
        <v>44</v>
      </c>
    </row>
    <row r="5073" spans="1:4" x14ac:dyDescent="0.25">
      <c r="A5073" s="1">
        <v>42694</v>
      </c>
      <c r="B5073">
        <v>1</v>
      </c>
      <c r="C5073">
        <v>3</v>
      </c>
      <c r="D5073">
        <v>53</v>
      </c>
    </row>
    <row r="5074" spans="1:4" x14ac:dyDescent="0.25">
      <c r="A5074" s="1">
        <v>42695</v>
      </c>
      <c r="B5074">
        <v>1</v>
      </c>
      <c r="C5074">
        <v>3</v>
      </c>
      <c r="D5074">
        <v>27</v>
      </c>
    </row>
    <row r="5075" spans="1:4" x14ac:dyDescent="0.25">
      <c r="A5075" s="1">
        <v>42696</v>
      </c>
      <c r="B5075">
        <v>1</v>
      </c>
      <c r="C5075">
        <v>3</v>
      </c>
      <c r="D5075">
        <v>46</v>
      </c>
    </row>
    <row r="5076" spans="1:4" x14ac:dyDescent="0.25">
      <c r="A5076" s="1">
        <v>42697</v>
      </c>
      <c r="B5076">
        <v>1</v>
      </c>
      <c r="C5076">
        <v>3</v>
      </c>
      <c r="D5076">
        <v>40</v>
      </c>
    </row>
    <row r="5077" spans="1:4" x14ac:dyDescent="0.25">
      <c r="A5077" s="1">
        <v>42698</v>
      </c>
      <c r="B5077">
        <v>1</v>
      </c>
      <c r="C5077">
        <v>3</v>
      </c>
      <c r="D5077">
        <v>37</v>
      </c>
    </row>
    <row r="5078" spans="1:4" x14ac:dyDescent="0.25">
      <c r="A5078" s="1">
        <v>42699</v>
      </c>
      <c r="B5078">
        <v>1</v>
      </c>
      <c r="C5078">
        <v>3</v>
      </c>
      <c r="D5078">
        <v>40</v>
      </c>
    </row>
    <row r="5079" spans="1:4" x14ac:dyDescent="0.25">
      <c r="A5079" s="1">
        <v>42700</v>
      </c>
      <c r="B5079">
        <v>1</v>
      </c>
      <c r="C5079">
        <v>3</v>
      </c>
      <c r="D5079">
        <v>50</v>
      </c>
    </row>
    <row r="5080" spans="1:4" x14ac:dyDescent="0.25">
      <c r="A5080" s="1">
        <v>42701</v>
      </c>
      <c r="B5080">
        <v>1</v>
      </c>
      <c r="C5080">
        <v>3</v>
      </c>
      <c r="D5080">
        <v>38</v>
      </c>
    </row>
    <row r="5081" spans="1:4" x14ac:dyDescent="0.25">
      <c r="A5081" s="1">
        <v>42702</v>
      </c>
      <c r="B5081">
        <v>1</v>
      </c>
      <c r="C5081">
        <v>3</v>
      </c>
      <c r="D5081">
        <v>21</v>
      </c>
    </row>
    <row r="5082" spans="1:4" x14ac:dyDescent="0.25">
      <c r="A5082" s="1">
        <v>42703</v>
      </c>
      <c r="B5082">
        <v>1</v>
      </c>
      <c r="C5082">
        <v>3</v>
      </c>
      <c r="D5082">
        <v>44</v>
      </c>
    </row>
    <row r="5083" spans="1:4" x14ac:dyDescent="0.25">
      <c r="A5083" s="1">
        <v>42704</v>
      </c>
      <c r="B5083">
        <v>1</v>
      </c>
      <c r="C5083">
        <v>3</v>
      </c>
      <c r="D5083">
        <v>28</v>
      </c>
    </row>
    <row r="5084" spans="1:4" x14ac:dyDescent="0.25">
      <c r="A5084" s="1">
        <v>42705</v>
      </c>
      <c r="B5084">
        <v>1</v>
      </c>
      <c r="C5084">
        <v>3</v>
      </c>
      <c r="D5084">
        <v>20</v>
      </c>
    </row>
    <row r="5085" spans="1:4" x14ac:dyDescent="0.25">
      <c r="A5085" s="1">
        <v>42706</v>
      </c>
      <c r="B5085">
        <v>1</v>
      </c>
      <c r="C5085">
        <v>3</v>
      </c>
      <c r="D5085">
        <v>28</v>
      </c>
    </row>
    <row r="5086" spans="1:4" x14ac:dyDescent="0.25">
      <c r="A5086" s="1">
        <v>42707</v>
      </c>
      <c r="B5086">
        <v>1</v>
      </c>
      <c r="C5086">
        <v>3</v>
      </c>
      <c r="D5086">
        <v>25</v>
      </c>
    </row>
    <row r="5087" spans="1:4" x14ac:dyDescent="0.25">
      <c r="A5087" s="1">
        <v>42708</v>
      </c>
      <c r="B5087">
        <v>1</v>
      </c>
      <c r="C5087">
        <v>3</v>
      </c>
      <c r="D5087">
        <v>36</v>
      </c>
    </row>
    <row r="5088" spans="1:4" x14ac:dyDescent="0.25">
      <c r="A5088" s="1">
        <v>42709</v>
      </c>
      <c r="B5088">
        <v>1</v>
      </c>
      <c r="C5088">
        <v>3</v>
      </c>
      <c r="D5088">
        <v>19</v>
      </c>
    </row>
    <row r="5089" spans="1:4" x14ac:dyDescent="0.25">
      <c r="A5089" s="1">
        <v>42710</v>
      </c>
      <c r="B5089">
        <v>1</v>
      </c>
      <c r="C5089">
        <v>3</v>
      </c>
      <c r="D5089">
        <v>28</v>
      </c>
    </row>
    <row r="5090" spans="1:4" x14ac:dyDescent="0.25">
      <c r="A5090" s="1">
        <v>42711</v>
      </c>
      <c r="B5090">
        <v>1</v>
      </c>
      <c r="C5090">
        <v>3</v>
      </c>
      <c r="D5090">
        <v>28</v>
      </c>
    </row>
    <row r="5091" spans="1:4" x14ac:dyDescent="0.25">
      <c r="A5091" s="1">
        <v>42712</v>
      </c>
      <c r="B5091">
        <v>1</v>
      </c>
      <c r="C5091">
        <v>3</v>
      </c>
      <c r="D5091">
        <v>23</v>
      </c>
    </row>
    <row r="5092" spans="1:4" x14ac:dyDescent="0.25">
      <c r="A5092" s="1">
        <v>42713</v>
      </c>
      <c r="B5092">
        <v>1</v>
      </c>
      <c r="C5092">
        <v>3</v>
      </c>
      <c r="D5092">
        <v>38</v>
      </c>
    </row>
    <row r="5093" spans="1:4" x14ac:dyDescent="0.25">
      <c r="A5093" s="1">
        <v>42714</v>
      </c>
      <c r="B5093">
        <v>1</v>
      </c>
      <c r="C5093">
        <v>3</v>
      </c>
      <c r="D5093">
        <v>37</v>
      </c>
    </row>
    <row r="5094" spans="1:4" x14ac:dyDescent="0.25">
      <c r="A5094" s="1">
        <v>42715</v>
      </c>
      <c r="B5094">
        <v>1</v>
      </c>
      <c r="C5094">
        <v>3</v>
      </c>
      <c r="D5094">
        <v>33</v>
      </c>
    </row>
    <row r="5095" spans="1:4" x14ac:dyDescent="0.25">
      <c r="A5095" s="1">
        <v>42716</v>
      </c>
      <c r="B5095">
        <v>1</v>
      </c>
      <c r="C5095">
        <v>3</v>
      </c>
      <c r="D5095">
        <v>18</v>
      </c>
    </row>
    <row r="5096" spans="1:4" x14ac:dyDescent="0.25">
      <c r="A5096" s="1">
        <v>42717</v>
      </c>
      <c r="B5096">
        <v>1</v>
      </c>
      <c r="C5096">
        <v>3</v>
      </c>
      <c r="D5096">
        <v>31</v>
      </c>
    </row>
    <row r="5097" spans="1:4" x14ac:dyDescent="0.25">
      <c r="A5097" s="1">
        <v>42718</v>
      </c>
      <c r="B5097">
        <v>1</v>
      </c>
      <c r="C5097">
        <v>3</v>
      </c>
      <c r="D5097">
        <v>21</v>
      </c>
    </row>
    <row r="5098" spans="1:4" x14ac:dyDescent="0.25">
      <c r="A5098" s="1">
        <v>42719</v>
      </c>
      <c r="B5098">
        <v>1</v>
      </c>
      <c r="C5098">
        <v>3</v>
      </c>
      <c r="D5098">
        <v>22</v>
      </c>
    </row>
    <row r="5099" spans="1:4" x14ac:dyDescent="0.25">
      <c r="A5099" s="1">
        <v>42720</v>
      </c>
      <c r="B5099">
        <v>1</v>
      </c>
      <c r="C5099">
        <v>3</v>
      </c>
      <c r="D5099">
        <v>25</v>
      </c>
    </row>
    <row r="5100" spans="1:4" x14ac:dyDescent="0.25">
      <c r="A5100" s="1">
        <v>42721</v>
      </c>
      <c r="B5100">
        <v>1</v>
      </c>
      <c r="C5100">
        <v>3</v>
      </c>
      <c r="D5100">
        <v>23</v>
      </c>
    </row>
    <row r="5101" spans="1:4" x14ac:dyDescent="0.25">
      <c r="A5101" s="1">
        <v>42722</v>
      </c>
      <c r="B5101">
        <v>1</v>
      </c>
      <c r="C5101">
        <v>3</v>
      </c>
      <c r="D5101">
        <v>25</v>
      </c>
    </row>
    <row r="5102" spans="1:4" x14ac:dyDescent="0.25">
      <c r="A5102" s="1">
        <v>42723</v>
      </c>
      <c r="B5102">
        <v>1</v>
      </c>
      <c r="C5102">
        <v>3</v>
      </c>
      <c r="D5102">
        <v>21</v>
      </c>
    </row>
    <row r="5103" spans="1:4" x14ac:dyDescent="0.25">
      <c r="A5103" s="1">
        <v>42724</v>
      </c>
      <c r="B5103">
        <v>1</v>
      </c>
      <c r="C5103">
        <v>3</v>
      </c>
      <c r="D5103">
        <v>24</v>
      </c>
    </row>
    <row r="5104" spans="1:4" x14ac:dyDescent="0.25">
      <c r="A5104" s="1">
        <v>42725</v>
      </c>
      <c r="B5104">
        <v>1</v>
      </c>
      <c r="C5104">
        <v>3</v>
      </c>
      <c r="D5104">
        <v>26</v>
      </c>
    </row>
    <row r="5105" spans="1:4" x14ac:dyDescent="0.25">
      <c r="A5105" s="1">
        <v>42726</v>
      </c>
      <c r="B5105">
        <v>1</v>
      </c>
      <c r="C5105">
        <v>3</v>
      </c>
      <c r="D5105">
        <v>24</v>
      </c>
    </row>
    <row r="5106" spans="1:4" x14ac:dyDescent="0.25">
      <c r="A5106" s="1">
        <v>42727</v>
      </c>
      <c r="B5106">
        <v>1</v>
      </c>
      <c r="C5106">
        <v>3</v>
      </c>
      <c r="D5106">
        <v>26</v>
      </c>
    </row>
    <row r="5107" spans="1:4" x14ac:dyDescent="0.25">
      <c r="A5107" s="1">
        <v>42728</v>
      </c>
      <c r="B5107">
        <v>1</v>
      </c>
      <c r="C5107">
        <v>3</v>
      </c>
      <c r="D5107">
        <v>37</v>
      </c>
    </row>
    <row r="5108" spans="1:4" x14ac:dyDescent="0.25">
      <c r="A5108" s="1">
        <v>42729</v>
      </c>
      <c r="B5108">
        <v>1</v>
      </c>
      <c r="C5108">
        <v>3</v>
      </c>
      <c r="D5108">
        <v>38</v>
      </c>
    </row>
    <row r="5109" spans="1:4" x14ac:dyDescent="0.25">
      <c r="A5109" s="1">
        <v>42730</v>
      </c>
      <c r="B5109">
        <v>1</v>
      </c>
      <c r="C5109">
        <v>3</v>
      </c>
      <c r="D5109">
        <v>23</v>
      </c>
    </row>
    <row r="5110" spans="1:4" x14ac:dyDescent="0.25">
      <c r="A5110" s="1">
        <v>42731</v>
      </c>
      <c r="B5110">
        <v>1</v>
      </c>
      <c r="C5110">
        <v>3</v>
      </c>
      <c r="D5110">
        <v>29</v>
      </c>
    </row>
    <row r="5111" spans="1:4" x14ac:dyDescent="0.25">
      <c r="A5111" s="1">
        <v>42732</v>
      </c>
      <c r="B5111">
        <v>1</v>
      </c>
      <c r="C5111">
        <v>3</v>
      </c>
      <c r="D5111">
        <v>22</v>
      </c>
    </row>
    <row r="5112" spans="1:4" x14ac:dyDescent="0.25">
      <c r="A5112" s="1">
        <v>42733</v>
      </c>
      <c r="B5112">
        <v>1</v>
      </c>
      <c r="C5112">
        <v>3</v>
      </c>
      <c r="D5112">
        <v>26</v>
      </c>
    </row>
    <row r="5113" spans="1:4" x14ac:dyDescent="0.25">
      <c r="A5113" s="1">
        <v>42734</v>
      </c>
      <c r="B5113">
        <v>1</v>
      </c>
      <c r="C5113">
        <v>3</v>
      </c>
      <c r="D5113">
        <v>26</v>
      </c>
    </row>
    <row r="5114" spans="1:4" x14ac:dyDescent="0.25">
      <c r="A5114" s="1">
        <v>42735</v>
      </c>
      <c r="B5114">
        <v>1</v>
      </c>
      <c r="C5114">
        <v>3</v>
      </c>
      <c r="D5114">
        <v>29</v>
      </c>
    </row>
    <row r="5115" spans="1:4" x14ac:dyDescent="0.25">
      <c r="A5115" s="1">
        <v>42736</v>
      </c>
      <c r="B5115">
        <v>1</v>
      </c>
      <c r="C5115">
        <v>3</v>
      </c>
      <c r="D5115">
        <v>36</v>
      </c>
    </row>
    <row r="5116" spans="1:4" x14ac:dyDescent="0.25">
      <c r="A5116" s="1">
        <v>42737</v>
      </c>
      <c r="B5116">
        <v>1</v>
      </c>
      <c r="C5116">
        <v>3</v>
      </c>
      <c r="D5116">
        <v>23</v>
      </c>
    </row>
    <row r="5117" spans="1:4" x14ac:dyDescent="0.25">
      <c r="A5117" s="1">
        <v>42738</v>
      </c>
      <c r="B5117">
        <v>1</v>
      </c>
      <c r="C5117">
        <v>3</v>
      </c>
      <c r="D5117">
        <v>20</v>
      </c>
    </row>
    <row r="5118" spans="1:4" x14ac:dyDescent="0.25">
      <c r="A5118" s="1">
        <v>42739</v>
      </c>
      <c r="B5118">
        <v>1</v>
      </c>
      <c r="C5118">
        <v>3</v>
      </c>
      <c r="D5118">
        <v>23</v>
      </c>
    </row>
    <row r="5119" spans="1:4" x14ac:dyDescent="0.25">
      <c r="A5119" s="1">
        <v>42740</v>
      </c>
      <c r="B5119">
        <v>1</v>
      </c>
      <c r="C5119">
        <v>3</v>
      </c>
      <c r="D5119">
        <v>25</v>
      </c>
    </row>
    <row r="5120" spans="1:4" x14ac:dyDescent="0.25">
      <c r="A5120" s="1">
        <v>42741</v>
      </c>
      <c r="B5120">
        <v>1</v>
      </c>
      <c r="C5120">
        <v>3</v>
      </c>
      <c r="D5120">
        <v>23</v>
      </c>
    </row>
    <row r="5121" spans="1:4" x14ac:dyDescent="0.25">
      <c r="A5121" s="1">
        <v>42742</v>
      </c>
      <c r="B5121">
        <v>1</v>
      </c>
      <c r="C5121">
        <v>3</v>
      </c>
      <c r="D5121">
        <v>26</v>
      </c>
    </row>
    <row r="5122" spans="1:4" x14ac:dyDescent="0.25">
      <c r="A5122" s="1">
        <v>42743</v>
      </c>
      <c r="B5122">
        <v>1</v>
      </c>
      <c r="C5122">
        <v>3</v>
      </c>
      <c r="D5122">
        <v>32</v>
      </c>
    </row>
    <row r="5123" spans="1:4" x14ac:dyDescent="0.25">
      <c r="A5123" s="1">
        <v>42744</v>
      </c>
      <c r="B5123">
        <v>1</v>
      </c>
      <c r="C5123">
        <v>3</v>
      </c>
      <c r="D5123">
        <v>23</v>
      </c>
    </row>
    <row r="5124" spans="1:4" x14ac:dyDescent="0.25">
      <c r="A5124" s="1">
        <v>42745</v>
      </c>
      <c r="B5124">
        <v>1</v>
      </c>
      <c r="C5124">
        <v>3</v>
      </c>
      <c r="D5124">
        <v>17</v>
      </c>
    </row>
    <row r="5125" spans="1:4" x14ac:dyDescent="0.25">
      <c r="A5125" s="1">
        <v>42746</v>
      </c>
      <c r="B5125">
        <v>1</v>
      </c>
      <c r="C5125">
        <v>3</v>
      </c>
      <c r="D5125">
        <v>15</v>
      </c>
    </row>
    <row r="5126" spans="1:4" x14ac:dyDescent="0.25">
      <c r="A5126" s="1">
        <v>42747</v>
      </c>
      <c r="B5126">
        <v>1</v>
      </c>
      <c r="C5126">
        <v>3</v>
      </c>
      <c r="D5126">
        <v>37</v>
      </c>
    </row>
    <row r="5127" spans="1:4" x14ac:dyDescent="0.25">
      <c r="A5127" s="1">
        <v>42748</v>
      </c>
      <c r="B5127">
        <v>1</v>
      </c>
      <c r="C5127">
        <v>3</v>
      </c>
      <c r="D5127">
        <v>31</v>
      </c>
    </row>
    <row r="5128" spans="1:4" x14ac:dyDescent="0.25">
      <c r="A5128" s="1">
        <v>42749</v>
      </c>
      <c r="B5128">
        <v>1</v>
      </c>
      <c r="C5128">
        <v>3</v>
      </c>
      <c r="D5128">
        <v>30</v>
      </c>
    </row>
    <row r="5129" spans="1:4" x14ac:dyDescent="0.25">
      <c r="A5129" s="1">
        <v>42750</v>
      </c>
      <c r="B5129">
        <v>1</v>
      </c>
      <c r="C5129">
        <v>3</v>
      </c>
      <c r="D5129">
        <v>22</v>
      </c>
    </row>
    <row r="5130" spans="1:4" x14ac:dyDescent="0.25">
      <c r="A5130" s="1">
        <v>42751</v>
      </c>
      <c r="B5130">
        <v>1</v>
      </c>
      <c r="C5130">
        <v>3</v>
      </c>
      <c r="D5130">
        <v>19</v>
      </c>
    </row>
    <row r="5131" spans="1:4" x14ac:dyDescent="0.25">
      <c r="A5131" s="1">
        <v>42752</v>
      </c>
      <c r="B5131">
        <v>1</v>
      </c>
      <c r="C5131">
        <v>3</v>
      </c>
      <c r="D5131">
        <v>20</v>
      </c>
    </row>
    <row r="5132" spans="1:4" x14ac:dyDescent="0.25">
      <c r="A5132" s="1">
        <v>42753</v>
      </c>
      <c r="B5132">
        <v>1</v>
      </c>
      <c r="C5132">
        <v>3</v>
      </c>
      <c r="D5132">
        <v>34</v>
      </c>
    </row>
    <row r="5133" spans="1:4" x14ac:dyDescent="0.25">
      <c r="A5133" s="1">
        <v>42754</v>
      </c>
      <c r="B5133">
        <v>1</v>
      </c>
      <c r="C5133">
        <v>3</v>
      </c>
      <c r="D5133">
        <v>22</v>
      </c>
    </row>
    <row r="5134" spans="1:4" x14ac:dyDescent="0.25">
      <c r="A5134" s="1">
        <v>42755</v>
      </c>
      <c r="B5134">
        <v>1</v>
      </c>
      <c r="C5134">
        <v>3</v>
      </c>
      <c r="D5134">
        <v>26</v>
      </c>
    </row>
    <row r="5135" spans="1:4" x14ac:dyDescent="0.25">
      <c r="A5135" s="1">
        <v>42756</v>
      </c>
      <c r="B5135">
        <v>1</v>
      </c>
      <c r="C5135">
        <v>3</v>
      </c>
      <c r="D5135">
        <v>33</v>
      </c>
    </row>
    <row r="5136" spans="1:4" x14ac:dyDescent="0.25">
      <c r="A5136" s="1">
        <v>42757</v>
      </c>
      <c r="B5136">
        <v>1</v>
      </c>
      <c r="C5136">
        <v>3</v>
      </c>
      <c r="D5136">
        <v>33</v>
      </c>
    </row>
    <row r="5137" spans="1:4" x14ac:dyDescent="0.25">
      <c r="A5137" s="1">
        <v>42758</v>
      </c>
      <c r="B5137">
        <v>1</v>
      </c>
      <c r="C5137">
        <v>3</v>
      </c>
      <c r="D5137">
        <v>17</v>
      </c>
    </row>
    <row r="5138" spans="1:4" x14ac:dyDescent="0.25">
      <c r="A5138" s="1">
        <v>42759</v>
      </c>
      <c r="B5138">
        <v>1</v>
      </c>
      <c r="C5138">
        <v>3</v>
      </c>
      <c r="D5138">
        <v>19</v>
      </c>
    </row>
    <row r="5139" spans="1:4" x14ac:dyDescent="0.25">
      <c r="A5139" s="1">
        <v>42760</v>
      </c>
      <c r="B5139">
        <v>1</v>
      </c>
      <c r="C5139">
        <v>3</v>
      </c>
      <c r="D5139">
        <v>25</v>
      </c>
    </row>
    <row r="5140" spans="1:4" x14ac:dyDescent="0.25">
      <c r="A5140" s="1">
        <v>42761</v>
      </c>
      <c r="B5140">
        <v>1</v>
      </c>
      <c r="C5140">
        <v>3</v>
      </c>
      <c r="D5140">
        <v>17</v>
      </c>
    </row>
    <row r="5141" spans="1:4" x14ac:dyDescent="0.25">
      <c r="A5141" s="1">
        <v>42762</v>
      </c>
      <c r="B5141">
        <v>1</v>
      </c>
      <c r="C5141">
        <v>3</v>
      </c>
      <c r="D5141">
        <v>28</v>
      </c>
    </row>
    <row r="5142" spans="1:4" x14ac:dyDescent="0.25">
      <c r="A5142" s="1">
        <v>42763</v>
      </c>
      <c r="B5142">
        <v>1</v>
      </c>
      <c r="C5142">
        <v>3</v>
      </c>
      <c r="D5142">
        <v>30</v>
      </c>
    </row>
    <row r="5143" spans="1:4" x14ac:dyDescent="0.25">
      <c r="A5143" s="1">
        <v>42764</v>
      </c>
      <c r="B5143">
        <v>1</v>
      </c>
      <c r="C5143">
        <v>3</v>
      </c>
      <c r="D5143">
        <v>27</v>
      </c>
    </row>
    <row r="5144" spans="1:4" x14ac:dyDescent="0.25">
      <c r="A5144" s="1">
        <v>42765</v>
      </c>
      <c r="B5144">
        <v>1</v>
      </c>
      <c r="C5144">
        <v>3</v>
      </c>
      <c r="D5144">
        <v>27</v>
      </c>
    </row>
    <row r="5145" spans="1:4" x14ac:dyDescent="0.25">
      <c r="A5145" s="1">
        <v>42766</v>
      </c>
      <c r="B5145">
        <v>1</v>
      </c>
      <c r="C5145">
        <v>3</v>
      </c>
      <c r="D5145">
        <v>28</v>
      </c>
    </row>
    <row r="5146" spans="1:4" x14ac:dyDescent="0.25">
      <c r="A5146" s="1">
        <v>42767</v>
      </c>
      <c r="B5146">
        <v>1</v>
      </c>
      <c r="C5146">
        <v>3</v>
      </c>
      <c r="D5146">
        <v>25</v>
      </c>
    </row>
    <row r="5147" spans="1:4" x14ac:dyDescent="0.25">
      <c r="A5147" s="1">
        <v>42768</v>
      </c>
      <c r="B5147">
        <v>1</v>
      </c>
      <c r="C5147">
        <v>3</v>
      </c>
      <c r="D5147">
        <v>20</v>
      </c>
    </row>
    <row r="5148" spans="1:4" x14ac:dyDescent="0.25">
      <c r="A5148" s="1">
        <v>42769</v>
      </c>
      <c r="B5148">
        <v>1</v>
      </c>
      <c r="C5148">
        <v>3</v>
      </c>
      <c r="D5148">
        <v>31</v>
      </c>
    </row>
    <row r="5149" spans="1:4" x14ac:dyDescent="0.25">
      <c r="A5149" s="1">
        <v>42770</v>
      </c>
      <c r="B5149">
        <v>1</v>
      </c>
      <c r="C5149">
        <v>3</v>
      </c>
      <c r="D5149">
        <v>19</v>
      </c>
    </row>
    <row r="5150" spans="1:4" x14ac:dyDescent="0.25">
      <c r="A5150" s="1">
        <v>42771</v>
      </c>
      <c r="B5150">
        <v>1</v>
      </c>
      <c r="C5150">
        <v>3</v>
      </c>
      <c r="D5150">
        <v>38</v>
      </c>
    </row>
    <row r="5151" spans="1:4" x14ac:dyDescent="0.25">
      <c r="A5151" s="1">
        <v>42772</v>
      </c>
      <c r="B5151">
        <v>1</v>
      </c>
      <c r="C5151">
        <v>3</v>
      </c>
      <c r="D5151">
        <v>23</v>
      </c>
    </row>
    <row r="5152" spans="1:4" x14ac:dyDescent="0.25">
      <c r="A5152" s="1">
        <v>42773</v>
      </c>
      <c r="B5152">
        <v>1</v>
      </c>
      <c r="C5152">
        <v>3</v>
      </c>
      <c r="D5152">
        <v>27</v>
      </c>
    </row>
    <row r="5153" spans="1:4" x14ac:dyDescent="0.25">
      <c r="A5153" s="1">
        <v>42774</v>
      </c>
      <c r="B5153">
        <v>1</v>
      </c>
      <c r="C5153">
        <v>3</v>
      </c>
      <c r="D5153">
        <v>20</v>
      </c>
    </row>
    <row r="5154" spans="1:4" x14ac:dyDescent="0.25">
      <c r="A5154" s="1">
        <v>42775</v>
      </c>
      <c r="B5154">
        <v>1</v>
      </c>
      <c r="C5154">
        <v>3</v>
      </c>
      <c r="D5154">
        <v>30</v>
      </c>
    </row>
    <row r="5155" spans="1:4" x14ac:dyDescent="0.25">
      <c r="A5155" s="1">
        <v>42776</v>
      </c>
      <c r="B5155">
        <v>1</v>
      </c>
      <c r="C5155">
        <v>3</v>
      </c>
      <c r="D5155">
        <v>37</v>
      </c>
    </row>
    <row r="5156" spans="1:4" x14ac:dyDescent="0.25">
      <c r="A5156" s="1">
        <v>42777</v>
      </c>
      <c r="B5156">
        <v>1</v>
      </c>
      <c r="C5156">
        <v>3</v>
      </c>
      <c r="D5156">
        <v>23</v>
      </c>
    </row>
    <row r="5157" spans="1:4" x14ac:dyDescent="0.25">
      <c r="A5157" s="1">
        <v>42778</v>
      </c>
      <c r="B5157">
        <v>1</v>
      </c>
      <c r="C5157">
        <v>3</v>
      </c>
      <c r="D5157">
        <v>31</v>
      </c>
    </row>
    <row r="5158" spans="1:4" x14ac:dyDescent="0.25">
      <c r="A5158" s="1">
        <v>42779</v>
      </c>
      <c r="B5158">
        <v>1</v>
      </c>
      <c r="C5158">
        <v>3</v>
      </c>
      <c r="D5158">
        <v>28</v>
      </c>
    </row>
    <row r="5159" spans="1:4" x14ac:dyDescent="0.25">
      <c r="A5159" s="1">
        <v>42780</v>
      </c>
      <c r="B5159">
        <v>1</v>
      </c>
      <c r="C5159">
        <v>3</v>
      </c>
      <c r="D5159">
        <v>19</v>
      </c>
    </row>
    <row r="5160" spans="1:4" x14ac:dyDescent="0.25">
      <c r="A5160" s="1">
        <v>42781</v>
      </c>
      <c r="B5160">
        <v>1</v>
      </c>
      <c r="C5160">
        <v>3</v>
      </c>
      <c r="D5160">
        <v>22</v>
      </c>
    </row>
    <row r="5161" spans="1:4" x14ac:dyDescent="0.25">
      <c r="A5161" s="1">
        <v>42782</v>
      </c>
      <c r="B5161">
        <v>1</v>
      </c>
      <c r="C5161">
        <v>3</v>
      </c>
      <c r="D5161">
        <v>33</v>
      </c>
    </row>
    <row r="5162" spans="1:4" x14ac:dyDescent="0.25">
      <c r="A5162" s="1">
        <v>42783</v>
      </c>
      <c r="B5162">
        <v>1</v>
      </c>
      <c r="C5162">
        <v>3</v>
      </c>
      <c r="D5162">
        <v>29</v>
      </c>
    </row>
    <row r="5163" spans="1:4" x14ac:dyDescent="0.25">
      <c r="A5163" s="1">
        <v>42784</v>
      </c>
      <c r="B5163">
        <v>1</v>
      </c>
      <c r="C5163">
        <v>3</v>
      </c>
      <c r="D5163">
        <v>39</v>
      </c>
    </row>
    <row r="5164" spans="1:4" x14ac:dyDescent="0.25">
      <c r="A5164" s="1">
        <v>42785</v>
      </c>
      <c r="B5164">
        <v>1</v>
      </c>
      <c r="C5164">
        <v>3</v>
      </c>
      <c r="D5164">
        <v>34</v>
      </c>
    </row>
    <row r="5165" spans="1:4" x14ac:dyDescent="0.25">
      <c r="A5165" s="1">
        <v>42786</v>
      </c>
      <c r="B5165">
        <v>1</v>
      </c>
      <c r="C5165">
        <v>3</v>
      </c>
      <c r="D5165">
        <v>24</v>
      </c>
    </row>
    <row r="5166" spans="1:4" x14ac:dyDescent="0.25">
      <c r="A5166" s="1">
        <v>42787</v>
      </c>
      <c r="B5166">
        <v>1</v>
      </c>
      <c r="C5166">
        <v>3</v>
      </c>
      <c r="D5166">
        <v>29</v>
      </c>
    </row>
    <row r="5167" spans="1:4" x14ac:dyDescent="0.25">
      <c r="A5167" s="1">
        <v>42788</v>
      </c>
      <c r="B5167">
        <v>1</v>
      </c>
      <c r="C5167">
        <v>3</v>
      </c>
      <c r="D5167">
        <v>25</v>
      </c>
    </row>
    <row r="5168" spans="1:4" x14ac:dyDescent="0.25">
      <c r="A5168" s="1">
        <v>42789</v>
      </c>
      <c r="B5168">
        <v>1</v>
      </c>
      <c r="C5168">
        <v>3</v>
      </c>
      <c r="D5168">
        <v>19</v>
      </c>
    </row>
    <row r="5169" spans="1:4" x14ac:dyDescent="0.25">
      <c r="A5169" s="1">
        <v>42790</v>
      </c>
      <c r="B5169">
        <v>1</v>
      </c>
      <c r="C5169">
        <v>3</v>
      </c>
      <c r="D5169">
        <v>35</v>
      </c>
    </row>
    <row r="5170" spans="1:4" x14ac:dyDescent="0.25">
      <c r="A5170" s="1">
        <v>42791</v>
      </c>
      <c r="B5170">
        <v>1</v>
      </c>
      <c r="C5170">
        <v>3</v>
      </c>
      <c r="D5170">
        <v>29</v>
      </c>
    </row>
    <row r="5171" spans="1:4" x14ac:dyDescent="0.25">
      <c r="A5171" s="1">
        <v>42792</v>
      </c>
      <c r="B5171">
        <v>1</v>
      </c>
      <c r="C5171">
        <v>3</v>
      </c>
      <c r="D5171">
        <v>32</v>
      </c>
    </row>
    <row r="5172" spans="1:4" x14ac:dyDescent="0.25">
      <c r="A5172" s="1">
        <v>42793</v>
      </c>
      <c r="B5172">
        <v>1</v>
      </c>
      <c r="C5172">
        <v>3</v>
      </c>
      <c r="D5172">
        <v>25</v>
      </c>
    </row>
    <row r="5173" spans="1:4" x14ac:dyDescent="0.25">
      <c r="A5173" s="1">
        <v>42794</v>
      </c>
      <c r="B5173">
        <v>1</v>
      </c>
      <c r="C5173">
        <v>3</v>
      </c>
      <c r="D5173">
        <v>31</v>
      </c>
    </row>
    <row r="5174" spans="1:4" x14ac:dyDescent="0.25">
      <c r="A5174" s="1">
        <v>42795</v>
      </c>
      <c r="B5174">
        <v>1</v>
      </c>
      <c r="C5174">
        <v>3</v>
      </c>
      <c r="D5174">
        <v>40</v>
      </c>
    </row>
    <row r="5175" spans="1:4" x14ac:dyDescent="0.25">
      <c r="A5175" s="1">
        <v>42796</v>
      </c>
      <c r="B5175">
        <v>1</v>
      </c>
      <c r="C5175">
        <v>3</v>
      </c>
      <c r="D5175">
        <v>34</v>
      </c>
    </row>
    <row r="5176" spans="1:4" x14ac:dyDescent="0.25">
      <c r="A5176" s="1">
        <v>42797</v>
      </c>
      <c r="B5176">
        <v>1</v>
      </c>
      <c r="C5176">
        <v>3</v>
      </c>
      <c r="D5176">
        <v>32</v>
      </c>
    </row>
    <row r="5177" spans="1:4" x14ac:dyDescent="0.25">
      <c r="A5177" s="1">
        <v>42798</v>
      </c>
      <c r="B5177">
        <v>1</v>
      </c>
      <c r="C5177">
        <v>3</v>
      </c>
      <c r="D5177">
        <v>32</v>
      </c>
    </row>
    <row r="5178" spans="1:4" x14ac:dyDescent="0.25">
      <c r="A5178" s="1">
        <v>42799</v>
      </c>
      <c r="B5178">
        <v>1</v>
      </c>
      <c r="C5178">
        <v>3</v>
      </c>
      <c r="D5178">
        <v>41</v>
      </c>
    </row>
    <row r="5179" spans="1:4" x14ac:dyDescent="0.25">
      <c r="A5179" s="1">
        <v>42800</v>
      </c>
      <c r="B5179">
        <v>1</v>
      </c>
      <c r="C5179">
        <v>3</v>
      </c>
      <c r="D5179">
        <v>19</v>
      </c>
    </row>
    <row r="5180" spans="1:4" x14ac:dyDescent="0.25">
      <c r="A5180" s="1">
        <v>42801</v>
      </c>
      <c r="B5180">
        <v>1</v>
      </c>
      <c r="C5180">
        <v>3</v>
      </c>
      <c r="D5180">
        <v>30</v>
      </c>
    </row>
    <row r="5181" spans="1:4" x14ac:dyDescent="0.25">
      <c r="A5181" s="1">
        <v>42802</v>
      </c>
      <c r="B5181">
        <v>1</v>
      </c>
      <c r="C5181">
        <v>3</v>
      </c>
      <c r="D5181">
        <v>35</v>
      </c>
    </row>
    <row r="5182" spans="1:4" x14ac:dyDescent="0.25">
      <c r="A5182" s="1">
        <v>42803</v>
      </c>
      <c r="B5182">
        <v>1</v>
      </c>
      <c r="C5182">
        <v>3</v>
      </c>
      <c r="D5182">
        <v>27</v>
      </c>
    </row>
    <row r="5183" spans="1:4" x14ac:dyDescent="0.25">
      <c r="A5183" s="1">
        <v>42804</v>
      </c>
      <c r="B5183">
        <v>1</v>
      </c>
      <c r="C5183">
        <v>3</v>
      </c>
      <c r="D5183">
        <v>36</v>
      </c>
    </row>
    <row r="5184" spans="1:4" x14ac:dyDescent="0.25">
      <c r="A5184" s="1">
        <v>42805</v>
      </c>
      <c r="B5184">
        <v>1</v>
      </c>
      <c r="C5184">
        <v>3</v>
      </c>
      <c r="D5184">
        <v>35</v>
      </c>
    </row>
    <row r="5185" spans="1:4" x14ac:dyDescent="0.25">
      <c r="A5185" s="1">
        <v>42806</v>
      </c>
      <c r="B5185">
        <v>1</v>
      </c>
      <c r="C5185">
        <v>3</v>
      </c>
      <c r="D5185">
        <v>34</v>
      </c>
    </row>
    <row r="5186" spans="1:4" x14ac:dyDescent="0.25">
      <c r="A5186" s="1">
        <v>42807</v>
      </c>
      <c r="B5186">
        <v>1</v>
      </c>
      <c r="C5186">
        <v>3</v>
      </c>
      <c r="D5186">
        <v>28</v>
      </c>
    </row>
    <row r="5187" spans="1:4" x14ac:dyDescent="0.25">
      <c r="A5187" s="1">
        <v>42808</v>
      </c>
      <c r="B5187">
        <v>1</v>
      </c>
      <c r="C5187">
        <v>3</v>
      </c>
      <c r="D5187">
        <v>34</v>
      </c>
    </row>
    <row r="5188" spans="1:4" x14ac:dyDescent="0.25">
      <c r="A5188" s="1">
        <v>42809</v>
      </c>
      <c r="B5188">
        <v>1</v>
      </c>
      <c r="C5188">
        <v>3</v>
      </c>
      <c r="D5188">
        <v>37</v>
      </c>
    </row>
    <row r="5189" spans="1:4" x14ac:dyDescent="0.25">
      <c r="A5189" s="1">
        <v>42810</v>
      </c>
      <c r="B5189">
        <v>1</v>
      </c>
      <c r="C5189">
        <v>3</v>
      </c>
      <c r="D5189">
        <v>33</v>
      </c>
    </row>
    <row r="5190" spans="1:4" x14ac:dyDescent="0.25">
      <c r="A5190" s="1">
        <v>42811</v>
      </c>
      <c r="B5190">
        <v>1</v>
      </c>
      <c r="C5190">
        <v>3</v>
      </c>
      <c r="D5190">
        <v>28</v>
      </c>
    </row>
    <row r="5191" spans="1:4" x14ac:dyDescent="0.25">
      <c r="A5191" s="1">
        <v>42812</v>
      </c>
      <c r="B5191">
        <v>1</v>
      </c>
      <c r="C5191">
        <v>3</v>
      </c>
      <c r="D5191">
        <v>36</v>
      </c>
    </row>
    <row r="5192" spans="1:4" x14ac:dyDescent="0.25">
      <c r="A5192" s="1">
        <v>42813</v>
      </c>
      <c r="B5192">
        <v>1</v>
      </c>
      <c r="C5192">
        <v>3</v>
      </c>
      <c r="D5192">
        <v>48</v>
      </c>
    </row>
    <row r="5193" spans="1:4" x14ac:dyDescent="0.25">
      <c r="A5193" s="1">
        <v>42814</v>
      </c>
      <c r="B5193">
        <v>1</v>
      </c>
      <c r="C5193">
        <v>3</v>
      </c>
      <c r="D5193">
        <v>22</v>
      </c>
    </row>
    <row r="5194" spans="1:4" x14ac:dyDescent="0.25">
      <c r="A5194" s="1">
        <v>42815</v>
      </c>
      <c r="B5194">
        <v>1</v>
      </c>
      <c r="C5194">
        <v>3</v>
      </c>
      <c r="D5194">
        <v>32</v>
      </c>
    </row>
    <row r="5195" spans="1:4" x14ac:dyDescent="0.25">
      <c r="A5195" s="1">
        <v>42816</v>
      </c>
      <c r="B5195">
        <v>1</v>
      </c>
      <c r="C5195">
        <v>3</v>
      </c>
      <c r="D5195">
        <v>20</v>
      </c>
    </row>
    <row r="5196" spans="1:4" x14ac:dyDescent="0.25">
      <c r="A5196" s="1">
        <v>42817</v>
      </c>
      <c r="B5196">
        <v>1</v>
      </c>
      <c r="C5196">
        <v>3</v>
      </c>
      <c r="D5196">
        <v>33</v>
      </c>
    </row>
    <row r="5197" spans="1:4" x14ac:dyDescent="0.25">
      <c r="A5197" s="1">
        <v>42818</v>
      </c>
      <c r="B5197">
        <v>1</v>
      </c>
      <c r="C5197">
        <v>3</v>
      </c>
      <c r="D5197">
        <v>39</v>
      </c>
    </row>
    <row r="5198" spans="1:4" x14ac:dyDescent="0.25">
      <c r="A5198" s="1">
        <v>42819</v>
      </c>
      <c r="B5198">
        <v>1</v>
      </c>
      <c r="C5198">
        <v>3</v>
      </c>
      <c r="D5198">
        <v>41</v>
      </c>
    </row>
    <row r="5199" spans="1:4" x14ac:dyDescent="0.25">
      <c r="A5199" s="1">
        <v>42820</v>
      </c>
      <c r="B5199">
        <v>1</v>
      </c>
      <c r="C5199">
        <v>3</v>
      </c>
      <c r="D5199">
        <v>44</v>
      </c>
    </row>
    <row r="5200" spans="1:4" x14ac:dyDescent="0.25">
      <c r="A5200" s="1">
        <v>42821</v>
      </c>
      <c r="B5200">
        <v>1</v>
      </c>
      <c r="C5200">
        <v>3</v>
      </c>
      <c r="D5200">
        <v>32</v>
      </c>
    </row>
    <row r="5201" spans="1:4" x14ac:dyDescent="0.25">
      <c r="A5201" s="1">
        <v>42822</v>
      </c>
      <c r="B5201">
        <v>1</v>
      </c>
      <c r="C5201">
        <v>3</v>
      </c>
      <c r="D5201">
        <v>29</v>
      </c>
    </row>
    <row r="5202" spans="1:4" x14ac:dyDescent="0.25">
      <c r="A5202" s="1">
        <v>42823</v>
      </c>
      <c r="B5202">
        <v>1</v>
      </c>
      <c r="C5202">
        <v>3</v>
      </c>
      <c r="D5202">
        <v>28</v>
      </c>
    </row>
    <row r="5203" spans="1:4" x14ac:dyDescent="0.25">
      <c r="A5203" s="1">
        <v>42824</v>
      </c>
      <c r="B5203">
        <v>1</v>
      </c>
      <c r="C5203">
        <v>3</v>
      </c>
      <c r="D5203">
        <v>28</v>
      </c>
    </row>
    <row r="5204" spans="1:4" x14ac:dyDescent="0.25">
      <c r="A5204" s="1">
        <v>42825</v>
      </c>
      <c r="B5204">
        <v>1</v>
      </c>
      <c r="C5204">
        <v>3</v>
      </c>
      <c r="D5204">
        <v>36</v>
      </c>
    </row>
    <row r="5205" spans="1:4" x14ac:dyDescent="0.25">
      <c r="A5205" s="1">
        <v>42826</v>
      </c>
      <c r="B5205">
        <v>1</v>
      </c>
      <c r="C5205">
        <v>3</v>
      </c>
      <c r="D5205">
        <v>40</v>
      </c>
    </row>
    <row r="5206" spans="1:4" x14ac:dyDescent="0.25">
      <c r="A5206" s="1">
        <v>42827</v>
      </c>
      <c r="B5206">
        <v>1</v>
      </c>
      <c r="C5206">
        <v>3</v>
      </c>
      <c r="D5206">
        <v>43</v>
      </c>
    </row>
    <row r="5207" spans="1:4" x14ac:dyDescent="0.25">
      <c r="A5207" s="1">
        <v>42828</v>
      </c>
      <c r="B5207">
        <v>1</v>
      </c>
      <c r="C5207">
        <v>3</v>
      </c>
      <c r="D5207">
        <v>33</v>
      </c>
    </row>
    <row r="5208" spans="1:4" x14ac:dyDescent="0.25">
      <c r="A5208" s="1">
        <v>42829</v>
      </c>
      <c r="B5208">
        <v>1</v>
      </c>
      <c r="C5208">
        <v>3</v>
      </c>
      <c r="D5208">
        <v>32</v>
      </c>
    </row>
    <row r="5209" spans="1:4" x14ac:dyDescent="0.25">
      <c r="A5209" s="1">
        <v>42830</v>
      </c>
      <c r="B5209">
        <v>1</v>
      </c>
      <c r="C5209">
        <v>3</v>
      </c>
      <c r="D5209">
        <v>42</v>
      </c>
    </row>
    <row r="5210" spans="1:4" x14ac:dyDescent="0.25">
      <c r="A5210" s="1">
        <v>42831</v>
      </c>
      <c r="B5210">
        <v>1</v>
      </c>
      <c r="C5210">
        <v>3</v>
      </c>
      <c r="D5210">
        <v>40</v>
      </c>
    </row>
    <row r="5211" spans="1:4" x14ac:dyDescent="0.25">
      <c r="A5211" s="1">
        <v>42832</v>
      </c>
      <c r="B5211">
        <v>1</v>
      </c>
      <c r="C5211">
        <v>3</v>
      </c>
      <c r="D5211">
        <v>45</v>
      </c>
    </row>
    <row r="5212" spans="1:4" x14ac:dyDescent="0.25">
      <c r="A5212" s="1">
        <v>42833</v>
      </c>
      <c r="B5212">
        <v>1</v>
      </c>
      <c r="C5212">
        <v>3</v>
      </c>
      <c r="D5212">
        <v>32</v>
      </c>
    </row>
    <row r="5213" spans="1:4" x14ac:dyDescent="0.25">
      <c r="A5213" s="1">
        <v>42834</v>
      </c>
      <c r="B5213">
        <v>1</v>
      </c>
      <c r="C5213">
        <v>3</v>
      </c>
      <c r="D5213">
        <v>42</v>
      </c>
    </row>
    <row r="5214" spans="1:4" x14ac:dyDescent="0.25">
      <c r="A5214" s="1">
        <v>42835</v>
      </c>
      <c r="B5214">
        <v>1</v>
      </c>
      <c r="C5214">
        <v>3</v>
      </c>
      <c r="D5214">
        <v>31</v>
      </c>
    </row>
    <row r="5215" spans="1:4" x14ac:dyDescent="0.25">
      <c r="A5215" s="1">
        <v>42836</v>
      </c>
      <c r="B5215">
        <v>1</v>
      </c>
      <c r="C5215">
        <v>3</v>
      </c>
      <c r="D5215">
        <v>34</v>
      </c>
    </row>
    <row r="5216" spans="1:4" x14ac:dyDescent="0.25">
      <c r="A5216" s="1">
        <v>42837</v>
      </c>
      <c r="B5216">
        <v>1</v>
      </c>
      <c r="C5216">
        <v>3</v>
      </c>
      <c r="D5216">
        <v>43</v>
      </c>
    </row>
    <row r="5217" spans="1:4" x14ac:dyDescent="0.25">
      <c r="A5217" s="1">
        <v>42838</v>
      </c>
      <c r="B5217">
        <v>1</v>
      </c>
      <c r="C5217">
        <v>3</v>
      </c>
      <c r="D5217">
        <v>39</v>
      </c>
    </row>
    <row r="5218" spans="1:4" x14ac:dyDescent="0.25">
      <c r="A5218" s="1">
        <v>42839</v>
      </c>
      <c r="B5218">
        <v>1</v>
      </c>
      <c r="C5218">
        <v>3</v>
      </c>
      <c r="D5218">
        <v>43</v>
      </c>
    </row>
    <row r="5219" spans="1:4" x14ac:dyDescent="0.25">
      <c r="A5219" s="1">
        <v>42840</v>
      </c>
      <c r="B5219">
        <v>1</v>
      </c>
      <c r="C5219">
        <v>3</v>
      </c>
      <c r="D5219">
        <v>49</v>
      </c>
    </row>
    <row r="5220" spans="1:4" x14ac:dyDescent="0.25">
      <c r="A5220" s="1">
        <v>42841</v>
      </c>
      <c r="B5220">
        <v>1</v>
      </c>
      <c r="C5220">
        <v>3</v>
      </c>
      <c r="D5220">
        <v>49</v>
      </c>
    </row>
    <row r="5221" spans="1:4" x14ac:dyDescent="0.25">
      <c r="A5221" s="1">
        <v>42842</v>
      </c>
      <c r="B5221">
        <v>1</v>
      </c>
      <c r="C5221">
        <v>3</v>
      </c>
      <c r="D5221">
        <v>40</v>
      </c>
    </row>
    <row r="5222" spans="1:4" x14ac:dyDescent="0.25">
      <c r="A5222" s="1">
        <v>42843</v>
      </c>
      <c r="B5222">
        <v>1</v>
      </c>
      <c r="C5222">
        <v>3</v>
      </c>
      <c r="D5222">
        <v>27</v>
      </c>
    </row>
    <row r="5223" spans="1:4" x14ac:dyDescent="0.25">
      <c r="A5223" s="1">
        <v>42844</v>
      </c>
      <c r="B5223">
        <v>1</v>
      </c>
      <c r="C5223">
        <v>3</v>
      </c>
      <c r="D5223">
        <v>38</v>
      </c>
    </row>
    <row r="5224" spans="1:4" x14ac:dyDescent="0.25">
      <c r="A5224" s="1">
        <v>42845</v>
      </c>
      <c r="B5224">
        <v>1</v>
      </c>
      <c r="C5224">
        <v>3</v>
      </c>
      <c r="D5224">
        <v>41</v>
      </c>
    </row>
    <row r="5225" spans="1:4" x14ac:dyDescent="0.25">
      <c r="A5225" s="1">
        <v>42846</v>
      </c>
      <c r="B5225">
        <v>1</v>
      </c>
      <c r="C5225">
        <v>3</v>
      </c>
      <c r="D5225">
        <v>37</v>
      </c>
    </row>
    <row r="5226" spans="1:4" x14ac:dyDescent="0.25">
      <c r="A5226" s="1">
        <v>42847</v>
      </c>
      <c r="B5226">
        <v>1</v>
      </c>
      <c r="C5226">
        <v>3</v>
      </c>
      <c r="D5226">
        <v>44</v>
      </c>
    </row>
    <row r="5227" spans="1:4" x14ac:dyDescent="0.25">
      <c r="A5227" s="1">
        <v>42848</v>
      </c>
      <c r="B5227">
        <v>1</v>
      </c>
      <c r="C5227">
        <v>3</v>
      </c>
      <c r="D5227">
        <v>43</v>
      </c>
    </row>
    <row r="5228" spans="1:4" x14ac:dyDescent="0.25">
      <c r="A5228" s="1">
        <v>42849</v>
      </c>
      <c r="B5228">
        <v>1</v>
      </c>
      <c r="C5228">
        <v>3</v>
      </c>
      <c r="D5228">
        <v>39</v>
      </c>
    </row>
    <row r="5229" spans="1:4" x14ac:dyDescent="0.25">
      <c r="A5229" s="1">
        <v>42850</v>
      </c>
      <c r="B5229">
        <v>1</v>
      </c>
      <c r="C5229">
        <v>3</v>
      </c>
      <c r="D5229">
        <v>52</v>
      </c>
    </row>
    <row r="5230" spans="1:4" x14ac:dyDescent="0.25">
      <c r="A5230" s="1">
        <v>42851</v>
      </c>
      <c r="B5230">
        <v>1</v>
      </c>
      <c r="C5230">
        <v>3</v>
      </c>
      <c r="D5230">
        <v>39</v>
      </c>
    </row>
    <row r="5231" spans="1:4" x14ac:dyDescent="0.25">
      <c r="A5231" s="1">
        <v>42852</v>
      </c>
      <c r="B5231">
        <v>1</v>
      </c>
      <c r="C5231">
        <v>3</v>
      </c>
      <c r="D5231">
        <v>41</v>
      </c>
    </row>
    <row r="5232" spans="1:4" x14ac:dyDescent="0.25">
      <c r="A5232" s="1">
        <v>42853</v>
      </c>
      <c r="B5232">
        <v>1</v>
      </c>
      <c r="C5232">
        <v>3</v>
      </c>
      <c r="D5232">
        <v>39</v>
      </c>
    </row>
    <row r="5233" spans="1:4" x14ac:dyDescent="0.25">
      <c r="A5233" s="1">
        <v>42854</v>
      </c>
      <c r="B5233">
        <v>1</v>
      </c>
      <c r="C5233">
        <v>3</v>
      </c>
      <c r="D5233">
        <v>44</v>
      </c>
    </row>
    <row r="5234" spans="1:4" x14ac:dyDescent="0.25">
      <c r="A5234" s="1">
        <v>42855</v>
      </c>
      <c r="B5234">
        <v>1</v>
      </c>
      <c r="C5234">
        <v>3</v>
      </c>
      <c r="D5234">
        <v>46</v>
      </c>
    </row>
    <row r="5235" spans="1:4" x14ac:dyDescent="0.25">
      <c r="A5235" s="1">
        <v>42856</v>
      </c>
      <c r="B5235">
        <v>1</v>
      </c>
      <c r="C5235">
        <v>3</v>
      </c>
      <c r="D5235">
        <v>25</v>
      </c>
    </row>
    <row r="5236" spans="1:4" x14ac:dyDescent="0.25">
      <c r="A5236" s="1">
        <v>42857</v>
      </c>
      <c r="B5236">
        <v>1</v>
      </c>
      <c r="C5236">
        <v>3</v>
      </c>
      <c r="D5236">
        <v>45</v>
      </c>
    </row>
    <row r="5237" spans="1:4" x14ac:dyDescent="0.25">
      <c r="A5237" s="1">
        <v>42858</v>
      </c>
      <c r="B5237">
        <v>1</v>
      </c>
      <c r="C5237">
        <v>3</v>
      </c>
      <c r="D5237">
        <v>49</v>
      </c>
    </row>
    <row r="5238" spans="1:4" x14ac:dyDescent="0.25">
      <c r="A5238" s="1">
        <v>42859</v>
      </c>
      <c r="B5238">
        <v>1</v>
      </c>
      <c r="C5238">
        <v>3</v>
      </c>
      <c r="D5238">
        <v>43</v>
      </c>
    </row>
    <row r="5239" spans="1:4" x14ac:dyDescent="0.25">
      <c r="A5239" s="1">
        <v>42860</v>
      </c>
      <c r="B5239">
        <v>1</v>
      </c>
      <c r="C5239">
        <v>3</v>
      </c>
      <c r="D5239">
        <v>51</v>
      </c>
    </row>
    <row r="5240" spans="1:4" x14ac:dyDescent="0.25">
      <c r="A5240" s="1">
        <v>42861</v>
      </c>
      <c r="B5240">
        <v>1</v>
      </c>
      <c r="C5240">
        <v>3</v>
      </c>
      <c r="D5240">
        <v>44</v>
      </c>
    </row>
    <row r="5241" spans="1:4" x14ac:dyDescent="0.25">
      <c r="A5241" s="1">
        <v>42862</v>
      </c>
      <c r="B5241">
        <v>1</v>
      </c>
      <c r="C5241">
        <v>3</v>
      </c>
      <c r="D5241">
        <v>66</v>
      </c>
    </row>
    <row r="5242" spans="1:4" x14ac:dyDescent="0.25">
      <c r="A5242" s="1">
        <v>42863</v>
      </c>
      <c r="B5242">
        <v>1</v>
      </c>
      <c r="C5242">
        <v>3</v>
      </c>
      <c r="D5242">
        <v>36</v>
      </c>
    </row>
    <row r="5243" spans="1:4" x14ac:dyDescent="0.25">
      <c r="A5243" s="1">
        <v>42864</v>
      </c>
      <c r="B5243">
        <v>1</v>
      </c>
      <c r="C5243">
        <v>3</v>
      </c>
      <c r="D5243">
        <v>31</v>
      </c>
    </row>
    <row r="5244" spans="1:4" x14ac:dyDescent="0.25">
      <c r="A5244" s="1">
        <v>42865</v>
      </c>
      <c r="B5244">
        <v>1</v>
      </c>
      <c r="C5244">
        <v>3</v>
      </c>
      <c r="D5244">
        <v>44</v>
      </c>
    </row>
    <row r="5245" spans="1:4" x14ac:dyDescent="0.25">
      <c r="A5245" s="1">
        <v>42866</v>
      </c>
      <c r="B5245">
        <v>1</v>
      </c>
      <c r="C5245">
        <v>3</v>
      </c>
      <c r="D5245">
        <v>34</v>
      </c>
    </row>
    <row r="5246" spans="1:4" x14ac:dyDescent="0.25">
      <c r="A5246" s="1">
        <v>42867</v>
      </c>
      <c r="B5246">
        <v>1</v>
      </c>
      <c r="C5246">
        <v>3</v>
      </c>
      <c r="D5246">
        <v>39</v>
      </c>
    </row>
    <row r="5247" spans="1:4" x14ac:dyDescent="0.25">
      <c r="A5247" s="1">
        <v>42868</v>
      </c>
      <c r="B5247">
        <v>1</v>
      </c>
      <c r="C5247">
        <v>3</v>
      </c>
      <c r="D5247">
        <v>59</v>
      </c>
    </row>
    <row r="5248" spans="1:4" x14ac:dyDescent="0.25">
      <c r="A5248" s="1">
        <v>42869</v>
      </c>
      <c r="B5248">
        <v>1</v>
      </c>
      <c r="C5248">
        <v>3</v>
      </c>
      <c r="D5248">
        <v>47</v>
      </c>
    </row>
    <row r="5249" spans="1:4" x14ac:dyDescent="0.25">
      <c r="A5249" s="1">
        <v>42870</v>
      </c>
      <c r="B5249">
        <v>1</v>
      </c>
      <c r="C5249">
        <v>3</v>
      </c>
      <c r="D5249">
        <v>33</v>
      </c>
    </row>
    <row r="5250" spans="1:4" x14ac:dyDescent="0.25">
      <c r="A5250" s="1">
        <v>42871</v>
      </c>
      <c r="B5250">
        <v>1</v>
      </c>
      <c r="C5250">
        <v>3</v>
      </c>
      <c r="D5250">
        <v>38</v>
      </c>
    </row>
    <row r="5251" spans="1:4" x14ac:dyDescent="0.25">
      <c r="A5251" s="1">
        <v>42872</v>
      </c>
      <c r="B5251">
        <v>1</v>
      </c>
      <c r="C5251">
        <v>3</v>
      </c>
      <c r="D5251">
        <v>41</v>
      </c>
    </row>
    <row r="5252" spans="1:4" x14ac:dyDescent="0.25">
      <c r="A5252" s="1">
        <v>42873</v>
      </c>
      <c r="B5252">
        <v>1</v>
      </c>
      <c r="C5252">
        <v>3</v>
      </c>
      <c r="D5252">
        <v>38</v>
      </c>
    </row>
    <row r="5253" spans="1:4" x14ac:dyDescent="0.25">
      <c r="A5253" s="1">
        <v>42874</v>
      </c>
      <c r="B5253">
        <v>1</v>
      </c>
      <c r="C5253">
        <v>3</v>
      </c>
      <c r="D5253">
        <v>48</v>
      </c>
    </row>
    <row r="5254" spans="1:4" x14ac:dyDescent="0.25">
      <c r="A5254" s="1">
        <v>42875</v>
      </c>
      <c r="B5254">
        <v>1</v>
      </c>
      <c r="C5254">
        <v>3</v>
      </c>
      <c r="D5254">
        <v>54</v>
      </c>
    </row>
    <row r="5255" spans="1:4" x14ac:dyDescent="0.25">
      <c r="A5255" s="1">
        <v>42876</v>
      </c>
      <c r="B5255">
        <v>1</v>
      </c>
      <c r="C5255">
        <v>3</v>
      </c>
      <c r="D5255">
        <v>49</v>
      </c>
    </row>
    <row r="5256" spans="1:4" x14ac:dyDescent="0.25">
      <c r="A5256" s="1">
        <v>42877</v>
      </c>
      <c r="B5256">
        <v>1</v>
      </c>
      <c r="C5256">
        <v>3</v>
      </c>
      <c r="D5256">
        <v>33</v>
      </c>
    </row>
    <row r="5257" spans="1:4" x14ac:dyDescent="0.25">
      <c r="A5257" s="1">
        <v>42878</v>
      </c>
      <c r="B5257">
        <v>1</v>
      </c>
      <c r="C5257">
        <v>3</v>
      </c>
      <c r="D5257">
        <v>41</v>
      </c>
    </row>
    <row r="5258" spans="1:4" x14ac:dyDescent="0.25">
      <c r="A5258" s="1">
        <v>42879</v>
      </c>
      <c r="B5258">
        <v>1</v>
      </c>
      <c r="C5258">
        <v>3</v>
      </c>
      <c r="D5258">
        <v>40</v>
      </c>
    </row>
    <row r="5259" spans="1:4" x14ac:dyDescent="0.25">
      <c r="A5259" s="1">
        <v>42880</v>
      </c>
      <c r="B5259">
        <v>1</v>
      </c>
      <c r="C5259">
        <v>3</v>
      </c>
      <c r="D5259">
        <v>37</v>
      </c>
    </row>
    <row r="5260" spans="1:4" x14ac:dyDescent="0.25">
      <c r="A5260" s="1">
        <v>42881</v>
      </c>
      <c r="B5260">
        <v>1</v>
      </c>
      <c r="C5260">
        <v>3</v>
      </c>
      <c r="D5260">
        <v>65</v>
      </c>
    </row>
    <row r="5261" spans="1:4" x14ac:dyDescent="0.25">
      <c r="A5261" s="1">
        <v>42882</v>
      </c>
      <c r="B5261">
        <v>1</v>
      </c>
      <c r="C5261">
        <v>3</v>
      </c>
      <c r="D5261">
        <v>59</v>
      </c>
    </row>
    <row r="5262" spans="1:4" x14ac:dyDescent="0.25">
      <c r="A5262" s="1">
        <v>42883</v>
      </c>
      <c r="B5262">
        <v>1</v>
      </c>
      <c r="C5262">
        <v>3</v>
      </c>
      <c r="D5262">
        <v>62</v>
      </c>
    </row>
    <row r="5263" spans="1:4" x14ac:dyDescent="0.25">
      <c r="A5263" s="1">
        <v>42884</v>
      </c>
      <c r="B5263">
        <v>1</v>
      </c>
      <c r="C5263">
        <v>3</v>
      </c>
      <c r="D5263">
        <v>37</v>
      </c>
    </row>
    <row r="5264" spans="1:4" x14ac:dyDescent="0.25">
      <c r="A5264" s="1">
        <v>42885</v>
      </c>
      <c r="B5264">
        <v>1</v>
      </c>
      <c r="C5264">
        <v>3</v>
      </c>
      <c r="D5264">
        <v>44</v>
      </c>
    </row>
    <row r="5265" spans="1:4" x14ac:dyDescent="0.25">
      <c r="A5265" s="1">
        <v>42886</v>
      </c>
      <c r="B5265">
        <v>1</v>
      </c>
      <c r="C5265">
        <v>3</v>
      </c>
      <c r="D5265">
        <v>55</v>
      </c>
    </row>
    <row r="5266" spans="1:4" x14ac:dyDescent="0.25">
      <c r="A5266" s="1">
        <v>42887</v>
      </c>
      <c r="B5266">
        <v>1</v>
      </c>
      <c r="C5266">
        <v>3</v>
      </c>
      <c r="D5266">
        <v>57</v>
      </c>
    </row>
    <row r="5267" spans="1:4" x14ac:dyDescent="0.25">
      <c r="A5267" s="1">
        <v>42888</v>
      </c>
      <c r="B5267">
        <v>1</v>
      </c>
      <c r="C5267">
        <v>3</v>
      </c>
      <c r="D5267">
        <v>54</v>
      </c>
    </row>
    <row r="5268" spans="1:4" x14ac:dyDescent="0.25">
      <c r="A5268" s="1">
        <v>42889</v>
      </c>
      <c r="B5268">
        <v>1</v>
      </c>
      <c r="C5268">
        <v>3</v>
      </c>
      <c r="D5268">
        <v>37</v>
      </c>
    </row>
    <row r="5269" spans="1:4" x14ac:dyDescent="0.25">
      <c r="A5269" s="1">
        <v>42890</v>
      </c>
      <c r="B5269">
        <v>1</v>
      </c>
      <c r="C5269">
        <v>3</v>
      </c>
      <c r="D5269">
        <v>54</v>
      </c>
    </row>
    <row r="5270" spans="1:4" x14ac:dyDescent="0.25">
      <c r="A5270" s="1">
        <v>42891</v>
      </c>
      <c r="B5270">
        <v>1</v>
      </c>
      <c r="C5270">
        <v>3</v>
      </c>
      <c r="D5270">
        <v>48</v>
      </c>
    </row>
    <row r="5271" spans="1:4" x14ac:dyDescent="0.25">
      <c r="A5271" s="1">
        <v>42892</v>
      </c>
      <c r="B5271">
        <v>1</v>
      </c>
      <c r="C5271">
        <v>3</v>
      </c>
      <c r="D5271">
        <v>41</v>
      </c>
    </row>
    <row r="5272" spans="1:4" x14ac:dyDescent="0.25">
      <c r="A5272" s="1">
        <v>42893</v>
      </c>
      <c r="B5272">
        <v>1</v>
      </c>
      <c r="C5272">
        <v>3</v>
      </c>
      <c r="D5272">
        <v>42</v>
      </c>
    </row>
    <row r="5273" spans="1:4" x14ac:dyDescent="0.25">
      <c r="A5273" s="1">
        <v>42894</v>
      </c>
      <c r="B5273">
        <v>1</v>
      </c>
      <c r="C5273">
        <v>3</v>
      </c>
      <c r="D5273">
        <v>53</v>
      </c>
    </row>
    <row r="5274" spans="1:4" x14ac:dyDescent="0.25">
      <c r="A5274" s="1">
        <v>42895</v>
      </c>
      <c r="B5274">
        <v>1</v>
      </c>
      <c r="C5274">
        <v>3</v>
      </c>
      <c r="D5274">
        <v>49</v>
      </c>
    </row>
    <row r="5275" spans="1:4" x14ac:dyDescent="0.25">
      <c r="A5275" s="1">
        <v>42896</v>
      </c>
      <c r="B5275">
        <v>1</v>
      </c>
      <c r="C5275">
        <v>3</v>
      </c>
      <c r="D5275">
        <v>44</v>
      </c>
    </row>
    <row r="5276" spans="1:4" x14ac:dyDescent="0.25">
      <c r="A5276" s="1">
        <v>42897</v>
      </c>
      <c r="B5276">
        <v>1</v>
      </c>
      <c r="C5276">
        <v>3</v>
      </c>
      <c r="D5276">
        <v>46</v>
      </c>
    </row>
    <row r="5277" spans="1:4" x14ac:dyDescent="0.25">
      <c r="A5277" s="1">
        <v>42898</v>
      </c>
      <c r="B5277">
        <v>1</v>
      </c>
      <c r="C5277">
        <v>3</v>
      </c>
      <c r="D5277">
        <v>44</v>
      </c>
    </row>
    <row r="5278" spans="1:4" x14ac:dyDescent="0.25">
      <c r="A5278" s="1">
        <v>42899</v>
      </c>
      <c r="B5278">
        <v>1</v>
      </c>
      <c r="C5278">
        <v>3</v>
      </c>
      <c r="D5278">
        <v>34</v>
      </c>
    </row>
    <row r="5279" spans="1:4" x14ac:dyDescent="0.25">
      <c r="A5279" s="1">
        <v>42900</v>
      </c>
      <c r="B5279">
        <v>1</v>
      </c>
      <c r="C5279">
        <v>3</v>
      </c>
      <c r="D5279">
        <v>48</v>
      </c>
    </row>
    <row r="5280" spans="1:4" x14ac:dyDescent="0.25">
      <c r="A5280" s="1">
        <v>42901</v>
      </c>
      <c r="B5280">
        <v>1</v>
      </c>
      <c r="C5280">
        <v>3</v>
      </c>
      <c r="D5280">
        <v>49</v>
      </c>
    </row>
    <row r="5281" spans="1:4" x14ac:dyDescent="0.25">
      <c r="A5281" s="1">
        <v>42902</v>
      </c>
      <c r="B5281">
        <v>1</v>
      </c>
      <c r="C5281">
        <v>3</v>
      </c>
      <c r="D5281">
        <v>50</v>
      </c>
    </row>
    <row r="5282" spans="1:4" x14ac:dyDescent="0.25">
      <c r="A5282" s="1">
        <v>42903</v>
      </c>
      <c r="B5282">
        <v>1</v>
      </c>
      <c r="C5282">
        <v>3</v>
      </c>
      <c r="D5282">
        <v>67</v>
      </c>
    </row>
    <row r="5283" spans="1:4" x14ac:dyDescent="0.25">
      <c r="A5283" s="1">
        <v>42904</v>
      </c>
      <c r="B5283">
        <v>1</v>
      </c>
      <c r="C5283">
        <v>3</v>
      </c>
      <c r="D5283">
        <v>57</v>
      </c>
    </row>
    <row r="5284" spans="1:4" x14ac:dyDescent="0.25">
      <c r="A5284" s="1">
        <v>42905</v>
      </c>
      <c r="B5284">
        <v>1</v>
      </c>
      <c r="C5284">
        <v>3</v>
      </c>
      <c r="D5284">
        <v>30</v>
      </c>
    </row>
    <row r="5285" spans="1:4" x14ac:dyDescent="0.25">
      <c r="A5285" s="1">
        <v>42906</v>
      </c>
      <c r="B5285">
        <v>1</v>
      </c>
      <c r="C5285">
        <v>3</v>
      </c>
      <c r="D5285">
        <v>44</v>
      </c>
    </row>
    <row r="5286" spans="1:4" x14ac:dyDescent="0.25">
      <c r="A5286" s="1">
        <v>42907</v>
      </c>
      <c r="B5286">
        <v>1</v>
      </c>
      <c r="C5286">
        <v>3</v>
      </c>
      <c r="D5286">
        <v>47</v>
      </c>
    </row>
    <row r="5287" spans="1:4" x14ac:dyDescent="0.25">
      <c r="A5287" s="1">
        <v>42908</v>
      </c>
      <c r="B5287">
        <v>1</v>
      </c>
      <c r="C5287">
        <v>3</v>
      </c>
      <c r="D5287">
        <v>31</v>
      </c>
    </row>
    <row r="5288" spans="1:4" x14ac:dyDescent="0.25">
      <c r="A5288" s="1">
        <v>42909</v>
      </c>
      <c r="B5288">
        <v>1</v>
      </c>
      <c r="C5288">
        <v>3</v>
      </c>
      <c r="D5288">
        <v>45</v>
      </c>
    </row>
    <row r="5289" spans="1:4" x14ac:dyDescent="0.25">
      <c r="A5289" s="1">
        <v>42910</v>
      </c>
      <c r="B5289">
        <v>1</v>
      </c>
      <c r="C5289">
        <v>3</v>
      </c>
      <c r="D5289">
        <v>51</v>
      </c>
    </row>
    <row r="5290" spans="1:4" x14ac:dyDescent="0.25">
      <c r="A5290" s="1">
        <v>42911</v>
      </c>
      <c r="B5290">
        <v>1</v>
      </c>
      <c r="C5290">
        <v>3</v>
      </c>
      <c r="D5290">
        <v>52</v>
      </c>
    </row>
    <row r="5291" spans="1:4" x14ac:dyDescent="0.25">
      <c r="A5291" s="1">
        <v>42912</v>
      </c>
      <c r="B5291">
        <v>1</v>
      </c>
      <c r="C5291">
        <v>3</v>
      </c>
      <c r="D5291">
        <v>23</v>
      </c>
    </row>
    <row r="5292" spans="1:4" x14ac:dyDescent="0.25">
      <c r="A5292" s="1">
        <v>42913</v>
      </c>
      <c r="B5292">
        <v>1</v>
      </c>
      <c r="C5292">
        <v>3</v>
      </c>
      <c r="D5292">
        <v>39</v>
      </c>
    </row>
    <row r="5293" spans="1:4" x14ac:dyDescent="0.25">
      <c r="A5293" s="1">
        <v>42914</v>
      </c>
      <c r="B5293">
        <v>1</v>
      </c>
      <c r="C5293">
        <v>3</v>
      </c>
      <c r="D5293">
        <v>40</v>
      </c>
    </row>
    <row r="5294" spans="1:4" x14ac:dyDescent="0.25">
      <c r="A5294" s="1">
        <v>42915</v>
      </c>
      <c r="B5294">
        <v>1</v>
      </c>
      <c r="C5294">
        <v>3</v>
      </c>
      <c r="D5294">
        <v>35</v>
      </c>
    </row>
    <row r="5295" spans="1:4" x14ac:dyDescent="0.25">
      <c r="A5295" s="1">
        <v>42916</v>
      </c>
      <c r="B5295">
        <v>1</v>
      </c>
      <c r="C5295">
        <v>3</v>
      </c>
      <c r="D5295">
        <v>45</v>
      </c>
    </row>
    <row r="5296" spans="1:4" x14ac:dyDescent="0.25">
      <c r="A5296" s="1">
        <v>42917</v>
      </c>
      <c r="B5296">
        <v>1</v>
      </c>
      <c r="C5296">
        <v>3</v>
      </c>
      <c r="D5296">
        <v>41</v>
      </c>
    </row>
    <row r="5297" spans="1:4" x14ac:dyDescent="0.25">
      <c r="A5297" s="1">
        <v>42918</v>
      </c>
      <c r="B5297">
        <v>1</v>
      </c>
      <c r="C5297">
        <v>3</v>
      </c>
      <c r="D5297">
        <v>58</v>
      </c>
    </row>
    <row r="5298" spans="1:4" x14ac:dyDescent="0.25">
      <c r="A5298" s="1">
        <v>42919</v>
      </c>
      <c r="B5298">
        <v>1</v>
      </c>
      <c r="C5298">
        <v>3</v>
      </c>
      <c r="D5298">
        <v>36</v>
      </c>
    </row>
    <row r="5299" spans="1:4" x14ac:dyDescent="0.25">
      <c r="A5299" s="1">
        <v>42920</v>
      </c>
      <c r="B5299">
        <v>1</v>
      </c>
      <c r="C5299">
        <v>3</v>
      </c>
      <c r="D5299">
        <v>47</v>
      </c>
    </row>
    <row r="5300" spans="1:4" x14ac:dyDescent="0.25">
      <c r="A5300" s="1">
        <v>42921</v>
      </c>
      <c r="B5300">
        <v>1</v>
      </c>
      <c r="C5300">
        <v>3</v>
      </c>
      <c r="D5300">
        <v>41</v>
      </c>
    </row>
    <row r="5301" spans="1:4" x14ac:dyDescent="0.25">
      <c r="A5301" s="1">
        <v>42922</v>
      </c>
      <c r="B5301">
        <v>1</v>
      </c>
      <c r="C5301">
        <v>3</v>
      </c>
      <c r="D5301">
        <v>43</v>
      </c>
    </row>
    <row r="5302" spans="1:4" x14ac:dyDescent="0.25">
      <c r="A5302" s="1">
        <v>42923</v>
      </c>
      <c r="B5302">
        <v>1</v>
      </c>
      <c r="C5302">
        <v>3</v>
      </c>
      <c r="D5302">
        <v>49</v>
      </c>
    </row>
    <row r="5303" spans="1:4" x14ac:dyDescent="0.25">
      <c r="A5303" s="1">
        <v>42924</v>
      </c>
      <c r="B5303">
        <v>1</v>
      </c>
      <c r="C5303">
        <v>3</v>
      </c>
      <c r="D5303">
        <v>57</v>
      </c>
    </row>
    <row r="5304" spans="1:4" x14ac:dyDescent="0.25">
      <c r="A5304" s="1">
        <v>42925</v>
      </c>
      <c r="B5304">
        <v>1</v>
      </c>
      <c r="C5304">
        <v>3</v>
      </c>
      <c r="D5304">
        <v>59</v>
      </c>
    </row>
    <row r="5305" spans="1:4" x14ac:dyDescent="0.25">
      <c r="A5305" s="1">
        <v>42926</v>
      </c>
      <c r="B5305">
        <v>1</v>
      </c>
      <c r="C5305">
        <v>3</v>
      </c>
      <c r="D5305">
        <v>43</v>
      </c>
    </row>
    <row r="5306" spans="1:4" x14ac:dyDescent="0.25">
      <c r="A5306" s="1">
        <v>42927</v>
      </c>
      <c r="B5306">
        <v>1</v>
      </c>
      <c r="C5306">
        <v>3</v>
      </c>
      <c r="D5306">
        <v>33</v>
      </c>
    </row>
    <row r="5307" spans="1:4" x14ac:dyDescent="0.25">
      <c r="A5307" s="1">
        <v>42928</v>
      </c>
      <c r="B5307">
        <v>1</v>
      </c>
      <c r="C5307">
        <v>3</v>
      </c>
      <c r="D5307">
        <v>48</v>
      </c>
    </row>
    <row r="5308" spans="1:4" x14ac:dyDescent="0.25">
      <c r="A5308" s="1">
        <v>42929</v>
      </c>
      <c r="B5308">
        <v>1</v>
      </c>
      <c r="C5308">
        <v>3</v>
      </c>
      <c r="D5308">
        <v>54</v>
      </c>
    </row>
    <row r="5309" spans="1:4" x14ac:dyDescent="0.25">
      <c r="A5309" s="1">
        <v>42930</v>
      </c>
      <c r="B5309">
        <v>1</v>
      </c>
      <c r="C5309">
        <v>3</v>
      </c>
      <c r="D5309">
        <v>65</v>
      </c>
    </row>
    <row r="5310" spans="1:4" x14ac:dyDescent="0.25">
      <c r="A5310" s="1">
        <v>42931</v>
      </c>
      <c r="B5310">
        <v>1</v>
      </c>
      <c r="C5310">
        <v>3</v>
      </c>
      <c r="D5310">
        <v>47</v>
      </c>
    </row>
    <row r="5311" spans="1:4" x14ac:dyDescent="0.25">
      <c r="A5311" s="1">
        <v>42932</v>
      </c>
      <c r="B5311">
        <v>1</v>
      </c>
      <c r="C5311">
        <v>3</v>
      </c>
      <c r="D5311">
        <v>69</v>
      </c>
    </row>
    <row r="5312" spans="1:4" x14ac:dyDescent="0.25">
      <c r="A5312" s="1">
        <v>42933</v>
      </c>
      <c r="B5312">
        <v>1</v>
      </c>
      <c r="C5312">
        <v>3</v>
      </c>
      <c r="D5312">
        <v>46</v>
      </c>
    </row>
    <row r="5313" spans="1:4" x14ac:dyDescent="0.25">
      <c r="A5313" s="1">
        <v>42934</v>
      </c>
      <c r="B5313">
        <v>1</v>
      </c>
      <c r="C5313">
        <v>3</v>
      </c>
      <c r="D5313">
        <v>43</v>
      </c>
    </row>
    <row r="5314" spans="1:4" x14ac:dyDescent="0.25">
      <c r="A5314" s="1">
        <v>42935</v>
      </c>
      <c r="B5314">
        <v>1</v>
      </c>
      <c r="C5314">
        <v>3</v>
      </c>
      <c r="D5314">
        <v>40</v>
      </c>
    </row>
    <row r="5315" spans="1:4" x14ac:dyDescent="0.25">
      <c r="A5315" s="1">
        <v>42936</v>
      </c>
      <c r="B5315">
        <v>1</v>
      </c>
      <c r="C5315">
        <v>3</v>
      </c>
      <c r="D5315">
        <v>41</v>
      </c>
    </row>
    <row r="5316" spans="1:4" x14ac:dyDescent="0.25">
      <c r="A5316" s="1">
        <v>42937</v>
      </c>
      <c r="B5316">
        <v>1</v>
      </c>
      <c r="C5316">
        <v>3</v>
      </c>
      <c r="D5316">
        <v>59</v>
      </c>
    </row>
    <row r="5317" spans="1:4" x14ac:dyDescent="0.25">
      <c r="A5317" s="1">
        <v>42938</v>
      </c>
      <c r="B5317">
        <v>1</v>
      </c>
      <c r="C5317">
        <v>3</v>
      </c>
      <c r="D5317">
        <v>43</v>
      </c>
    </row>
    <row r="5318" spans="1:4" x14ac:dyDescent="0.25">
      <c r="A5318" s="1">
        <v>42939</v>
      </c>
      <c r="B5318">
        <v>1</v>
      </c>
      <c r="C5318">
        <v>3</v>
      </c>
      <c r="D5318">
        <v>68</v>
      </c>
    </row>
    <row r="5319" spans="1:4" x14ac:dyDescent="0.25">
      <c r="A5319" s="1">
        <v>42940</v>
      </c>
      <c r="B5319">
        <v>1</v>
      </c>
      <c r="C5319">
        <v>3</v>
      </c>
      <c r="D5319">
        <v>46</v>
      </c>
    </row>
    <row r="5320" spans="1:4" x14ac:dyDescent="0.25">
      <c r="A5320" s="1">
        <v>42941</v>
      </c>
      <c r="B5320">
        <v>1</v>
      </c>
      <c r="C5320">
        <v>3</v>
      </c>
      <c r="D5320">
        <v>39</v>
      </c>
    </row>
    <row r="5321" spans="1:4" x14ac:dyDescent="0.25">
      <c r="A5321" s="1">
        <v>42942</v>
      </c>
      <c r="B5321">
        <v>1</v>
      </c>
      <c r="C5321">
        <v>3</v>
      </c>
      <c r="D5321">
        <v>37</v>
      </c>
    </row>
    <row r="5322" spans="1:4" x14ac:dyDescent="0.25">
      <c r="A5322" s="1">
        <v>42943</v>
      </c>
      <c r="B5322">
        <v>1</v>
      </c>
      <c r="C5322">
        <v>3</v>
      </c>
      <c r="D5322">
        <v>41</v>
      </c>
    </row>
    <row r="5323" spans="1:4" x14ac:dyDescent="0.25">
      <c r="A5323" s="1">
        <v>42944</v>
      </c>
      <c r="B5323">
        <v>1</v>
      </c>
      <c r="C5323">
        <v>3</v>
      </c>
      <c r="D5323">
        <v>60</v>
      </c>
    </row>
    <row r="5324" spans="1:4" x14ac:dyDescent="0.25">
      <c r="A5324" s="1">
        <v>42945</v>
      </c>
      <c r="B5324">
        <v>1</v>
      </c>
      <c r="C5324">
        <v>3</v>
      </c>
      <c r="D5324">
        <v>55</v>
      </c>
    </row>
    <row r="5325" spans="1:4" x14ac:dyDescent="0.25">
      <c r="A5325" s="1">
        <v>42946</v>
      </c>
      <c r="B5325">
        <v>1</v>
      </c>
      <c r="C5325">
        <v>3</v>
      </c>
      <c r="D5325">
        <v>56</v>
      </c>
    </row>
    <row r="5326" spans="1:4" x14ac:dyDescent="0.25">
      <c r="A5326" s="1">
        <v>42947</v>
      </c>
      <c r="B5326">
        <v>1</v>
      </c>
      <c r="C5326">
        <v>3</v>
      </c>
      <c r="D5326">
        <v>37</v>
      </c>
    </row>
    <row r="5327" spans="1:4" x14ac:dyDescent="0.25">
      <c r="A5327" s="1">
        <v>42948</v>
      </c>
      <c r="B5327">
        <v>1</v>
      </c>
      <c r="C5327">
        <v>3</v>
      </c>
      <c r="D5327">
        <v>43</v>
      </c>
    </row>
    <row r="5328" spans="1:4" x14ac:dyDescent="0.25">
      <c r="A5328" s="1">
        <v>42949</v>
      </c>
      <c r="B5328">
        <v>1</v>
      </c>
      <c r="C5328">
        <v>3</v>
      </c>
      <c r="D5328">
        <v>31</v>
      </c>
    </row>
    <row r="5329" spans="1:4" x14ac:dyDescent="0.25">
      <c r="A5329" s="1">
        <v>42950</v>
      </c>
      <c r="B5329">
        <v>1</v>
      </c>
      <c r="C5329">
        <v>3</v>
      </c>
      <c r="D5329">
        <v>37</v>
      </c>
    </row>
    <row r="5330" spans="1:4" x14ac:dyDescent="0.25">
      <c r="A5330" s="1">
        <v>42951</v>
      </c>
      <c r="B5330">
        <v>1</v>
      </c>
      <c r="C5330">
        <v>3</v>
      </c>
      <c r="D5330">
        <v>29</v>
      </c>
    </row>
    <row r="5331" spans="1:4" x14ac:dyDescent="0.25">
      <c r="A5331" s="1">
        <v>42952</v>
      </c>
      <c r="B5331">
        <v>1</v>
      </c>
      <c r="C5331">
        <v>3</v>
      </c>
      <c r="D5331">
        <v>68</v>
      </c>
    </row>
    <row r="5332" spans="1:4" x14ac:dyDescent="0.25">
      <c r="A5332" s="1">
        <v>42953</v>
      </c>
      <c r="B5332">
        <v>1</v>
      </c>
      <c r="C5332">
        <v>3</v>
      </c>
      <c r="D5332">
        <v>46</v>
      </c>
    </row>
    <row r="5333" spans="1:4" x14ac:dyDescent="0.25">
      <c r="A5333" s="1">
        <v>42954</v>
      </c>
      <c r="B5333">
        <v>1</v>
      </c>
      <c r="C5333">
        <v>3</v>
      </c>
      <c r="D5333">
        <v>36</v>
      </c>
    </row>
    <row r="5334" spans="1:4" x14ac:dyDescent="0.25">
      <c r="A5334" s="1">
        <v>42955</v>
      </c>
      <c r="B5334">
        <v>1</v>
      </c>
      <c r="C5334">
        <v>3</v>
      </c>
      <c r="D5334">
        <v>35</v>
      </c>
    </row>
    <row r="5335" spans="1:4" x14ac:dyDescent="0.25">
      <c r="A5335" s="1">
        <v>42956</v>
      </c>
      <c r="B5335">
        <v>1</v>
      </c>
      <c r="C5335">
        <v>3</v>
      </c>
      <c r="D5335">
        <v>26</v>
      </c>
    </row>
    <row r="5336" spans="1:4" x14ac:dyDescent="0.25">
      <c r="A5336" s="1">
        <v>42957</v>
      </c>
      <c r="B5336">
        <v>1</v>
      </c>
      <c r="C5336">
        <v>3</v>
      </c>
      <c r="D5336">
        <v>42</v>
      </c>
    </row>
    <row r="5337" spans="1:4" x14ac:dyDescent="0.25">
      <c r="A5337" s="1">
        <v>42958</v>
      </c>
      <c r="B5337">
        <v>1</v>
      </c>
      <c r="C5337">
        <v>3</v>
      </c>
      <c r="D5337">
        <v>41</v>
      </c>
    </row>
    <row r="5338" spans="1:4" x14ac:dyDescent="0.25">
      <c r="A5338" s="1">
        <v>42959</v>
      </c>
      <c r="B5338">
        <v>1</v>
      </c>
      <c r="C5338">
        <v>3</v>
      </c>
      <c r="D5338">
        <v>42</v>
      </c>
    </row>
    <row r="5339" spans="1:4" x14ac:dyDescent="0.25">
      <c r="A5339" s="1">
        <v>42960</v>
      </c>
      <c r="B5339">
        <v>1</v>
      </c>
      <c r="C5339">
        <v>3</v>
      </c>
      <c r="D5339">
        <v>61</v>
      </c>
    </row>
    <row r="5340" spans="1:4" x14ac:dyDescent="0.25">
      <c r="A5340" s="1">
        <v>42961</v>
      </c>
      <c r="B5340">
        <v>1</v>
      </c>
      <c r="C5340">
        <v>3</v>
      </c>
      <c r="D5340">
        <v>33</v>
      </c>
    </row>
    <row r="5341" spans="1:4" x14ac:dyDescent="0.25">
      <c r="A5341" s="1">
        <v>42962</v>
      </c>
      <c r="B5341">
        <v>1</v>
      </c>
      <c r="C5341">
        <v>3</v>
      </c>
      <c r="D5341">
        <v>38</v>
      </c>
    </row>
    <row r="5342" spans="1:4" x14ac:dyDescent="0.25">
      <c r="A5342" s="1">
        <v>42963</v>
      </c>
      <c r="B5342">
        <v>1</v>
      </c>
      <c r="C5342">
        <v>3</v>
      </c>
      <c r="D5342">
        <v>32</v>
      </c>
    </row>
    <row r="5343" spans="1:4" x14ac:dyDescent="0.25">
      <c r="A5343" s="1">
        <v>42964</v>
      </c>
      <c r="B5343">
        <v>1</v>
      </c>
      <c r="C5343">
        <v>3</v>
      </c>
      <c r="D5343">
        <v>29</v>
      </c>
    </row>
    <row r="5344" spans="1:4" x14ac:dyDescent="0.25">
      <c r="A5344" s="1">
        <v>42965</v>
      </c>
      <c r="B5344">
        <v>1</v>
      </c>
      <c r="C5344">
        <v>3</v>
      </c>
      <c r="D5344">
        <v>39</v>
      </c>
    </row>
    <row r="5345" spans="1:4" x14ac:dyDescent="0.25">
      <c r="A5345" s="1">
        <v>42966</v>
      </c>
      <c r="B5345">
        <v>1</v>
      </c>
      <c r="C5345">
        <v>3</v>
      </c>
      <c r="D5345">
        <v>47</v>
      </c>
    </row>
    <row r="5346" spans="1:4" x14ac:dyDescent="0.25">
      <c r="A5346" s="1">
        <v>42967</v>
      </c>
      <c r="B5346">
        <v>1</v>
      </c>
      <c r="C5346">
        <v>3</v>
      </c>
      <c r="D5346">
        <v>59</v>
      </c>
    </row>
    <row r="5347" spans="1:4" x14ac:dyDescent="0.25">
      <c r="A5347" s="1">
        <v>42968</v>
      </c>
      <c r="B5347">
        <v>1</v>
      </c>
      <c r="C5347">
        <v>3</v>
      </c>
      <c r="D5347">
        <v>50</v>
      </c>
    </row>
    <row r="5348" spans="1:4" x14ac:dyDescent="0.25">
      <c r="A5348" s="1">
        <v>42969</v>
      </c>
      <c r="B5348">
        <v>1</v>
      </c>
      <c r="C5348">
        <v>3</v>
      </c>
      <c r="D5348">
        <v>45</v>
      </c>
    </row>
    <row r="5349" spans="1:4" x14ac:dyDescent="0.25">
      <c r="A5349" s="1">
        <v>42970</v>
      </c>
      <c r="B5349">
        <v>1</v>
      </c>
      <c r="C5349">
        <v>3</v>
      </c>
      <c r="D5349">
        <v>48</v>
      </c>
    </row>
    <row r="5350" spans="1:4" x14ac:dyDescent="0.25">
      <c r="A5350" s="1">
        <v>42971</v>
      </c>
      <c r="B5350">
        <v>1</v>
      </c>
      <c r="C5350">
        <v>3</v>
      </c>
      <c r="D5350">
        <v>45</v>
      </c>
    </row>
    <row r="5351" spans="1:4" x14ac:dyDescent="0.25">
      <c r="A5351" s="1">
        <v>42972</v>
      </c>
      <c r="B5351">
        <v>1</v>
      </c>
      <c r="C5351">
        <v>3</v>
      </c>
      <c r="D5351">
        <v>46</v>
      </c>
    </row>
    <row r="5352" spans="1:4" x14ac:dyDescent="0.25">
      <c r="A5352" s="1">
        <v>42973</v>
      </c>
      <c r="B5352">
        <v>1</v>
      </c>
      <c r="C5352">
        <v>3</v>
      </c>
      <c r="D5352">
        <v>51</v>
      </c>
    </row>
    <row r="5353" spans="1:4" x14ac:dyDescent="0.25">
      <c r="A5353" s="1">
        <v>42974</v>
      </c>
      <c r="B5353">
        <v>1</v>
      </c>
      <c r="C5353">
        <v>3</v>
      </c>
      <c r="D5353">
        <v>52</v>
      </c>
    </row>
    <row r="5354" spans="1:4" x14ac:dyDescent="0.25">
      <c r="A5354" s="1">
        <v>42975</v>
      </c>
      <c r="B5354">
        <v>1</v>
      </c>
      <c r="C5354">
        <v>3</v>
      </c>
      <c r="D5354">
        <v>21</v>
      </c>
    </row>
    <row r="5355" spans="1:4" x14ac:dyDescent="0.25">
      <c r="A5355" s="1">
        <v>42976</v>
      </c>
      <c r="B5355">
        <v>1</v>
      </c>
      <c r="C5355">
        <v>3</v>
      </c>
      <c r="D5355">
        <v>40</v>
      </c>
    </row>
    <row r="5356" spans="1:4" x14ac:dyDescent="0.25">
      <c r="A5356" s="1">
        <v>42977</v>
      </c>
      <c r="B5356">
        <v>1</v>
      </c>
      <c r="C5356">
        <v>3</v>
      </c>
      <c r="D5356">
        <v>29</v>
      </c>
    </row>
    <row r="5357" spans="1:4" x14ac:dyDescent="0.25">
      <c r="A5357" s="1">
        <v>42978</v>
      </c>
      <c r="B5357">
        <v>1</v>
      </c>
      <c r="C5357">
        <v>3</v>
      </c>
      <c r="D5357">
        <v>37</v>
      </c>
    </row>
    <row r="5358" spans="1:4" x14ac:dyDescent="0.25">
      <c r="A5358" s="1">
        <v>42979</v>
      </c>
      <c r="B5358">
        <v>1</v>
      </c>
      <c r="C5358">
        <v>3</v>
      </c>
      <c r="D5358">
        <v>41</v>
      </c>
    </row>
    <row r="5359" spans="1:4" x14ac:dyDescent="0.25">
      <c r="A5359" s="1">
        <v>42980</v>
      </c>
      <c r="B5359">
        <v>1</v>
      </c>
      <c r="C5359">
        <v>3</v>
      </c>
      <c r="D5359">
        <v>47</v>
      </c>
    </row>
    <row r="5360" spans="1:4" x14ac:dyDescent="0.25">
      <c r="A5360" s="1">
        <v>42981</v>
      </c>
      <c r="B5360">
        <v>1</v>
      </c>
      <c r="C5360">
        <v>3</v>
      </c>
      <c r="D5360">
        <v>41</v>
      </c>
    </row>
    <row r="5361" spans="1:4" x14ac:dyDescent="0.25">
      <c r="A5361" s="1">
        <v>42982</v>
      </c>
      <c r="B5361">
        <v>1</v>
      </c>
      <c r="C5361">
        <v>3</v>
      </c>
      <c r="D5361">
        <v>40</v>
      </c>
    </row>
    <row r="5362" spans="1:4" x14ac:dyDescent="0.25">
      <c r="A5362" s="1">
        <v>42983</v>
      </c>
      <c r="B5362">
        <v>1</v>
      </c>
      <c r="C5362">
        <v>3</v>
      </c>
      <c r="D5362">
        <v>43</v>
      </c>
    </row>
    <row r="5363" spans="1:4" x14ac:dyDescent="0.25">
      <c r="A5363" s="1">
        <v>42984</v>
      </c>
      <c r="B5363">
        <v>1</v>
      </c>
      <c r="C5363">
        <v>3</v>
      </c>
      <c r="D5363">
        <v>51</v>
      </c>
    </row>
    <row r="5364" spans="1:4" x14ac:dyDescent="0.25">
      <c r="A5364" s="1">
        <v>42985</v>
      </c>
      <c r="B5364">
        <v>1</v>
      </c>
      <c r="C5364">
        <v>3</v>
      </c>
      <c r="D5364">
        <v>44</v>
      </c>
    </row>
    <row r="5365" spans="1:4" x14ac:dyDescent="0.25">
      <c r="A5365" s="1">
        <v>42986</v>
      </c>
      <c r="B5365">
        <v>1</v>
      </c>
      <c r="C5365">
        <v>3</v>
      </c>
      <c r="D5365">
        <v>46</v>
      </c>
    </row>
    <row r="5366" spans="1:4" x14ac:dyDescent="0.25">
      <c r="A5366" s="1">
        <v>42987</v>
      </c>
      <c r="B5366">
        <v>1</v>
      </c>
      <c r="C5366">
        <v>3</v>
      </c>
      <c r="D5366">
        <v>36</v>
      </c>
    </row>
    <row r="5367" spans="1:4" x14ac:dyDescent="0.25">
      <c r="A5367" s="1">
        <v>42988</v>
      </c>
      <c r="B5367">
        <v>1</v>
      </c>
      <c r="C5367">
        <v>3</v>
      </c>
      <c r="D5367">
        <v>36</v>
      </c>
    </row>
    <row r="5368" spans="1:4" x14ac:dyDescent="0.25">
      <c r="A5368" s="1">
        <v>42989</v>
      </c>
      <c r="B5368">
        <v>1</v>
      </c>
      <c r="C5368">
        <v>3</v>
      </c>
      <c r="D5368">
        <v>29</v>
      </c>
    </row>
    <row r="5369" spans="1:4" x14ac:dyDescent="0.25">
      <c r="A5369" s="1">
        <v>42990</v>
      </c>
      <c r="B5369">
        <v>1</v>
      </c>
      <c r="C5369">
        <v>3</v>
      </c>
      <c r="D5369">
        <v>30</v>
      </c>
    </row>
    <row r="5370" spans="1:4" x14ac:dyDescent="0.25">
      <c r="A5370" s="1">
        <v>42991</v>
      </c>
      <c r="B5370">
        <v>1</v>
      </c>
      <c r="C5370">
        <v>3</v>
      </c>
      <c r="D5370">
        <v>34</v>
      </c>
    </row>
    <row r="5371" spans="1:4" x14ac:dyDescent="0.25">
      <c r="A5371" s="1">
        <v>42992</v>
      </c>
      <c r="B5371">
        <v>1</v>
      </c>
      <c r="C5371">
        <v>3</v>
      </c>
      <c r="D5371">
        <v>41</v>
      </c>
    </row>
    <row r="5372" spans="1:4" x14ac:dyDescent="0.25">
      <c r="A5372" s="1">
        <v>42993</v>
      </c>
      <c r="B5372">
        <v>1</v>
      </c>
      <c r="C5372">
        <v>3</v>
      </c>
      <c r="D5372">
        <v>45</v>
      </c>
    </row>
    <row r="5373" spans="1:4" x14ac:dyDescent="0.25">
      <c r="A5373" s="1">
        <v>42994</v>
      </c>
      <c r="B5373">
        <v>1</v>
      </c>
      <c r="C5373">
        <v>3</v>
      </c>
      <c r="D5373">
        <v>41</v>
      </c>
    </row>
    <row r="5374" spans="1:4" x14ac:dyDescent="0.25">
      <c r="A5374" s="1">
        <v>42995</v>
      </c>
      <c r="B5374">
        <v>1</v>
      </c>
      <c r="C5374">
        <v>3</v>
      </c>
      <c r="D5374">
        <v>49</v>
      </c>
    </row>
    <row r="5375" spans="1:4" x14ac:dyDescent="0.25">
      <c r="A5375" s="1">
        <v>42996</v>
      </c>
      <c r="B5375">
        <v>1</v>
      </c>
      <c r="C5375">
        <v>3</v>
      </c>
      <c r="D5375">
        <v>42</v>
      </c>
    </row>
    <row r="5376" spans="1:4" x14ac:dyDescent="0.25">
      <c r="A5376" s="1">
        <v>42997</v>
      </c>
      <c r="B5376">
        <v>1</v>
      </c>
      <c r="C5376">
        <v>3</v>
      </c>
      <c r="D5376">
        <v>32</v>
      </c>
    </row>
    <row r="5377" spans="1:4" x14ac:dyDescent="0.25">
      <c r="A5377" s="1">
        <v>42998</v>
      </c>
      <c r="B5377">
        <v>1</v>
      </c>
      <c r="C5377">
        <v>3</v>
      </c>
      <c r="D5377">
        <v>28</v>
      </c>
    </row>
    <row r="5378" spans="1:4" x14ac:dyDescent="0.25">
      <c r="A5378" s="1">
        <v>42999</v>
      </c>
      <c r="B5378">
        <v>1</v>
      </c>
      <c r="C5378">
        <v>3</v>
      </c>
      <c r="D5378">
        <v>34</v>
      </c>
    </row>
    <row r="5379" spans="1:4" x14ac:dyDescent="0.25">
      <c r="A5379" s="1">
        <v>43000</v>
      </c>
      <c r="B5379">
        <v>1</v>
      </c>
      <c r="C5379">
        <v>3</v>
      </c>
      <c r="D5379">
        <v>46</v>
      </c>
    </row>
    <row r="5380" spans="1:4" x14ac:dyDescent="0.25">
      <c r="A5380" s="1">
        <v>43001</v>
      </c>
      <c r="B5380">
        <v>1</v>
      </c>
      <c r="C5380">
        <v>3</v>
      </c>
      <c r="D5380">
        <v>52</v>
      </c>
    </row>
    <row r="5381" spans="1:4" x14ac:dyDescent="0.25">
      <c r="A5381" s="1">
        <v>43002</v>
      </c>
      <c r="B5381">
        <v>1</v>
      </c>
      <c r="C5381">
        <v>3</v>
      </c>
      <c r="D5381">
        <v>47</v>
      </c>
    </row>
    <row r="5382" spans="1:4" x14ac:dyDescent="0.25">
      <c r="A5382" s="1">
        <v>43003</v>
      </c>
      <c r="B5382">
        <v>1</v>
      </c>
      <c r="C5382">
        <v>3</v>
      </c>
      <c r="D5382">
        <v>26</v>
      </c>
    </row>
    <row r="5383" spans="1:4" x14ac:dyDescent="0.25">
      <c r="A5383" s="1">
        <v>43004</v>
      </c>
      <c r="B5383">
        <v>1</v>
      </c>
      <c r="C5383">
        <v>3</v>
      </c>
      <c r="D5383">
        <v>38</v>
      </c>
    </row>
    <row r="5384" spans="1:4" x14ac:dyDescent="0.25">
      <c r="A5384" s="1">
        <v>43005</v>
      </c>
      <c r="B5384">
        <v>1</v>
      </c>
      <c r="C5384">
        <v>3</v>
      </c>
      <c r="D5384">
        <v>41</v>
      </c>
    </row>
    <row r="5385" spans="1:4" x14ac:dyDescent="0.25">
      <c r="A5385" s="1">
        <v>43006</v>
      </c>
      <c r="B5385">
        <v>1</v>
      </c>
      <c r="C5385">
        <v>3</v>
      </c>
      <c r="D5385">
        <v>37</v>
      </c>
    </row>
    <row r="5386" spans="1:4" x14ac:dyDescent="0.25">
      <c r="A5386" s="1">
        <v>43007</v>
      </c>
      <c r="B5386">
        <v>1</v>
      </c>
      <c r="C5386">
        <v>3</v>
      </c>
      <c r="D5386">
        <v>35</v>
      </c>
    </row>
    <row r="5387" spans="1:4" x14ac:dyDescent="0.25">
      <c r="A5387" s="1">
        <v>43008</v>
      </c>
      <c r="B5387">
        <v>1</v>
      </c>
      <c r="C5387">
        <v>3</v>
      </c>
      <c r="D5387">
        <v>48</v>
      </c>
    </row>
    <row r="5388" spans="1:4" x14ac:dyDescent="0.25">
      <c r="A5388" s="1">
        <v>43009</v>
      </c>
      <c r="B5388">
        <v>1</v>
      </c>
      <c r="C5388">
        <v>3</v>
      </c>
      <c r="D5388">
        <v>38</v>
      </c>
    </row>
    <row r="5389" spans="1:4" x14ac:dyDescent="0.25">
      <c r="A5389" s="1">
        <v>43010</v>
      </c>
      <c r="B5389">
        <v>1</v>
      </c>
      <c r="C5389">
        <v>3</v>
      </c>
      <c r="D5389">
        <v>32</v>
      </c>
    </row>
    <row r="5390" spans="1:4" x14ac:dyDescent="0.25">
      <c r="A5390" s="1">
        <v>43011</v>
      </c>
      <c r="B5390">
        <v>1</v>
      </c>
      <c r="C5390">
        <v>3</v>
      </c>
      <c r="D5390">
        <v>28</v>
      </c>
    </row>
    <row r="5391" spans="1:4" x14ac:dyDescent="0.25">
      <c r="A5391" s="1">
        <v>43012</v>
      </c>
      <c r="B5391">
        <v>1</v>
      </c>
      <c r="C5391">
        <v>3</v>
      </c>
      <c r="D5391">
        <v>34</v>
      </c>
    </row>
    <row r="5392" spans="1:4" x14ac:dyDescent="0.25">
      <c r="A5392" s="1">
        <v>43013</v>
      </c>
      <c r="B5392">
        <v>1</v>
      </c>
      <c r="C5392">
        <v>3</v>
      </c>
      <c r="D5392">
        <v>40</v>
      </c>
    </row>
    <row r="5393" spans="1:4" x14ac:dyDescent="0.25">
      <c r="A5393" s="1">
        <v>43014</v>
      </c>
      <c r="B5393">
        <v>1</v>
      </c>
      <c r="C5393">
        <v>3</v>
      </c>
      <c r="D5393">
        <v>34</v>
      </c>
    </row>
    <row r="5394" spans="1:4" x14ac:dyDescent="0.25">
      <c r="A5394" s="1">
        <v>43015</v>
      </c>
      <c r="B5394">
        <v>1</v>
      </c>
      <c r="C5394">
        <v>3</v>
      </c>
      <c r="D5394">
        <v>34</v>
      </c>
    </row>
    <row r="5395" spans="1:4" x14ac:dyDescent="0.25">
      <c r="A5395" s="1">
        <v>43016</v>
      </c>
      <c r="B5395">
        <v>1</v>
      </c>
      <c r="C5395">
        <v>3</v>
      </c>
      <c r="D5395">
        <v>47</v>
      </c>
    </row>
    <row r="5396" spans="1:4" x14ac:dyDescent="0.25">
      <c r="A5396" s="1">
        <v>43017</v>
      </c>
      <c r="B5396">
        <v>1</v>
      </c>
      <c r="C5396">
        <v>3</v>
      </c>
      <c r="D5396">
        <v>18</v>
      </c>
    </row>
    <row r="5397" spans="1:4" x14ac:dyDescent="0.25">
      <c r="A5397" s="1">
        <v>43018</v>
      </c>
      <c r="B5397">
        <v>1</v>
      </c>
      <c r="C5397">
        <v>3</v>
      </c>
      <c r="D5397">
        <v>35</v>
      </c>
    </row>
    <row r="5398" spans="1:4" x14ac:dyDescent="0.25">
      <c r="A5398" s="1">
        <v>43019</v>
      </c>
      <c r="B5398">
        <v>1</v>
      </c>
      <c r="C5398">
        <v>3</v>
      </c>
      <c r="D5398">
        <v>39</v>
      </c>
    </row>
    <row r="5399" spans="1:4" x14ac:dyDescent="0.25">
      <c r="A5399" s="1">
        <v>43020</v>
      </c>
      <c r="B5399">
        <v>1</v>
      </c>
      <c r="C5399">
        <v>3</v>
      </c>
      <c r="D5399">
        <v>29</v>
      </c>
    </row>
    <row r="5400" spans="1:4" x14ac:dyDescent="0.25">
      <c r="A5400" s="1">
        <v>43021</v>
      </c>
      <c r="B5400">
        <v>1</v>
      </c>
      <c r="C5400">
        <v>3</v>
      </c>
      <c r="D5400">
        <v>33</v>
      </c>
    </row>
    <row r="5401" spans="1:4" x14ac:dyDescent="0.25">
      <c r="A5401" s="1">
        <v>43022</v>
      </c>
      <c r="B5401">
        <v>1</v>
      </c>
      <c r="C5401">
        <v>3</v>
      </c>
      <c r="D5401">
        <v>42</v>
      </c>
    </row>
    <row r="5402" spans="1:4" x14ac:dyDescent="0.25">
      <c r="A5402" s="1">
        <v>43023</v>
      </c>
      <c r="B5402">
        <v>1</v>
      </c>
      <c r="C5402">
        <v>3</v>
      </c>
      <c r="D5402">
        <v>49</v>
      </c>
    </row>
    <row r="5403" spans="1:4" x14ac:dyDescent="0.25">
      <c r="A5403" s="1">
        <v>43024</v>
      </c>
      <c r="B5403">
        <v>1</v>
      </c>
      <c r="C5403">
        <v>3</v>
      </c>
      <c r="D5403">
        <v>31</v>
      </c>
    </row>
    <row r="5404" spans="1:4" x14ac:dyDescent="0.25">
      <c r="A5404" s="1">
        <v>43025</v>
      </c>
      <c r="B5404">
        <v>1</v>
      </c>
      <c r="C5404">
        <v>3</v>
      </c>
      <c r="D5404">
        <v>37</v>
      </c>
    </row>
    <row r="5405" spans="1:4" x14ac:dyDescent="0.25">
      <c r="A5405" s="1">
        <v>43026</v>
      </c>
      <c r="B5405">
        <v>1</v>
      </c>
      <c r="C5405">
        <v>3</v>
      </c>
      <c r="D5405">
        <v>40</v>
      </c>
    </row>
    <row r="5406" spans="1:4" x14ac:dyDescent="0.25">
      <c r="A5406" s="1">
        <v>43027</v>
      </c>
      <c r="B5406">
        <v>1</v>
      </c>
      <c r="C5406">
        <v>3</v>
      </c>
      <c r="D5406">
        <v>38</v>
      </c>
    </row>
    <row r="5407" spans="1:4" x14ac:dyDescent="0.25">
      <c r="A5407" s="1">
        <v>43028</v>
      </c>
      <c r="B5407">
        <v>1</v>
      </c>
      <c r="C5407">
        <v>3</v>
      </c>
      <c r="D5407">
        <v>41</v>
      </c>
    </row>
    <row r="5408" spans="1:4" x14ac:dyDescent="0.25">
      <c r="A5408" s="1">
        <v>43029</v>
      </c>
      <c r="B5408">
        <v>1</v>
      </c>
      <c r="C5408">
        <v>3</v>
      </c>
      <c r="D5408">
        <v>45</v>
      </c>
    </row>
    <row r="5409" spans="1:4" x14ac:dyDescent="0.25">
      <c r="A5409" s="1">
        <v>43030</v>
      </c>
      <c r="B5409">
        <v>1</v>
      </c>
      <c r="C5409">
        <v>3</v>
      </c>
      <c r="D5409">
        <v>31</v>
      </c>
    </row>
    <row r="5410" spans="1:4" x14ac:dyDescent="0.25">
      <c r="A5410" s="1">
        <v>43031</v>
      </c>
      <c r="B5410">
        <v>1</v>
      </c>
      <c r="C5410">
        <v>3</v>
      </c>
      <c r="D5410">
        <v>30</v>
      </c>
    </row>
    <row r="5411" spans="1:4" x14ac:dyDescent="0.25">
      <c r="A5411" s="1">
        <v>43032</v>
      </c>
      <c r="B5411">
        <v>1</v>
      </c>
      <c r="C5411">
        <v>3</v>
      </c>
      <c r="D5411">
        <v>43</v>
      </c>
    </row>
    <row r="5412" spans="1:4" x14ac:dyDescent="0.25">
      <c r="A5412" s="1">
        <v>43033</v>
      </c>
      <c r="B5412">
        <v>1</v>
      </c>
      <c r="C5412">
        <v>3</v>
      </c>
      <c r="D5412">
        <v>32</v>
      </c>
    </row>
    <row r="5413" spans="1:4" x14ac:dyDescent="0.25">
      <c r="A5413" s="1">
        <v>43034</v>
      </c>
      <c r="B5413">
        <v>1</v>
      </c>
      <c r="C5413">
        <v>3</v>
      </c>
      <c r="D5413">
        <v>35</v>
      </c>
    </row>
    <row r="5414" spans="1:4" x14ac:dyDescent="0.25">
      <c r="A5414" s="1">
        <v>43035</v>
      </c>
      <c r="B5414">
        <v>1</v>
      </c>
      <c r="C5414">
        <v>3</v>
      </c>
      <c r="D5414">
        <v>38</v>
      </c>
    </row>
    <row r="5415" spans="1:4" x14ac:dyDescent="0.25">
      <c r="A5415" s="1">
        <v>43036</v>
      </c>
      <c r="B5415">
        <v>1</v>
      </c>
      <c r="C5415">
        <v>3</v>
      </c>
      <c r="D5415">
        <v>43</v>
      </c>
    </row>
    <row r="5416" spans="1:4" x14ac:dyDescent="0.25">
      <c r="A5416" s="1">
        <v>43037</v>
      </c>
      <c r="B5416">
        <v>1</v>
      </c>
      <c r="C5416">
        <v>3</v>
      </c>
      <c r="D5416">
        <v>31</v>
      </c>
    </row>
    <row r="5417" spans="1:4" x14ac:dyDescent="0.25">
      <c r="A5417" s="1">
        <v>43038</v>
      </c>
      <c r="B5417">
        <v>1</v>
      </c>
      <c r="C5417">
        <v>3</v>
      </c>
      <c r="D5417">
        <v>27</v>
      </c>
    </row>
    <row r="5418" spans="1:4" x14ac:dyDescent="0.25">
      <c r="A5418" s="1">
        <v>43039</v>
      </c>
      <c r="B5418">
        <v>1</v>
      </c>
      <c r="C5418">
        <v>3</v>
      </c>
      <c r="D5418">
        <v>26</v>
      </c>
    </row>
    <row r="5419" spans="1:4" x14ac:dyDescent="0.25">
      <c r="A5419" s="1">
        <v>43040</v>
      </c>
      <c r="B5419">
        <v>1</v>
      </c>
      <c r="C5419">
        <v>3</v>
      </c>
      <c r="D5419">
        <v>50</v>
      </c>
    </row>
    <row r="5420" spans="1:4" x14ac:dyDescent="0.25">
      <c r="A5420" s="1">
        <v>43041</v>
      </c>
      <c r="B5420">
        <v>1</v>
      </c>
      <c r="C5420">
        <v>3</v>
      </c>
      <c r="D5420">
        <v>41</v>
      </c>
    </row>
    <row r="5421" spans="1:4" x14ac:dyDescent="0.25">
      <c r="A5421" s="1">
        <v>43042</v>
      </c>
      <c r="B5421">
        <v>1</v>
      </c>
      <c r="C5421">
        <v>3</v>
      </c>
      <c r="D5421">
        <v>43</v>
      </c>
    </row>
    <row r="5422" spans="1:4" x14ac:dyDescent="0.25">
      <c r="A5422" s="1">
        <v>43043</v>
      </c>
      <c r="B5422">
        <v>1</v>
      </c>
      <c r="C5422">
        <v>3</v>
      </c>
      <c r="D5422">
        <v>41</v>
      </c>
    </row>
    <row r="5423" spans="1:4" x14ac:dyDescent="0.25">
      <c r="A5423" s="1">
        <v>43044</v>
      </c>
      <c r="B5423">
        <v>1</v>
      </c>
      <c r="C5423">
        <v>3</v>
      </c>
      <c r="D5423">
        <v>51</v>
      </c>
    </row>
    <row r="5424" spans="1:4" x14ac:dyDescent="0.25">
      <c r="A5424" s="1">
        <v>43045</v>
      </c>
      <c r="B5424">
        <v>1</v>
      </c>
      <c r="C5424">
        <v>3</v>
      </c>
      <c r="D5424">
        <v>43</v>
      </c>
    </row>
    <row r="5425" spans="1:4" x14ac:dyDescent="0.25">
      <c r="A5425" s="1">
        <v>43046</v>
      </c>
      <c r="B5425">
        <v>1</v>
      </c>
      <c r="C5425">
        <v>3</v>
      </c>
      <c r="D5425">
        <v>37</v>
      </c>
    </row>
    <row r="5426" spans="1:4" x14ac:dyDescent="0.25">
      <c r="A5426" s="1">
        <v>43047</v>
      </c>
      <c r="B5426">
        <v>1</v>
      </c>
      <c r="C5426">
        <v>3</v>
      </c>
      <c r="D5426">
        <v>31</v>
      </c>
    </row>
    <row r="5427" spans="1:4" x14ac:dyDescent="0.25">
      <c r="A5427" s="1">
        <v>43048</v>
      </c>
      <c r="B5427">
        <v>1</v>
      </c>
      <c r="C5427">
        <v>3</v>
      </c>
      <c r="D5427">
        <v>37</v>
      </c>
    </row>
    <row r="5428" spans="1:4" x14ac:dyDescent="0.25">
      <c r="A5428" s="1">
        <v>43049</v>
      </c>
      <c r="B5428">
        <v>1</v>
      </c>
      <c r="C5428">
        <v>3</v>
      </c>
      <c r="D5428">
        <v>23</v>
      </c>
    </row>
    <row r="5429" spans="1:4" x14ac:dyDescent="0.25">
      <c r="A5429" s="1">
        <v>43050</v>
      </c>
      <c r="B5429">
        <v>1</v>
      </c>
      <c r="C5429">
        <v>3</v>
      </c>
      <c r="D5429">
        <v>39</v>
      </c>
    </row>
    <row r="5430" spans="1:4" x14ac:dyDescent="0.25">
      <c r="A5430" s="1">
        <v>43051</v>
      </c>
      <c r="B5430">
        <v>1</v>
      </c>
      <c r="C5430">
        <v>3</v>
      </c>
      <c r="D5430">
        <v>53</v>
      </c>
    </row>
    <row r="5431" spans="1:4" x14ac:dyDescent="0.25">
      <c r="A5431" s="1">
        <v>43052</v>
      </c>
      <c r="B5431">
        <v>1</v>
      </c>
      <c r="C5431">
        <v>3</v>
      </c>
      <c r="D5431">
        <v>35</v>
      </c>
    </row>
    <row r="5432" spans="1:4" x14ac:dyDescent="0.25">
      <c r="A5432" s="1">
        <v>43053</v>
      </c>
      <c r="B5432">
        <v>1</v>
      </c>
      <c r="C5432">
        <v>3</v>
      </c>
      <c r="D5432">
        <v>29</v>
      </c>
    </row>
    <row r="5433" spans="1:4" x14ac:dyDescent="0.25">
      <c r="A5433" s="1">
        <v>43054</v>
      </c>
      <c r="B5433">
        <v>1</v>
      </c>
      <c r="C5433">
        <v>3</v>
      </c>
      <c r="D5433">
        <v>37</v>
      </c>
    </row>
    <row r="5434" spans="1:4" x14ac:dyDescent="0.25">
      <c r="A5434" s="1">
        <v>43055</v>
      </c>
      <c r="B5434">
        <v>1</v>
      </c>
      <c r="C5434">
        <v>3</v>
      </c>
      <c r="D5434">
        <v>38</v>
      </c>
    </row>
    <row r="5435" spans="1:4" x14ac:dyDescent="0.25">
      <c r="A5435" s="1">
        <v>43056</v>
      </c>
      <c r="B5435">
        <v>1</v>
      </c>
      <c r="C5435">
        <v>3</v>
      </c>
      <c r="D5435">
        <v>35</v>
      </c>
    </row>
    <row r="5436" spans="1:4" x14ac:dyDescent="0.25">
      <c r="A5436" s="1">
        <v>43057</v>
      </c>
      <c r="B5436">
        <v>1</v>
      </c>
      <c r="C5436">
        <v>3</v>
      </c>
      <c r="D5436">
        <v>43</v>
      </c>
    </row>
    <row r="5437" spans="1:4" x14ac:dyDescent="0.25">
      <c r="A5437" s="1">
        <v>43058</v>
      </c>
      <c r="B5437">
        <v>1</v>
      </c>
      <c r="C5437">
        <v>3</v>
      </c>
      <c r="D5437">
        <v>43</v>
      </c>
    </row>
    <row r="5438" spans="1:4" x14ac:dyDescent="0.25">
      <c r="A5438" s="1">
        <v>43059</v>
      </c>
      <c r="B5438">
        <v>1</v>
      </c>
      <c r="C5438">
        <v>3</v>
      </c>
      <c r="D5438">
        <v>36</v>
      </c>
    </row>
    <row r="5439" spans="1:4" x14ac:dyDescent="0.25">
      <c r="A5439" s="1">
        <v>43060</v>
      </c>
      <c r="B5439">
        <v>1</v>
      </c>
      <c r="C5439">
        <v>3</v>
      </c>
      <c r="D5439">
        <v>40</v>
      </c>
    </row>
    <row r="5440" spans="1:4" x14ac:dyDescent="0.25">
      <c r="A5440" s="1">
        <v>43061</v>
      </c>
      <c r="B5440">
        <v>1</v>
      </c>
      <c r="C5440">
        <v>3</v>
      </c>
      <c r="D5440">
        <v>38</v>
      </c>
    </row>
    <row r="5441" spans="1:4" x14ac:dyDescent="0.25">
      <c r="A5441" s="1">
        <v>43062</v>
      </c>
      <c r="B5441">
        <v>1</v>
      </c>
      <c r="C5441">
        <v>3</v>
      </c>
      <c r="D5441">
        <v>40</v>
      </c>
    </row>
    <row r="5442" spans="1:4" x14ac:dyDescent="0.25">
      <c r="A5442" s="1">
        <v>43063</v>
      </c>
      <c r="B5442">
        <v>1</v>
      </c>
      <c r="C5442">
        <v>3</v>
      </c>
      <c r="D5442">
        <v>37</v>
      </c>
    </row>
    <row r="5443" spans="1:4" x14ac:dyDescent="0.25">
      <c r="A5443" s="1">
        <v>43064</v>
      </c>
      <c r="B5443">
        <v>1</v>
      </c>
      <c r="C5443">
        <v>3</v>
      </c>
      <c r="D5443">
        <v>41</v>
      </c>
    </row>
    <row r="5444" spans="1:4" x14ac:dyDescent="0.25">
      <c r="A5444" s="1">
        <v>43065</v>
      </c>
      <c r="B5444">
        <v>1</v>
      </c>
      <c r="C5444">
        <v>3</v>
      </c>
      <c r="D5444">
        <v>43</v>
      </c>
    </row>
    <row r="5445" spans="1:4" x14ac:dyDescent="0.25">
      <c r="A5445" s="1">
        <v>43066</v>
      </c>
      <c r="B5445">
        <v>1</v>
      </c>
      <c r="C5445">
        <v>3</v>
      </c>
      <c r="D5445">
        <v>23</v>
      </c>
    </row>
    <row r="5446" spans="1:4" x14ac:dyDescent="0.25">
      <c r="A5446" s="1">
        <v>43067</v>
      </c>
      <c r="B5446">
        <v>1</v>
      </c>
      <c r="C5446">
        <v>3</v>
      </c>
      <c r="D5446">
        <v>36</v>
      </c>
    </row>
    <row r="5447" spans="1:4" x14ac:dyDescent="0.25">
      <c r="A5447" s="1">
        <v>43068</v>
      </c>
      <c r="B5447">
        <v>1</v>
      </c>
      <c r="C5447">
        <v>3</v>
      </c>
      <c r="D5447">
        <v>42</v>
      </c>
    </row>
    <row r="5448" spans="1:4" x14ac:dyDescent="0.25">
      <c r="A5448" s="1">
        <v>43069</v>
      </c>
      <c r="B5448">
        <v>1</v>
      </c>
      <c r="C5448">
        <v>3</v>
      </c>
      <c r="D5448">
        <v>31</v>
      </c>
    </row>
    <row r="5449" spans="1:4" x14ac:dyDescent="0.25">
      <c r="A5449" s="1">
        <v>43070</v>
      </c>
      <c r="B5449">
        <v>1</v>
      </c>
      <c r="C5449">
        <v>3</v>
      </c>
      <c r="D5449">
        <v>30</v>
      </c>
    </row>
    <row r="5450" spans="1:4" x14ac:dyDescent="0.25">
      <c r="A5450" s="1">
        <v>43071</v>
      </c>
      <c r="B5450">
        <v>1</v>
      </c>
      <c r="C5450">
        <v>3</v>
      </c>
      <c r="D5450">
        <v>31</v>
      </c>
    </row>
    <row r="5451" spans="1:4" x14ac:dyDescent="0.25">
      <c r="A5451" s="1">
        <v>43072</v>
      </c>
      <c r="B5451">
        <v>1</v>
      </c>
      <c r="C5451">
        <v>3</v>
      </c>
      <c r="D5451">
        <v>34</v>
      </c>
    </row>
    <row r="5452" spans="1:4" x14ac:dyDescent="0.25">
      <c r="A5452" s="1">
        <v>43073</v>
      </c>
      <c r="B5452">
        <v>1</v>
      </c>
      <c r="C5452">
        <v>3</v>
      </c>
      <c r="D5452">
        <v>21</v>
      </c>
    </row>
    <row r="5453" spans="1:4" x14ac:dyDescent="0.25">
      <c r="A5453" s="1">
        <v>43074</v>
      </c>
      <c r="B5453">
        <v>1</v>
      </c>
      <c r="C5453">
        <v>3</v>
      </c>
      <c r="D5453">
        <v>15</v>
      </c>
    </row>
    <row r="5454" spans="1:4" x14ac:dyDescent="0.25">
      <c r="A5454" s="1">
        <v>43075</v>
      </c>
      <c r="B5454">
        <v>1</v>
      </c>
      <c r="C5454">
        <v>3</v>
      </c>
      <c r="D5454">
        <v>32</v>
      </c>
    </row>
    <row r="5455" spans="1:4" x14ac:dyDescent="0.25">
      <c r="A5455" s="1">
        <v>43076</v>
      </c>
      <c r="B5455">
        <v>1</v>
      </c>
      <c r="C5455">
        <v>3</v>
      </c>
      <c r="D5455">
        <v>34</v>
      </c>
    </row>
    <row r="5456" spans="1:4" x14ac:dyDescent="0.25">
      <c r="A5456" s="1">
        <v>43077</v>
      </c>
      <c r="B5456">
        <v>1</v>
      </c>
      <c r="C5456">
        <v>3</v>
      </c>
      <c r="D5456">
        <v>27</v>
      </c>
    </row>
    <row r="5457" spans="1:4" x14ac:dyDescent="0.25">
      <c r="A5457" s="1">
        <v>43078</v>
      </c>
      <c r="B5457">
        <v>1</v>
      </c>
      <c r="C5457">
        <v>3</v>
      </c>
      <c r="D5457">
        <v>36</v>
      </c>
    </row>
    <row r="5458" spans="1:4" x14ac:dyDescent="0.25">
      <c r="A5458" s="1">
        <v>43079</v>
      </c>
      <c r="B5458">
        <v>1</v>
      </c>
      <c r="C5458">
        <v>3</v>
      </c>
      <c r="D5458">
        <v>44</v>
      </c>
    </row>
    <row r="5459" spans="1:4" x14ac:dyDescent="0.25">
      <c r="A5459" s="1">
        <v>43080</v>
      </c>
      <c r="B5459">
        <v>1</v>
      </c>
      <c r="C5459">
        <v>3</v>
      </c>
      <c r="D5459">
        <v>21</v>
      </c>
    </row>
    <row r="5460" spans="1:4" x14ac:dyDescent="0.25">
      <c r="A5460" s="1">
        <v>43081</v>
      </c>
      <c r="B5460">
        <v>1</v>
      </c>
      <c r="C5460">
        <v>3</v>
      </c>
      <c r="D5460">
        <v>28</v>
      </c>
    </row>
    <row r="5461" spans="1:4" x14ac:dyDescent="0.25">
      <c r="A5461" s="1">
        <v>43082</v>
      </c>
      <c r="B5461">
        <v>1</v>
      </c>
      <c r="C5461">
        <v>3</v>
      </c>
      <c r="D5461">
        <v>30</v>
      </c>
    </row>
    <row r="5462" spans="1:4" x14ac:dyDescent="0.25">
      <c r="A5462" s="1">
        <v>43083</v>
      </c>
      <c r="B5462">
        <v>1</v>
      </c>
      <c r="C5462">
        <v>3</v>
      </c>
      <c r="D5462">
        <v>27</v>
      </c>
    </row>
    <row r="5463" spans="1:4" x14ac:dyDescent="0.25">
      <c r="A5463" s="1">
        <v>43084</v>
      </c>
      <c r="B5463">
        <v>1</v>
      </c>
      <c r="C5463">
        <v>3</v>
      </c>
      <c r="D5463">
        <v>30</v>
      </c>
    </row>
    <row r="5464" spans="1:4" x14ac:dyDescent="0.25">
      <c r="A5464" s="1">
        <v>43085</v>
      </c>
      <c r="B5464">
        <v>1</v>
      </c>
      <c r="C5464">
        <v>3</v>
      </c>
      <c r="D5464">
        <v>32</v>
      </c>
    </row>
    <row r="5465" spans="1:4" x14ac:dyDescent="0.25">
      <c r="A5465" s="1">
        <v>43086</v>
      </c>
      <c r="B5465">
        <v>1</v>
      </c>
      <c r="C5465">
        <v>3</v>
      </c>
      <c r="D5465">
        <v>39</v>
      </c>
    </row>
    <row r="5466" spans="1:4" x14ac:dyDescent="0.25">
      <c r="A5466" s="1">
        <v>43087</v>
      </c>
      <c r="B5466">
        <v>1</v>
      </c>
      <c r="C5466">
        <v>3</v>
      </c>
      <c r="D5466">
        <v>21</v>
      </c>
    </row>
    <row r="5467" spans="1:4" x14ac:dyDescent="0.25">
      <c r="A5467" s="1">
        <v>43088</v>
      </c>
      <c r="B5467">
        <v>1</v>
      </c>
      <c r="C5467">
        <v>3</v>
      </c>
      <c r="D5467">
        <v>20</v>
      </c>
    </row>
    <row r="5468" spans="1:4" x14ac:dyDescent="0.25">
      <c r="A5468" s="1">
        <v>43089</v>
      </c>
      <c r="B5468">
        <v>1</v>
      </c>
      <c r="C5468">
        <v>3</v>
      </c>
      <c r="D5468">
        <v>21</v>
      </c>
    </row>
    <row r="5469" spans="1:4" x14ac:dyDescent="0.25">
      <c r="A5469" s="1">
        <v>43090</v>
      </c>
      <c r="B5469">
        <v>1</v>
      </c>
      <c r="C5469">
        <v>3</v>
      </c>
      <c r="D5469">
        <v>23</v>
      </c>
    </row>
    <row r="5470" spans="1:4" x14ac:dyDescent="0.25">
      <c r="A5470" s="1">
        <v>43091</v>
      </c>
      <c r="B5470">
        <v>1</v>
      </c>
      <c r="C5470">
        <v>3</v>
      </c>
      <c r="D5470">
        <v>22</v>
      </c>
    </row>
    <row r="5471" spans="1:4" x14ac:dyDescent="0.25">
      <c r="A5471" s="1">
        <v>43092</v>
      </c>
      <c r="B5471">
        <v>1</v>
      </c>
      <c r="C5471">
        <v>3</v>
      </c>
      <c r="D5471">
        <v>37</v>
      </c>
    </row>
    <row r="5472" spans="1:4" x14ac:dyDescent="0.25">
      <c r="A5472" s="1">
        <v>43093</v>
      </c>
      <c r="B5472">
        <v>1</v>
      </c>
      <c r="C5472">
        <v>3</v>
      </c>
      <c r="D5472">
        <v>33</v>
      </c>
    </row>
    <row r="5473" spans="1:4" x14ac:dyDescent="0.25">
      <c r="A5473" s="1">
        <v>43094</v>
      </c>
      <c r="B5473">
        <v>1</v>
      </c>
      <c r="C5473">
        <v>3</v>
      </c>
      <c r="D5473">
        <v>26</v>
      </c>
    </row>
    <row r="5474" spans="1:4" x14ac:dyDescent="0.25">
      <c r="A5474" s="1">
        <v>43095</v>
      </c>
      <c r="B5474">
        <v>1</v>
      </c>
      <c r="C5474">
        <v>3</v>
      </c>
      <c r="D5474">
        <v>18</v>
      </c>
    </row>
    <row r="5475" spans="1:4" x14ac:dyDescent="0.25">
      <c r="A5475" s="1">
        <v>43096</v>
      </c>
      <c r="B5475">
        <v>1</v>
      </c>
      <c r="C5475">
        <v>3</v>
      </c>
      <c r="D5475">
        <v>26</v>
      </c>
    </row>
    <row r="5476" spans="1:4" x14ac:dyDescent="0.25">
      <c r="A5476" s="1">
        <v>43097</v>
      </c>
      <c r="B5476">
        <v>1</v>
      </c>
      <c r="C5476">
        <v>3</v>
      </c>
      <c r="D5476">
        <v>21</v>
      </c>
    </row>
    <row r="5477" spans="1:4" x14ac:dyDescent="0.25">
      <c r="A5477" s="1">
        <v>43098</v>
      </c>
      <c r="B5477">
        <v>1</v>
      </c>
      <c r="C5477">
        <v>3</v>
      </c>
      <c r="D5477">
        <v>38</v>
      </c>
    </row>
    <row r="5478" spans="1:4" x14ac:dyDescent="0.25">
      <c r="A5478" s="1">
        <v>43099</v>
      </c>
      <c r="B5478">
        <v>1</v>
      </c>
      <c r="C5478">
        <v>3</v>
      </c>
      <c r="D5478">
        <v>27</v>
      </c>
    </row>
    <row r="5479" spans="1:4" x14ac:dyDescent="0.25">
      <c r="A5479" s="1">
        <v>43100</v>
      </c>
      <c r="B5479">
        <v>1</v>
      </c>
      <c r="C5479">
        <v>3</v>
      </c>
      <c r="D5479">
        <v>29</v>
      </c>
    </row>
    <row r="5480" spans="1:4" x14ac:dyDescent="0.25">
      <c r="A5480" s="1">
        <v>41275</v>
      </c>
      <c r="B5480">
        <v>1</v>
      </c>
      <c r="C5480">
        <v>4</v>
      </c>
      <c r="D5480">
        <v>10</v>
      </c>
    </row>
    <row r="5481" spans="1:4" x14ac:dyDescent="0.25">
      <c r="A5481" s="1">
        <v>41276</v>
      </c>
      <c r="B5481">
        <v>1</v>
      </c>
      <c r="C5481">
        <v>4</v>
      </c>
      <c r="D5481">
        <v>11</v>
      </c>
    </row>
    <row r="5482" spans="1:4" x14ac:dyDescent="0.25">
      <c r="A5482" s="1">
        <v>41277</v>
      </c>
      <c r="B5482">
        <v>1</v>
      </c>
      <c r="C5482">
        <v>4</v>
      </c>
      <c r="D5482">
        <v>8</v>
      </c>
    </row>
    <row r="5483" spans="1:4" x14ac:dyDescent="0.25">
      <c r="A5483" s="1">
        <v>41278</v>
      </c>
      <c r="B5483">
        <v>1</v>
      </c>
      <c r="C5483">
        <v>4</v>
      </c>
      <c r="D5483">
        <v>19</v>
      </c>
    </row>
    <row r="5484" spans="1:4" x14ac:dyDescent="0.25">
      <c r="A5484" s="1">
        <v>41279</v>
      </c>
      <c r="B5484">
        <v>1</v>
      </c>
      <c r="C5484">
        <v>4</v>
      </c>
      <c r="D5484">
        <v>12</v>
      </c>
    </row>
    <row r="5485" spans="1:4" x14ac:dyDescent="0.25">
      <c r="A5485" s="1">
        <v>41280</v>
      </c>
      <c r="B5485">
        <v>1</v>
      </c>
      <c r="C5485">
        <v>4</v>
      </c>
      <c r="D5485">
        <v>16</v>
      </c>
    </row>
    <row r="5486" spans="1:4" x14ac:dyDescent="0.25">
      <c r="A5486" s="1">
        <v>41281</v>
      </c>
      <c r="B5486">
        <v>1</v>
      </c>
      <c r="C5486">
        <v>4</v>
      </c>
      <c r="D5486">
        <v>7</v>
      </c>
    </row>
    <row r="5487" spans="1:4" x14ac:dyDescent="0.25">
      <c r="A5487" s="1">
        <v>41282</v>
      </c>
      <c r="B5487">
        <v>1</v>
      </c>
      <c r="C5487">
        <v>4</v>
      </c>
      <c r="D5487">
        <v>9</v>
      </c>
    </row>
    <row r="5488" spans="1:4" x14ac:dyDescent="0.25">
      <c r="A5488" s="1">
        <v>41283</v>
      </c>
      <c r="B5488">
        <v>1</v>
      </c>
      <c r="C5488">
        <v>4</v>
      </c>
      <c r="D5488">
        <v>11</v>
      </c>
    </row>
    <row r="5489" spans="1:4" x14ac:dyDescent="0.25">
      <c r="A5489" s="1">
        <v>41284</v>
      </c>
      <c r="B5489">
        <v>1</v>
      </c>
      <c r="C5489">
        <v>4</v>
      </c>
      <c r="D5489">
        <v>16</v>
      </c>
    </row>
    <row r="5490" spans="1:4" x14ac:dyDescent="0.25">
      <c r="A5490" s="1">
        <v>41285</v>
      </c>
      <c r="B5490">
        <v>1</v>
      </c>
      <c r="C5490">
        <v>4</v>
      </c>
      <c r="D5490">
        <v>19</v>
      </c>
    </row>
    <row r="5491" spans="1:4" x14ac:dyDescent="0.25">
      <c r="A5491" s="1">
        <v>41286</v>
      </c>
      <c r="B5491">
        <v>1</v>
      </c>
      <c r="C5491">
        <v>4</v>
      </c>
      <c r="D5491">
        <v>9</v>
      </c>
    </row>
    <row r="5492" spans="1:4" x14ac:dyDescent="0.25">
      <c r="A5492" s="1">
        <v>41287</v>
      </c>
      <c r="B5492">
        <v>1</v>
      </c>
      <c r="C5492">
        <v>4</v>
      </c>
      <c r="D5492">
        <v>8</v>
      </c>
    </row>
    <row r="5493" spans="1:4" x14ac:dyDescent="0.25">
      <c r="A5493" s="1">
        <v>41288</v>
      </c>
      <c r="B5493">
        <v>1</v>
      </c>
      <c r="C5493">
        <v>4</v>
      </c>
      <c r="D5493">
        <v>5</v>
      </c>
    </row>
    <row r="5494" spans="1:4" x14ac:dyDescent="0.25">
      <c r="A5494" s="1">
        <v>41289</v>
      </c>
      <c r="B5494">
        <v>1</v>
      </c>
      <c r="C5494">
        <v>4</v>
      </c>
      <c r="D5494">
        <v>14</v>
      </c>
    </row>
    <row r="5495" spans="1:4" x14ac:dyDescent="0.25">
      <c r="A5495" s="1">
        <v>41290</v>
      </c>
      <c r="B5495">
        <v>1</v>
      </c>
      <c r="C5495">
        <v>4</v>
      </c>
      <c r="D5495">
        <v>7</v>
      </c>
    </row>
    <row r="5496" spans="1:4" x14ac:dyDescent="0.25">
      <c r="A5496" s="1">
        <v>41291</v>
      </c>
      <c r="B5496">
        <v>1</v>
      </c>
      <c r="C5496">
        <v>4</v>
      </c>
      <c r="D5496">
        <v>11</v>
      </c>
    </row>
    <row r="5497" spans="1:4" x14ac:dyDescent="0.25">
      <c r="A5497" s="1">
        <v>41292</v>
      </c>
      <c r="B5497">
        <v>1</v>
      </c>
      <c r="C5497">
        <v>4</v>
      </c>
      <c r="D5497">
        <v>7</v>
      </c>
    </row>
    <row r="5498" spans="1:4" x14ac:dyDescent="0.25">
      <c r="A5498" s="1">
        <v>41293</v>
      </c>
      <c r="B5498">
        <v>1</v>
      </c>
      <c r="C5498">
        <v>4</v>
      </c>
      <c r="D5498">
        <v>9</v>
      </c>
    </row>
    <row r="5499" spans="1:4" x14ac:dyDescent="0.25">
      <c r="A5499" s="1">
        <v>41294</v>
      </c>
      <c r="B5499">
        <v>1</v>
      </c>
      <c r="C5499">
        <v>4</v>
      </c>
      <c r="D5499">
        <v>20</v>
      </c>
    </row>
    <row r="5500" spans="1:4" x14ac:dyDescent="0.25">
      <c r="A5500" s="1">
        <v>41295</v>
      </c>
      <c r="B5500">
        <v>1</v>
      </c>
      <c r="C5500">
        <v>4</v>
      </c>
      <c r="D5500">
        <v>15</v>
      </c>
    </row>
    <row r="5501" spans="1:4" x14ac:dyDescent="0.25">
      <c r="A5501" s="1">
        <v>41296</v>
      </c>
      <c r="B5501">
        <v>1</v>
      </c>
      <c r="C5501">
        <v>4</v>
      </c>
      <c r="D5501">
        <v>11</v>
      </c>
    </row>
    <row r="5502" spans="1:4" x14ac:dyDescent="0.25">
      <c r="A5502" s="1">
        <v>41297</v>
      </c>
      <c r="B5502">
        <v>1</v>
      </c>
      <c r="C5502">
        <v>4</v>
      </c>
      <c r="D5502">
        <v>7</v>
      </c>
    </row>
    <row r="5503" spans="1:4" x14ac:dyDescent="0.25">
      <c r="A5503" s="1">
        <v>41298</v>
      </c>
      <c r="B5503">
        <v>1</v>
      </c>
      <c r="C5503">
        <v>4</v>
      </c>
      <c r="D5503">
        <v>8</v>
      </c>
    </row>
    <row r="5504" spans="1:4" x14ac:dyDescent="0.25">
      <c r="A5504" s="1">
        <v>41299</v>
      </c>
      <c r="B5504">
        <v>1</v>
      </c>
      <c r="C5504">
        <v>4</v>
      </c>
      <c r="D5504">
        <v>12</v>
      </c>
    </row>
    <row r="5505" spans="1:4" x14ac:dyDescent="0.25">
      <c r="A5505" s="1">
        <v>41300</v>
      </c>
      <c r="B5505">
        <v>1</v>
      </c>
      <c r="C5505">
        <v>4</v>
      </c>
      <c r="D5505">
        <v>5</v>
      </c>
    </row>
    <row r="5506" spans="1:4" x14ac:dyDescent="0.25">
      <c r="A5506" s="1">
        <v>41301</v>
      </c>
      <c r="B5506">
        <v>1</v>
      </c>
      <c r="C5506">
        <v>4</v>
      </c>
      <c r="D5506">
        <v>13</v>
      </c>
    </row>
    <row r="5507" spans="1:4" x14ac:dyDescent="0.25">
      <c r="A5507" s="1">
        <v>41302</v>
      </c>
      <c r="B5507">
        <v>1</v>
      </c>
      <c r="C5507">
        <v>4</v>
      </c>
      <c r="D5507">
        <v>7</v>
      </c>
    </row>
    <row r="5508" spans="1:4" x14ac:dyDescent="0.25">
      <c r="A5508" s="1">
        <v>41303</v>
      </c>
      <c r="B5508">
        <v>1</v>
      </c>
      <c r="C5508">
        <v>4</v>
      </c>
      <c r="D5508">
        <v>13</v>
      </c>
    </row>
    <row r="5509" spans="1:4" x14ac:dyDescent="0.25">
      <c r="A5509" s="1">
        <v>41304</v>
      </c>
      <c r="B5509">
        <v>1</v>
      </c>
      <c r="C5509">
        <v>4</v>
      </c>
      <c r="D5509">
        <v>8</v>
      </c>
    </row>
    <row r="5510" spans="1:4" x14ac:dyDescent="0.25">
      <c r="A5510" s="1">
        <v>41305</v>
      </c>
      <c r="B5510">
        <v>1</v>
      </c>
      <c r="C5510">
        <v>4</v>
      </c>
      <c r="D5510">
        <v>19</v>
      </c>
    </row>
    <row r="5511" spans="1:4" x14ac:dyDescent="0.25">
      <c r="A5511" s="1">
        <v>41306</v>
      </c>
      <c r="B5511">
        <v>1</v>
      </c>
      <c r="C5511">
        <v>4</v>
      </c>
      <c r="D5511">
        <v>21</v>
      </c>
    </row>
    <row r="5512" spans="1:4" x14ac:dyDescent="0.25">
      <c r="A5512" s="1">
        <v>41307</v>
      </c>
      <c r="B5512">
        <v>1</v>
      </c>
      <c r="C5512">
        <v>4</v>
      </c>
      <c r="D5512">
        <v>10</v>
      </c>
    </row>
    <row r="5513" spans="1:4" x14ac:dyDescent="0.25">
      <c r="A5513" s="1">
        <v>41308</v>
      </c>
      <c r="B5513">
        <v>1</v>
      </c>
      <c r="C5513">
        <v>4</v>
      </c>
      <c r="D5513">
        <v>6</v>
      </c>
    </row>
    <row r="5514" spans="1:4" x14ac:dyDescent="0.25">
      <c r="A5514" s="1">
        <v>41309</v>
      </c>
      <c r="B5514">
        <v>1</v>
      </c>
      <c r="C5514">
        <v>4</v>
      </c>
      <c r="D5514">
        <v>11</v>
      </c>
    </row>
    <row r="5515" spans="1:4" x14ac:dyDescent="0.25">
      <c r="A5515" s="1">
        <v>41310</v>
      </c>
      <c r="B5515">
        <v>1</v>
      </c>
      <c r="C5515">
        <v>4</v>
      </c>
      <c r="D5515">
        <v>17</v>
      </c>
    </row>
    <row r="5516" spans="1:4" x14ac:dyDescent="0.25">
      <c r="A5516" s="1">
        <v>41311</v>
      </c>
      <c r="B5516">
        <v>1</v>
      </c>
      <c r="C5516">
        <v>4</v>
      </c>
      <c r="D5516">
        <v>9</v>
      </c>
    </row>
    <row r="5517" spans="1:4" x14ac:dyDescent="0.25">
      <c r="A5517" s="1">
        <v>41312</v>
      </c>
      <c r="B5517">
        <v>1</v>
      </c>
      <c r="C5517">
        <v>4</v>
      </c>
      <c r="D5517">
        <v>15</v>
      </c>
    </row>
    <row r="5518" spans="1:4" x14ac:dyDescent="0.25">
      <c r="A5518" s="1">
        <v>41313</v>
      </c>
      <c r="B5518">
        <v>1</v>
      </c>
      <c r="C5518">
        <v>4</v>
      </c>
      <c r="D5518">
        <v>14</v>
      </c>
    </row>
    <row r="5519" spans="1:4" x14ac:dyDescent="0.25">
      <c r="A5519" s="1">
        <v>41314</v>
      </c>
      <c r="B5519">
        <v>1</v>
      </c>
      <c r="C5519">
        <v>4</v>
      </c>
      <c r="D5519">
        <v>12</v>
      </c>
    </row>
    <row r="5520" spans="1:4" x14ac:dyDescent="0.25">
      <c r="A5520" s="1">
        <v>41315</v>
      </c>
      <c r="B5520">
        <v>1</v>
      </c>
      <c r="C5520">
        <v>4</v>
      </c>
      <c r="D5520">
        <v>13</v>
      </c>
    </row>
    <row r="5521" spans="1:4" x14ac:dyDescent="0.25">
      <c r="A5521" s="1">
        <v>41316</v>
      </c>
      <c r="B5521">
        <v>1</v>
      </c>
      <c r="C5521">
        <v>4</v>
      </c>
      <c r="D5521">
        <v>12</v>
      </c>
    </row>
    <row r="5522" spans="1:4" x14ac:dyDescent="0.25">
      <c r="A5522" s="1">
        <v>41317</v>
      </c>
      <c r="B5522">
        <v>1</v>
      </c>
      <c r="C5522">
        <v>4</v>
      </c>
      <c r="D5522">
        <v>13</v>
      </c>
    </row>
    <row r="5523" spans="1:4" x14ac:dyDescent="0.25">
      <c r="A5523" s="1">
        <v>41318</v>
      </c>
      <c r="B5523">
        <v>1</v>
      </c>
      <c r="C5523">
        <v>4</v>
      </c>
      <c r="D5523">
        <v>13</v>
      </c>
    </row>
    <row r="5524" spans="1:4" x14ac:dyDescent="0.25">
      <c r="A5524" s="1">
        <v>41319</v>
      </c>
      <c r="B5524">
        <v>1</v>
      </c>
      <c r="C5524">
        <v>4</v>
      </c>
      <c r="D5524">
        <v>9</v>
      </c>
    </row>
    <row r="5525" spans="1:4" x14ac:dyDescent="0.25">
      <c r="A5525" s="1">
        <v>41320</v>
      </c>
      <c r="B5525">
        <v>1</v>
      </c>
      <c r="C5525">
        <v>4</v>
      </c>
      <c r="D5525">
        <v>15</v>
      </c>
    </row>
    <row r="5526" spans="1:4" x14ac:dyDescent="0.25">
      <c r="A5526" s="1">
        <v>41321</v>
      </c>
      <c r="B5526">
        <v>1</v>
      </c>
      <c r="C5526">
        <v>4</v>
      </c>
      <c r="D5526">
        <v>13</v>
      </c>
    </row>
    <row r="5527" spans="1:4" x14ac:dyDescent="0.25">
      <c r="A5527" s="1">
        <v>41322</v>
      </c>
      <c r="B5527">
        <v>1</v>
      </c>
      <c r="C5527">
        <v>4</v>
      </c>
      <c r="D5527">
        <v>11</v>
      </c>
    </row>
    <row r="5528" spans="1:4" x14ac:dyDescent="0.25">
      <c r="A5528" s="1">
        <v>41323</v>
      </c>
      <c r="B5528">
        <v>1</v>
      </c>
      <c r="C5528">
        <v>4</v>
      </c>
      <c r="D5528">
        <v>9</v>
      </c>
    </row>
    <row r="5529" spans="1:4" x14ac:dyDescent="0.25">
      <c r="A5529" s="1">
        <v>41324</v>
      </c>
      <c r="B5529">
        <v>1</v>
      </c>
      <c r="C5529">
        <v>4</v>
      </c>
      <c r="D5529">
        <v>8</v>
      </c>
    </row>
    <row r="5530" spans="1:4" x14ac:dyDescent="0.25">
      <c r="A5530" s="1">
        <v>41325</v>
      </c>
      <c r="B5530">
        <v>1</v>
      </c>
      <c r="C5530">
        <v>4</v>
      </c>
      <c r="D5530">
        <v>14</v>
      </c>
    </row>
    <row r="5531" spans="1:4" x14ac:dyDescent="0.25">
      <c r="A5531" s="1">
        <v>41326</v>
      </c>
      <c r="B5531">
        <v>1</v>
      </c>
      <c r="C5531">
        <v>4</v>
      </c>
      <c r="D5531">
        <v>9</v>
      </c>
    </row>
    <row r="5532" spans="1:4" x14ac:dyDescent="0.25">
      <c r="A5532" s="1">
        <v>41327</v>
      </c>
      <c r="B5532">
        <v>1</v>
      </c>
      <c r="C5532">
        <v>4</v>
      </c>
      <c r="D5532">
        <v>9</v>
      </c>
    </row>
    <row r="5533" spans="1:4" x14ac:dyDescent="0.25">
      <c r="A5533" s="1">
        <v>41328</v>
      </c>
      <c r="B5533">
        <v>1</v>
      </c>
      <c r="C5533">
        <v>4</v>
      </c>
      <c r="D5533">
        <v>13</v>
      </c>
    </row>
    <row r="5534" spans="1:4" x14ac:dyDescent="0.25">
      <c r="A5534" s="1">
        <v>41329</v>
      </c>
      <c r="B5534">
        <v>1</v>
      </c>
      <c r="C5534">
        <v>4</v>
      </c>
      <c r="D5534">
        <v>9</v>
      </c>
    </row>
    <row r="5535" spans="1:4" x14ac:dyDescent="0.25">
      <c r="A5535" s="1">
        <v>41330</v>
      </c>
      <c r="B5535">
        <v>1</v>
      </c>
      <c r="C5535">
        <v>4</v>
      </c>
      <c r="D5535">
        <v>8</v>
      </c>
    </row>
    <row r="5536" spans="1:4" x14ac:dyDescent="0.25">
      <c r="A5536" s="1">
        <v>41331</v>
      </c>
      <c r="B5536">
        <v>1</v>
      </c>
      <c r="C5536">
        <v>4</v>
      </c>
      <c r="D5536">
        <v>16</v>
      </c>
    </row>
    <row r="5537" spans="1:4" x14ac:dyDescent="0.25">
      <c r="A5537" s="1">
        <v>41332</v>
      </c>
      <c r="B5537">
        <v>1</v>
      </c>
      <c r="C5537">
        <v>4</v>
      </c>
      <c r="D5537">
        <v>17</v>
      </c>
    </row>
    <row r="5538" spans="1:4" x14ac:dyDescent="0.25">
      <c r="A5538" s="1">
        <v>41333</v>
      </c>
      <c r="B5538">
        <v>1</v>
      </c>
      <c r="C5538">
        <v>4</v>
      </c>
      <c r="D5538">
        <v>14</v>
      </c>
    </row>
    <row r="5539" spans="1:4" x14ac:dyDescent="0.25">
      <c r="A5539" s="1">
        <v>41334</v>
      </c>
      <c r="B5539">
        <v>1</v>
      </c>
      <c r="C5539">
        <v>4</v>
      </c>
      <c r="D5539">
        <v>9</v>
      </c>
    </row>
    <row r="5540" spans="1:4" x14ac:dyDescent="0.25">
      <c r="A5540" s="1">
        <v>41335</v>
      </c>
      <c r="B5540">
        <v>1</v>
      </c>
      <c r="C5540">
        <v>4</v>
      </c>
      <c r="D5540">
        <v>25</v>
      </c>
    </row>
    <row r="5541" spans="1:4" x14ac:dyDescent="0.25">
      <c r="A5541" s="1">
        <v>41336</v>
      </c>
      <c r="B5541">
        <v>1</v>
      </c>
      <c r="C5541">
        <v>4</v>
      </c>
      <c r="D5541">
        <v>19</v>
      </c>
    </row>
    <row r="5542" spans="1:4" x14ac:dyDescent="0.25">
      <c r="A5542" s="1">
        <v>41337</v>
      </c>
      <c r="B5542">
        <v>1</v>
      </c>
      <c r="C5542">
        <v>4</v>
      </c>
      <c r="D5542">
        <v>10</v>
      </c>
    </row>
    <row r="5543" spans="1:4" x14ac:dyDescent="0.25">
      <c r="A5543" s="1">
        <v>41338</v>
      </c>
      <c r="B5543">
        <v>1</v>
      </c>
      <c r="C5543">
        <v>4</v>
      </c>
      <c r="D5543">
        <v>20</v>
      </c>
    </row>
    <row r="5544" spans="1:4" x14ac:dyDescent="0.25">
      <c r="A5544" s="1">
        <v>41339</v>
      </c>
      <c r="B5544">
        <v>1</v>
      </c>
      <c r="C5544">
        <v>4</v>
      </c>
      <c r="D5544">
        <v>13</v>
      </c>
    </row>
    <row r="5545" spans="1:4" x14ac:dyDescent="0.25">
      <c r="A5545" s="1">
        <v>41340</v>
      </c>
      <c r="B5545">
        <v>1</v>
      </c>
      <c r="C5545">
        <v>4</v>
      </c>
      <c r="D5545">
        <v>14</v>
      </c>
    </row>
    <row r="5546" spans="1:4" x14ac:dyDescent="0.25">
      <c r="A5546" s="1">
        <v>41341</v>
      </c>
      <c r="B5546">
        <v>1</v>
      </c>
      <c r="C5546">
        <v>4</v>
      </c>
      <c r="D5546">
        <v>18</v>
      </c>
    </row>
    <row r="5547" spans="1:4" x14ac:dyDescent="0.25">
      <c r="A5547" s="1">
        <v>41342</v>
      </c>
      <c r="B5547">
        <v>1</v>
      </c>
      <c r="C5547">
        <v>4</v>
      </c>
      <c r="D5547">
        <v>20</v>
      </c>
    </row>
    <row r="5548" spans="1:4" x14ac:dyDescent="0.25">
      <c r="A5548" s="1">
        <v>41343</v>
      </c>
      <c r="B5548">
        <v>1</v>
      </c>
      <c r="C5548">
        <v>4</v>
      </c>
      <c r="D5548">
        <v>14</v>
      </c>
    </row>
    <row r="5549" spans="1:4" x14ac:dyDescent="0.25">
      <c r="A5549" s="1">
        <v>41344</v>
      </c>
      <c r="B5549">
        <v>1</v>
      </c>
      <c r="C5549">
        <v>4</v>
      </c>
      <c r="D5549">
        <v>8</v>
      </c>
    </row>
    <row r="5550" spans="1:4" x14ac:dyDescent="0.25">
      <c r="A5550" s="1">
        <v>41345</v>
      </c>
      <c r="B5550">
        <v>1</v>
      </c>
      <c r="C5550">
        <v>4</v>
      </c>
      <c r="D5550">
        <v>14</v>
      </c>
    </row>
    <row r="5551" spans="1:4" x14ac:dyDescent="0.25">
      <c r="A5551" s="1">
        <v>41346</v>
      </c>
      <c r="B5551">
        <v>1</v>
      </c>
      <c r="C5551">
        <v>4</v>
      </c>
      <c r="D5551">
        <v>12</v>
      </c>
    </row>
    <row r="5552" spans="1:4" x14ac:dyDescent="0.25">
      <c r="A5552" s="1">
        <v>41347</v>
      </c>
      <c r="B5552">
        <v>1</v>
      </c>
      <c r="C5552">
        <v>4</v>
      </c>
      <c r="D5552">
        <v>14</v>
      </c>
    </row>
    <row r="5553" spans="1:4" x14ac:dyDescent="0.25">
      <c r="A5553" s="1">
        <v>41348</v>
      </c>
      <c r="B5553">
        <v>1</v>
      </c>
      <c r="C5553">
        <v>4</v>
      </c>
      <c r="D5553">
        <v>15</v>
      </c>
    </row>
    <row r="5554" spans="1:4" x14ac:dyDescent="0.25">
      <c r="A5554" s="1">
        <v>41349</v>
      </c>
      <c r="B5554">
        <v>1</v>
      </c>
      <c r="C5554">
        <v>4</v>
      </c>
      <c r="D5554">
        <v>11</v>
      </c>
    </row>
    <row r="5555" spans="1:4" x14ac:dyDescent="0.25">
      <c r="A5555" s="1">
        <v>41350</v>
      </c>
      <c r="B5555">
        <v>1</v>
      </c>
      <c r="C5555">
        <v>4</v>
      </c>
      <c r="D5555">
        <v>15</v>
      </c>
    </row>
    <row r="5556" spans="1:4" x14ac:dyDescent="0.25">
      <c r="A5556" s="1">
        <v>41351</v>
      </c>
      <c r="B5556">
        <v>1</v>
      </c>
      <c r="C5556">
        <v>4</v>
      </c>
      <c r="D5556">
        <v>10</v>
      </c>
    </row>
    <row r="5557" spans="1:4" x14ac:dyDescent="0.25">
      <c r="A5557" s="1">
        <v>41352</v>
      </c>
      <c r="B5557">
        <v>1</v>
      </c>
      <c r="C5557">
        <v>4</v>
      </c>
      <c r="D5557">
        <v>13</v>
      </c>
    </row>
    <row r="5558" spans="1:4" x14ac:dyDescent="0.25">
      <c r="A5558" s="1">
        <v>41353</v>
      </c>
      <c r="B5558">
        <v>1</v>
      </c>
      <c r="C5558">
        <v>4</v>
      </c>
      <c r="D5558">
        <v>14</v>
      </c>
    </row>
    <row r="5559" spans="1:4" x14ac:dyDescent="0.25">
      <c r="A5559" s="1">
        <v>41354</v>
      </c>
      <c r="B5559">
        <v>1</v>
      </c>
      <c r="C5559">
        <v>4</v>
      </c>
      <c r="D5559">
        <v>15</v>
      </c>
    </row>
    <row r="5560" spans="1:4" x14ac:dyDescent="0.25">
      <c r="A5560" s="1">
        <v>41355</v>
      </c>
      <c r="B5560">
        <v>1</v>
      </c>
      <c r="C5560">
        <v>4</v>
      </c>
      <c r="D5560">
        <v>12</v>
      </c>
    </row>
    <row r="5561" spans="1:4" x14ac:dyDescent="0.25">
      <c r="A5561" s="1">
        <v>41356</v>
      </c>
      <c r="B5561">
        <v>1</v>
      </c>
      <c r="C5561">
        <v>4</v>
      </c>
      <c r="D5561">
        <v>15</v>
      </c>
    </row>
    <row r="5562" spans="1:4" x14ac:dyDescent="0.25">
      <c r="A5562" s="1">
        <v>41357</v>
      </c>
      <c r="B5562">
        <v>1</v>
      </c>
      <c r="C5562">
        <v>4</v>
      </c>
      <c r="D5562">
        <v>22</v>
      </c>
    </row>
    <row r="5563" spans="1:4" x14ac:dyDescent="0.25">
      <c r="A5563" s="1">
        <v>41358</v>
      </c>
      <c r="B5563">
        <v>1</v>
      </c>
      <c r="C5563">
        <v>4</v>
      </c>
      <c r="D5563">
        <v>16</v>
      </c>
    </row>
    <row r="5564" spans="1:4" x14ac:dyDescent="0.25">
      <c r="A5564" s="1">
        <v>41359</v>
      </c>
      <c r="B5564">
        <v>1</v>
      </c>
      <c r="C5564">
        <v>4</v>
      </c>
      <c r="D5564">
        <v>11</v>
      </c>
    </row>
    <row r="5565" spans="1:4" x14ac:dyDescent="0.25">
      <c r="A5565" s="1">
        <v>41360</v>
      </c>
      <c r="B5565">
        <v>1</v>
      </c>
      <c r="C5565">
        <v>4</v>
      </c>
      <c r="D5565">
        <v>14</v>
      </c>
    </row>
    <row r="5566" spans="1:4" x14ac:dyDescent="0.25">
      <c r="A5566" s="1">
        <v>41361</v>
      </c>
      <c r="B5566">
        <v>1</v>
      </c>
      <c r="C5566">
        <v>4</v>
      </c>
      <c r="D5566">
        <v>17</v>
      </c>
    </row>
    <row r="5567" spans="1:4" x14ac:dyDescent="0.25">
      <c r="A5567" s="1">
        <v>41362</v>
      </c>
      <c r="B5567">
        <v>1</v>
      </c>
      <c r="C5567">
        <v>4</v>
      </c>
      <c r="D5567">
        <v>11</v>
      </c>
    </row>
    <row r="5568" spans="1:4" x14ac:dyDescent="0.25">
      <c r="A5568" s="1">
        <v>41363</v>
      </c>
      <c r="B5568">
        <v>1</v>
      </c>
      <c r="C5568">
        <v>4</v>
      </c>
      <c r="D5568">
        <v>23</v>
      </c>
    </row>
    <row r="5569" spans="1:4" x14ac:dyDescent="0.25">
      <c r="A5569" s="1">
        <v>41364</v>
      </c>
      <c r="B5569">
        <v>1</v>
      </c>
      <c r="C5569">
        <v>4</v>
      </c>
      <c r="D5569">
        <v>23</v>
      </c>
    </row>
    <row r="5570" spans="1:4" x14ac:dyDescent="0.25">
      <c r="A5570" s="1">
        <v>41365</v>
      </c>
      <c r="B5570">
        <v>1</v>
      </c>
      <c r="C5570">
        <v>4</v>
      </c>
      <c r="D5570">
        <v>12</v>
      </c>
    </row>
    <row r="5571" spans="1:4" x14ac:dyDescent="0.25">
      <c r="A5571" s="1">
        <v>41366</v>
      </c>
      <c r="B5571">
        <v>1</v>
      </c>
      <c r="C5571">
        <v>4</v>
      </c>
      <c r="D5571">
        <v>14</v>
      </c>
    </row>
    <row r="5572" spans="1:4" x14ac:dyDescent="0.25">
      <c r="A5572" s="1">
        <v>41367</v>
      </c>
      <c r="B5572">
        <v>1</v>
      </c>
      <c r="C5572">
        <v>4</v>
      </c>
      <c r="D5572">
        <v>13</v>
      </c>
    </row>
    <row r="5573" spans="1:4" x14ac:dyDescent="0.25">
      <c r="A5573" s="1">
        <v>41368</v>
      </c>
      <c r="B5573">
        <v>1</v>
      </c>
      <c r="C5573">
        <v>4</v>
      </c>
      <c r="D5573">
        <v>18</v>
      </c>
    </row>
    <row r="5574" spans="1:4" x14ac:dyDescent="0.25">
      <c r="A5574" s="1">
        <v>41369</v>
      </c>
      <c r="B5574">
        <v>1</v>
      </c>
      <c r="C5574">
        <v>4</v>
      </c>
      <c r="D5574">
        <v>24</v>
      </c>
    </row>
    <row r="5575" spans="1:4" x14ac:dyDescent="0.25">
      <c r="A5575" s="1">
        <v>41370</v>
      </c>
      <c r="B5575">
        <v>1</v>
      </c>
      <c r="C5575">
        <v>4</v>
      </c>
      <c r="D5575">
        <v>18</v>
      </c>
    </row>
    <row r="5576" spans="1:4" x14ac:dyDescent="0.25">
      <c r="A5576" s="1">
        <v>41371</v>
      </c>
      <c r="B5576">
        <v>1</v>
      </c>
      <c r="C5576">
        <v>4</v>
      </c>
      <c r="D5576">
        <v>13</v>
      </c>
    </row>
    <row r="5577" spans="1:4" x14ac:dyDescent="0.25">
      <c r="A5577" s="1">
        <v>41372</v>
      </c>
      <c r="B5577">
        <v>1</v>
      </c>
      <c r="C5577">
        <v>4</v>
      </c>
      <c r="D5577">
        <v>6</v>
      </c>
    </row>
    <row r="5578" spans="1:4" x14ac:dyDescent="0.25">
      <c r="A5578" s="1">
        <v>41373</v>
      </c>
      <c r="B5578">
        <v>1</v>
      </c>
      <c r="C5578">
        <v>4</v>
      </c>
      <c r="D5578">
        <v>11</v>
      </c>
    </row>
    <row r="5579" spans="1:4" x14ac:dyDescent="0.25">
      <c r="A5579" s="1">
        <v>41374</v>
      </c>
      <c r="B5579">
        <v>1</v>
      </c>
      <c r="C5579">
        <v>4</v>
      </c>
      <c r="D5579">
        <v>20</v>
      </c>
    </row>
    <row r="5580" spans="1:4" x14ac:dyDescent="0.25">
      <c r="A5580" s="1">
        <v>41375</v>
      </c>
      <c r="B5580">
        <v>1</v>
      </c>
      <c r="C5580">
        <v>4</v>
      </c>
      <c r="D5580">
        <v>14</v>
      </c>
    </row>
    <row r="5581" spans="1:4" x14ac:dyDescent="0.25">
      <c r="A5581" s="1">
        <v>41376</v>
      </c>
      <c r="B5581">
        <v>1</v>
      </c>
      <c r="C5581">
        <v>4</v>
      </c>
      <c r="D5581">
        <v>15</v>
      </c>
    </row>
    <row r="5582" spans="1:4" x14ac:dyDescent="0.25">
      <c r="A5582" s="1">
        <v>41377</v>
      </c>
      <c r="B5582">
        <v>1</v>
      </c>
      <c r="C5582">
        <v>4</v>
      </c>
      <c r="D5582">
        <v>27</v>
      </c>
    </row>
    <row r="5583" spans="1:4" x14ac:dyDescent="0.25">
      <c r="A5583" s="1">
        <v>41378</v>
      </c>
      <c r="B5583">
        <v>1</v>
      </c>
      <c r="C5583">
        <v>4</v>
      </c>
      <c r="D5583">
        <v>27</v>
      </c>
    </row>
    <row r="5584" spans="1:4" x14ac:dyDescent="0.25">
      <c r="A5584" s="1">
        <v>41379</v>
      </c>
      <c r="B5584">
        <v>1</v>
      </c>
      <c r="C5584">
        <v>4</v>
      </c>
      <c r="D5584">
        <v>12</v>
      </c>
    </row>
    <row r="5585" spans="1:4" x14ac:dyDescent="0.25">
      <c r="A5585" s="1">
        <v>41380</v>
      </c>
      <c r="B5585">
        <v>1</v>
      </c>
      <c r="C5585">
        <v>4</v>
      </c>
      <c r="D5585">
        <v>23</v>
      </c>
    </row>
    <row r="5586" spans="1:4" x14ac:dyDescent="0.25">
      <c r="A5586" s="1">
        <v>41381</v>
      </c>
      <c r="B5586">
        <v>1</v>
      </c>
      <c r="C5586">
        <v>4</v>
      </c>
      <c r="D5586">
        <v>21</v>
      </c>
    </row>
    <row r="5587" spans="1:4" x14ac:dyDescent="0.25">
      <c r="A5587" s="1">
        <v>41382</v>
      </c>
      <c r="B5587">
        <v>1</v>
      </c>
      <c r="C5587">
        <v>4</v>
      </c>
      <c r="D5587">
        <v>16</v>
      </c>
    </row>
    <row r="5588" spans="1:4" x14ac:dyDescent="0.25">
      <c r="A5588" s="1">
        <v>41383</v>
      </c>
      <c r="B5588">
        <v>1</v>
      </c>
      <c r="C5588">
        <v>4</v>
      </c>
      <c r="D5588">
        <v>21</v>
      </c>
    </row>
    <row r="5589" spans="1:4" x14ac:dyDescent="0.25">
      <c r="A5589" s="1">
        <v>41384</v>
      </c>
      <c r="B5589">
        <v>1</v>
      </c>
      <c r="C5589">
        <v>4</v>
      </c>
      <c r="D5589">
        <v>21</v>
      </c>
    </row>
    <row r="5590" spans="1:4" x14ac:dyDescent="0.25">
      <c r="A5590" s="1">
        <v>41385</v>
      </c>
      <c r="B5590">
        <v>1</v>
      </c>
      <c r="C5590">
        <v>4</v>
      </c>
      <c r="D5590">
        <v>21</v>
      </c>
    </row>
    <row r="5591" spans="1:4" x14ac:dyDescent="0.25">
      <c r="A5591" s="1">
        <v>41386</v>
      </c>
      <c r="B5591">
        <v>1</v>
      </c>
      <c r="C5591">
        <v>4</v>
      </c>
      <c r="D5591">
        <v>10</v>
      </c>
    </row>
    <row r="5592" spans="1:4" x14ac:dyDescent="0.25">
      <c r="A5592" s="1">
        <v>41387</v>
      </c>
      <c r="B5592">
        <v>1</v>
      </c>
      <c r="C5592">
        <v>4</v>
      </c>
      <c r="D5592">
        <v>21</v>
      </c>
    </row>
    <row r="5593" spans="1:4" x14ac:dyDescent="0.25">
      <c r="A5593" s="1">
        <v>41388</v>
      </c>
      <c r="B5593">
        <v>1</v>
      </c>
      <c r="C5593">
        <v>4</v>
      </c>
      <c r="D5593">
        <v>11</v>
      </c>
    </row>
    <row r="5594" spans="1:4" x14ac:dyDescent="0.25">
      <c r="A5594" s="1">
        <v>41389</v>
      </c>
      <c r="B5594">
        <v>1</v>
      </c>
      <c r="C5594">
        <v>4</v>
      </c>
      <c r="D5594">
        <v>15</v>
      </c>
    </row>
    <row r="5595" spans="1:4" x14ac:dyDescent="0.25">
      <c r="A5595" s="1">
        <v>41390</v>
      </c>
      <c r="B5595">
        <v>1</v>
      </c>
      <c r="C5595">
        <v>4</v>
      </c>
      <c r="D5595">
        <v>14</v>
      </c>
    </row>
    <row r="5596" spans="1:4" x14ac:dyDescent="0.25">
      <c r="A5596" s="1">
        <v>41391</v>
      </c>
      <c r="B5596">
        <v>1</v>
      </c>
      <c r="C5596">
        <v>4</v>
      </c>
      <c r="D5596">
        <v>22</v>
      </c>
    </row>
    <row r="5597" spans="1:4" x14ac:dyDescent="0.25">
      <c r="A5597" s="1">
        <v>41392</v>
      </c>
      <c r="B5597">
        <v>1</v>
      </c>
      <c r="C5597">
        <v>4</v>
      </c>
      <c r="D5597">
        <v>29</v>
      </c>
    </row>
    <row r="5598" spans="1:4" x14ac:dyDescent="0.25">
      <c r="A5598" s="1">
        <v>41393</v>
      </c>
      <c r="B5598">
        <v>1</v>
      </c>
      <c r="C5598">
        <v>4</v>
      </c>
      <c r="D5598">
        <v>9</v>
      </c>
    </row>
    <row r="5599" spans="1:4" x14ac:dyDescent="0.25">
      <c r="A5599" s="1">
        <v>41394</v>
      </c>
      <c r="B5599">
        <v>1</v>
      </c>
      <c r="C5599">
        <v>4</v>
      </c>
      <c r="D5599">
        <v>16</v>
      </c>
    </row>
    <row r="5600" spans="1:4" x14ac:dyDescent="0.25">
      <c r="A5600" s="1">
        <v>41395</v>
      </c>
      <c r="B5600">
        <v>1</v>
      </c>
      <c r="C5600">
        <v>4</v>
      </c>
      <c r="D5600">
        <v>18</v>
      </c>
    </row>
    <row r="5601" spans="1:4" x14ac:dyDescent="0.25">
      <c r="A5601" s="1">
        <v>41396</v>
      </c>
      <c r="B5601">
        <v>1</v>
      </c>
      <c r="C5601">
        <v>4</v>
      </c>
      <c r="D5601">
        <v>25</v>
      </c>
    </row>
    <row r="5602" spans="1:4" x14ac:dyDescent="0.25">
      <c r="A5602" s="1">
        <v>41397</v>
      </c>
      <c r="B5602">
        <v>1</v>
      </c>
      <c r="C5602">
        <v>4</v>
      </c>
      <c r="D5602">
        <v>20</v>
      </c>
    </row>
    <row r="5603" spans="1:4" x14ac:dyDescent="0.25">
      <c r="A5603" s="1">
        <v>41398</v>
      </c>
      <c r="B5603">
        <v>1</v>
      </c>
      <c r="C5603">
        <v>4</v>
      </c>
      <c r="D5603">
        <v>21</v>
      </c>
    </row>
    <row r="5604" spans="1:4" x14ac:dyDescent="0.25">
      <c r="A5604" s="1">
        <v>41399</v>
      </c>
      <c r="B5604">
        <v>1</v>
      </c>
      <c r="C5604">
        <v>4</v>
      </c>
      <c r="D5604">
        <v>27</v>
      </c>
    </row>
    <row r="5605" spans="1:4" x14ac:dyDescent="0.25">
      <c r="A5605" s="1">
        <v>41400</v>
      </c>
      <c r="B5605">
        <v>1</v>
      </c>
      <c r="C5605">
        <v>4</v>
      </c>
      <c r="D5605">
        <v>5</v>
      </c>
    </row>
    <row r="5606" spans="1:4" x14ac:dyDescent="0.25">
      <c r="A5606" s="1">
        <v>41401</v>
      </c>
      <c r="B5606">
        <v>1</v>
      </c>
      <c r="C5606">
        <v>4</v>
      </c>
      <c r="D5606">
        <v>16</v>
      </c>
    </row>
    <row r="5607" spans="1:4" x14ac:dyDescent="0.25">
      <c r="A5607" s="1">
        <v>41402</v>
      </c>
      <c r="B5607">
        <v>1</v>
      </c>
      <c r="C5607">
        <v>4</v>
      </c>
      <c r="D5607">
        <v>24</v>
      </c>
    </row>
    <row r="5608" spans="1:4" x14ac:dyDescent="0.25">
      <c r="A5608" s="1">
        <v>41403</v>
      </c>
      <c r="B5608">
        <v>1</v>
      </c>
      <c r="C5608">
        <v>4</v>
      </c>
      <c r="D5608">
        <v>23</v>
      </c>
    </row>
    <row r="5609" spans="1:4" x14ac:dyDescent="0.25">
      <c r="A5609" s="1">
        <v>41404</v>
      </c>
      <c r="B5609">
        <v>1</v>
      </c>
      <c r="C5609">
        <v>4</v>
      </c>
      <c r="D5609">
        <v>24</v>
      </c>
    </row>
    <row r="5610" spans="1:4" x14ac:dyDescent="0.25">
      <c r="A5610" s="1">
        <v>41405</v>
      </c>
      <c r="B5610">
        <v>1</v>
      </c>
      <c r="C5610">
        <v>4</v>
      </c>
      <c r="D5610">
        <v>28</v>
      </c>
    </row>
    <row r="5611" spans="1:4" x14ac:dyDescent="0.25">
      <c r="A5611" s="1">
        <v>41406</v>
      </c>
      <c r="B5611">
        <v>1</v>
      </c>
      <c r="C5611">
        <v>4</v>
      </c>
      <c r="D5611">
        <v>17</v>
      </c>
    </row>
    <row r="5612" spans="1:4" x14ac:dyDescent="0.25">
      <c r="A5612" s="1">
        <v>41407</v>
      </c>
      <c r="B5612">
        <v>1</v>
      </c>
      <c r="C5612">
        <v>4</v>
      </c>
      <c r="D5612">
        <v>14</v>
      </c>
    </row>
    <row r="5613" spans="1:4" x14ac:dyDescent="0.25">
      <c r="A5613" s="1">
        <v>41408</v>
      </c>
      <c r="B5613">
        <v>1</v>
      </c>
      <c r="C5613">
        <v>4</v>
      </c>
      <c r="D5613">
        <v>16</v>
      </c>
    </row>
    <row r="5614" spans="1:4" x14ac:dyDescent="0.25">
      <c r="A5614" s="1">
        <v>41409</v>
      </c>
      <c r="B5614">
        <v>1</v>
      </c>
      <c r="C5614">
        <v>4</v>
      </c>
      <c r="D5614">
        <v>24</v>
      </c>
    </row>
    <row r="5615" spans="1:4" x14ac:dyDescent="0.25">
      <c r="A5615" s="1">
        <v>41410</v>
      </c>
      <c r="B5615">
        <v>1</v>
      </c>
      <c r="C5615">
        <v>4</v>
      </c>
      <c r="D5615">
        <v>24</v>
      </c>
    </row>
    <row r="5616" spans="1:4" x14ac:dyDescent="0.25">
      <c r="A5616" s="1">
        <v>41411</v>
      </c>
      <c r="B5616">
        <v>1</v>
      </c>
      <c r="C5616">
        <v>4</v>
      </c>
      <c r="D5616">
        <v>22</v>
      </c>
    </row>
    <row r="5617" spans="1:4" x14ac:dyDescent="0.25">
      <c r="A5617" s="1">
        <v>41412</v>
      </c>
      <c r="B5617">
        <v>1</v>
      </c>
      <c r="C5617">
        <v>4</v>
      </c>
      <c r="D5617">
        <v>27</v>
      </c>
    </row>
    <row r="5618" spans="1:4" x14ac:dyDescent="0.25">
      <c r="A5618" s="1">
        <v>41413</v>
      </c>
      <c r="B5618">
        <v>1</v>
      </c>
      <c r="C5618">
        <v>4</v>
      </c>
      <c r="D5618">
        <v>28</v>
      </c>
    </row>
    <row r="5619" spans="1:4" x14ac:dyDescent="0.25">
      <c r="A5619" s="1">
        <v>41414</v>
      </c>
      <c r="B5619">
        <v>1</v>
      </c>
      <c r="C5619">
        <v>4</v>
      </c>
      <c r="D5619">
        <v>12</v>
      </c>
    </row>
    <row r="5620" spans="1:4" x14ac:dyDescent="0.25">
      <c r="A5620" s="1">
        <v>41415</v>
      </c>
      <c r="B5620">
        <v>1</v>
      </c>
      <c r="C5620">
        <v>4</v>
      </c>
      <c r="D5620">
        <v>19</v>
      </c>
    </row>
    <row r="5621" spans="1:4" x14ac:dyDescent="0.25">
      <c r="A5621" s="1">
        <v>41416</v>
      </c>
      <c r="B5621">
        <v>1</v>
      </c>
      <c r="C5621">
        <v>4</v>
      </c>
      <c r="D5621">
        <v>21</v>
      </c>
    </row>
    <row r="5622" spans="1:4" x14ac:dyDescent="0.25">
      <c r="A5622" s="1">
        <v>41417</v>
      </c>
      <c r="B5622">
        <v>1</v>
      </c>
      <c r="C5622">
        <v>4</v>
      </c>
      <c r="D5622">
        <v>20</v>
      </c>
    </row>
    <row r="5623" spans="1:4" x14ac:dyDescent="0.25">
      <c r="A5623" s="1">
        <v>41418</v>
      </c>
      <c r="B5623">
        <v>1</v>
      </c>
      <c r="C5623">
        <v>4</v>
      </c>
      <c r="D5623">
        <v>24</v>
      </c>
    </row>
    <row r="5624" spans="1:4" x14ac:dyDescent="0.25">
      <c r="A5624" s="1">
        <v>41419</v>
      </c>
      <c r="B5624">
        <v>1</v>
      </c>
      <c r="C5624">
        <v>4</v>
      </c>
      <c r="D5624">
        <v>12</v>
      </c>
    </row>
    <row r="5625" spans="1:4" x14ac:dyDescent="0.25">
      <c r="A5625" s="1">
        <v>41420</v>
      </c>
      <c r="B5625">
        <v>1</v>
      </c>
      <c r="C5625">
        <v>4</v>
      </c>
      <c r="D5625">
        <v>26</v>
      </c>
    </row>
    <row r="5626" spans="1:4" x14ac:dyDescent="0.25">
      <c r="A5626" s="1">
        <v>41421</v>
      </c>
      <c r="B5626">
        <v>1</v>
      </c>
      <c r="C5626">
        <v>4</v>
      </c>
      <c r="D5626">
        <v>13</v>
      </c>
    </row>
    <row r="5627" spans="1:4" x14ac:dyDescent="0.25">
      <c r="A5627" s="1">
        <v>41422</v>
      </c>
      <c r="B5627">
        <v>1</v>
      </c>
      <c r="C5627">
        <v>4</v>
      </c>
      <c r="D5627">
        <v>18</v>
      </c>
    </row>
    <row r="5628" spans="1:4" x14ac:dyDescent="0.25">
      <c r="A5628" s="1">
        <v>41423</v>
      </c>
      <c r="B5628">
        <v>1</v>
      </c>
      <c r="C5628">
        <v>4</v>
      </c>
      <c r="D5628">
        <v>18</v>
      </c>
    </row>
    <row r="5629" spans="1:4" x14ac:dyDescent="0.25">
      <c r="A5629" s="1">
        <v>41424</v>
      </c>
      <c r="B5629">
        <v>1</v>
      </c>
      <c r="C5629">
        <v>4</v>
      </c>
      <c r="D5629">
        <v>22</v>
      </c>
    </row>
    <row r="5630" spans="1:4" x14ac:dyDescent="0.25">
      <c r="A5630" s="1">
        <v>41425</v>
      </c>
      <c r="B5630">
        <v>1</v>
      </c>
      <c r="C5630">
        <v>4</v>
      </c>
      <c r="D5630">
        <v>24</v>
      </c>
    </row>
    <row r="5631" spans="1:4" x14ac:dyDescent="0.25">
      <c r="A5631" s="1">
        <v>41426</v>
      </c>
      <c r="B5631">
        <v>1</v>
      </c>
      <c r="C5631">
        <v>4</v>
      </c>
      <c r="D5631">
        <v>21</v>
      </c>
    </row>
    <row r="5632" spans="1:4" x14ac:dyDescent="0.25">
      <c r="A5632" s="1">
        <v>41427</v>
      </c>
      <c r="B5632">
        <v>1</v>
      </c>
      <c r="C5632">
        <v>4</v>
      </c>
      <c r="D5632">
        <v>29</v>
      </c>
    </row>
    <row r="5633" spans="1:4" x14ac:dyDescent="0.25">
      <c r="A5633" s="1">
        <v>41428</v>
      </c>
      <c r="B5633">
        <v>1</v>
      </c>
      <c r="C5633">
        <v>4</v>
      </c>
      <c r="D5633">
        <v>22</v>
      </c>
    </row>
    <row r="5634" spans="1:4" x14ac:dyDescent="0.25">
      <c r="A5634" s="1">
        <v>41429</v>
      </c>
      <c r="B5634">
        <v>1</v>
      </c>
      <c r="C5634">
        <v>4</v>
      </c>
      <c r="D5634">
        <v>18</v>
      </c>
    </row>
    <row r="5635" spans="1:4" x14ac:dyDescent="0.25">
      <c r="A5635" s="1">
        <v>41430</v>
      </c>
      <c r="B5635">
        <v>1</v>
      </c>
      <c r="C5635">
        <v>4</v>
      </c>
      <c r="D5635">
        <v>19</v>
      </c>
    </row>
    <row r="5636" spans="1:4" x14ac:dyDescent="0.25">
      <c r="A5636" s="1">
        <v>41431</v>
      </c>
      <c r="B5636">
        <v>1</v>
      </c>
      <c r="C5636">
        <v>4</v>
      </c>
      <c r="D5636">
        <v>22</v>
      </c>
    </row>
    <row r="5637" spans="1:4" x14ac:dyDescent="0.25">
      <c r="A5637" s="1">
        <v>41432</v>
      </c>
      <c r="B5637">
        <v>1</v>
      </c>
      <c r="C5637">
        <v>4</v>
      </c>
      <c r="D5637">
        <v>18</v>
      </c>
    </row>
    <row r="5638" spans="1:4" x14ac:dyDescent="0.25">
      <c r="A5638" s="1">
        <v>41433</v>
      </c>
      <c r="B5638">
        <v>1</v>
      </c>
      <c r="C5638">
        <v>4</v>
      </c>
      <c r="D5638">
        <v>20</v>
      </c>
    </row>
    <row r="5639" spans="1:4" x14ac:dyDescent="0.25">
      <c r="A5639" s="1">
        <v>41434</v>
      </c>
      <c r="B5639">
        <v>1</v>
      </c>
      <c r="C5639">
        <v>4</v>
      </c>
      <c r="D5639">
        <v>17</v>
      </c>
    </row>
    <row r="5640" spans="1:4" x14ac:dyDescent="0.25">
      <c r="A5640" s="1">
        <v>41435</v>
      </c>
      <c r="B5640">
        <v>1</v>
      </c>
      <c r="C5640">
        <v>4</v>
      </c>
      <c r="D5640">
        <v>16</v>
      </c>
    </row>
    <row r="5641" spans="1:4" x14ac:dyDescent="0.25">
      <c r="A5641" s="1">
        <v>41436</v>
      </c>
      <c r="B5641">
        <v>1</v>
      </c>
      <c r="C5641">
        <v>4</v>
      </c>
      <c r="D5641">
        <v>20</v>
      </c>
    </row>
    <row r="5642" spans="1:4" x14ac:dyDescent="0.25">
      <c r="A5642" s="1">
        <v>41437</v>
      </c>
      <c r="B5642">
        <v>1</v>
      </c>
      <c r="C5642">
        <v>4</v>
      </c>
      <c r="D5642">
        <v>14</v>
      </c>
    </row>
    <row r="5643" spans="1:4" x14ac:dyDescent="0.25">
      <c r="A5643" s="1">
        <v>41438</v>
      </c>
      <c r="B5643">
        <v>1</v>
      </c>
      <c r="C5643">
        <v>4</v>
      </c>
      <c r="D5643">
        <v>22</v>
      </c>
    </row>
    <row r="5644" spans="1:4" x14ac:dyDescent="0.25">
      <c r="A5644" s="1">
        <v>41439</v>
      </c>
      <c r="B5644">
        <v>1</v>
      </c>
      <c r="C5644">
        <v>4</v>
      </c>
      <c r="D5644">
        <v>14</v>
      </c>
    </row>
    <row r="5645" spans="1:4" x14ac:dyDescent="0.25">
      <c r="A5645" s="1">
        <v>41440</v>
      </c>
      <c r="B5645">
        <v>1</v>
      </c>
      <c r="C5645">
        <v>4</v>
      </c>
      <c r="D5645">
        <v>29</v>
      </c>
    </row>
    <row r="5646" spans="1:4" x14ac:dyDescent="0.25">
      <c r="A5646" s="1">
        <v>41441</v>
      </c>
      <c r="B5646">
        <v>1</v>
      </c>
      <c r="C5646">
        <v>4</v>
      </c>
      <c r="D5646">
        <v>21</v>
      </c>
    </row>
    <row r="5647" spans="1:4" x14ac:dyDescent="0.25">
      <c r="A5647" s="1">
        <v>41442</v>
      </c>
      <c r="B5647">
        <v>1</v>
      </c>
      <c r="C5647">
        <v>4</v>
      </c>
      <c r="D5647">
        <v>14</v>
      </c>
    </row>
    <row r="5648" spans="1:4" x14ac:dyDescent="0.25">
      <c r="A5648" s="1">
        <v>41443</v>
      </c>
      <c r="B5648">
        <v>1</v>
      </c>
      <c r="C5648">
        <v>4</v>
      </c>
      <c r="D5648">
        <v>17</v>
      </c>
    </row>
    <row r="5649" spans="1:4" x14ac:dyDescent="0.25">
      <c r="A5649" s="1">
        <v>41444</v>
      </c>
      <c r="B5649">
        <v>1</v>
      </c>
      <c r="C5649">
        <v>4</v>
      </c>
      <c r="D5649">
        <v>16</v>
      </c>
    </row>
    <row r="5650" spans="1:4" x14ac:dyDescent="0.25">
      <c r="A5650" s="1">
        <v>41445</v>
      </c>
      <c r="B5650">
        <v>1</v>
      </c>
      <c r="C5650">
        <v>4</v>
      </c>
      <c r="D5650">
        <v>16</v>
      </c>
    </row>
    <row r="5651" spans="1:4" x14ac:dyDescent="0.25">
      <c r="A5651" s="1">
        <v>41446</v>
      </c>
      <c r="B5651">
        <v>1</v>
      </c>
      <c r="C5651">
        <v>4</v>
      </c>
      <c r="D5651">
        <v>20</v>
      </c>
    </row>
    <row r="5652" spans="1:4" x14ac:dyDescent="0.25">
      <c r="A5652" s="1">
        <v>41447</v>
      </c>
      <c r="B5652">
        <v>1</v>
      </c>
      <c r="C5652">
        <v>4</v>
      </c>
      <c r="D5652">
        <v>24</v>
      </c>
    </row>
    <row r="5653" spans="1:4" x14ac:dyDescent="0.25">
      <c r="A5653" s="1">
        <v>41448</v>
      </c>
      <c r="B5653">
        <v>1</v>
      </c>
      <c r="C5653">
        <v>4</v>
      </c>
      <c r="D5653">
        <v>25</v>
      </c>
    </row>
    <row r="5654" spans="1:4" x14ac:dyDescent="0.25">
      <c r="A5654" s="1">
        <v>41449</v>
      </c>
      <c r="B5654">
        <v>1</v>
      </c>
      <c r="C5654">
        <v>4</v>
      </c>
      <c r="D5654">
        <v>22</v>
      </c>
    </row>
    <row r="5655" spans="1:4" x14ac:dyDescent="0.25">
      <c r="A5655" s="1">
        <v>41450</v>
      </c>
      <c r="B5655">
        <v>1</v>
      </c>
      <c r="C5655">
        <v>4</v>
      </c>
      <c r="D5655">
        <v>23</v>
      </c>
    </row>
    <row r="5656" spans="1:4" x14ac:dyDescent="0.25">
      <c r="A5656" s="1">
        <v>41451</v>
      </c>
      <c r="B5656">
        <v>1</v>
      </c>
      <c r="C5656">
        <v>4</v>
      </c>
      <c r="D5656">
        <v>13</v>
      </c>
    </row>
    <row r="5657" spans="1:4" x14ac:dyDescent="0.25">
      <c r="A5657" s="1">
        <v>41452</v>
      </c>
      <c r="B5657">
        <v>1</v>
      </c>
      <c r="C5657">
        <v>4</v>
      </c>
      <c r="D5657">
        <v>26</v>
      </c>
    </row>
    <row r="5658" spans="1:4" x14ac:dyDescent="0.25">
      <c r="A5658" s="1">
        <v>41453</v>
      </c>
      <c r="B5658">
        <v>1</v>
      </c>
      <c r="C5658">
        <v>4</v>
      </c>
      <c r="D5658">
        <v>17</v>
      </c>
    </row>
    <row r="5659" spans="1:4" x14ac:dyDescent="0.25">
      <c r="A5659" s="1">
        <v>41454</v>
      </c>
      <c r="B5659">
        <v>1</v>
      </c>
      <c r="C5659">
        <v>4</v>
      </c>
      <c r="D5659">
        <v>24</v>
      </c>
    </row>
    <row r="5660" spans="1:4" x14ac:dyDescent="0.25">
      <c r="A5660" s="1">
        <v>41455</v>
      </c>
      <c r="B5660">
        <v>1</v>
      </c>
      <c r="C5660">
        <v>4</v>
      </c>
      <c r="D5660">
        <v>20</v>
      </c>
    </row>
    <row r="5661" spans="1:4" x14ac:dyDescent="0.25">
      <c r="A5661" s="1">
        <v>41456</v>
      </c>
      <c r="B5661">
        <v>1</v>
      </c>
      <c r="C5661">
        <v>4</v>
      </c>
      <c r="D5661">
        <v>9</v>
      </c>
    </row>
    <row r="5662" spans="1:4" x14ac:dyDescent="0.25">
      <c r="A5662" s="1">
        <v>41457</v>
      </c>
      <c r="B5662">
        <v>1</v>
      </c>
      <c r="C5662">
        <v>4</v>
      </c>
      <c r="D5662">
        <v>13</v>
      </c>
    </row>
    <row r="5663" spans="1:4" x14ac:dyDescent="0.25">
      <c r="A5663" s="1">
        <v>41458</v>
      </c>
      <c r="B5663">
        <v>1</v>
      </c>
      <c r="C5663">
        <v>4</v>
      </c>
      <c r="D5663">
        <v>16</v>
      </c>
    </row>
    <row r="5664" spans="1:4" x14ac:dyDescent="0.25">
      <c r="A5664" s="1">
        <v>41459</v>
      </c>
      <c r="B5664">
        <v>1</v>
      </c>
      <c r="C5664">
        <v>4</v>
      </c>
      <c r="D5664">
        <v>21</v>
      </c>
    </row>
    <row r="5665" spans="1:4" x14ac:dyDescent="0.25">
      <c r="A5665" s="1">
        <v>41460</v>
      </c>
      <c r="B5665">
        <v>1</v>
      </c>
      <c r="C5665">
        <v>4</v>
      </c>
      <c r="D5665">
        <v>28</v>
      </c>
    </row>
    <row r="5666" spans="1:4" x14ac:dyDescent="0.25">
      <c r="A5666" s="1">
        <v>41461</v>
      </c>
      <c r="B5666">
        <v>1</v>
      </c>
      <c r="C5666">
        <v>4</v>
      </c>
      <c r="D5666">
        <v>28</v>
      </c>
    </row>
    <row r="5667" spans="1:4" x14ac:dyDescent="0.25">
      <c r="A5667" s="1">
        <v>41462</v>
      </c>
      <c r="B5667">
        <v>1</v>
      </c>
      <c r="C5667">
        <v>4</v>
      </c>
      <c r="D5667">
        <v>29</v>
      </c>
    </row>
    <row r="5668" spans="1:4" x14ac:dyDescent="0.25">
      <c r="A5668" s="1">
        <v>41463</v>
      </c>
      <c r="B5668">
        <v>1</v>
      </c>
      <c r="C5668">
        <v>4</v>
      </c>
      <c r="D5668">
        <v>14</v>
      </c>
    </row>
    <row r="5669" spans="1:4" x14ac:dyDescent="0.25">
      <c r="A5669" s="1">
        <v>41464</v>
      </c>
      <c r="B5669">
        <v>1</v>
      </c>
      <c r="C5669">
        <v>4</v>
      </c>
      <c r="D5669">
        <v>18</v>
      </c>
    </row>
    <row r="5670" spans="1:4" x14ac:dyDescent="0.25">
      <c r="A5670" s="1">
        <v>41465</v>
      </c>
      <c r="B5670">
        <v>1</v>
      </c>
      <c r="C5670">
        <v>4</v>
      </c>
      <c r="D5670">
        <v>14</v>
      </c>
    </row>
    <row r="5671" spans="1:4" x14ac:dyDescent="0.25">
      <c r="A5671" s="1">
        <v>41466</v>
      </c>
      <c r="B5671">
        <v>1</v>
      </c>
      <c r="C5671">
        <v>4</v>
      </c>
      <c r="D5671">
        <v>20</v>
      </c>
    </row>
    <row r="5672" spans="1:4" x14ac:dyDescent="0.25">
      <c r="A5672" s="1">
        <v>41467</v>
      </c>
      <c r="B5672">
        <v>1</v>
      </c>
      <c r="C5672">
        <v>4</v>
      </c>
      <c r="D5672">
        <v>25</v>
      </c>
    </row>
    <row r="5673" spans="1:4" x14ac:dyDescent="0.25">
      <c r="A5673" s="1">
        <v>41468</v>
      </c>
      <c r="B5673">
        <v>1</v>
      </c>
      <c r="C5673">
        <v>4</v>
      </c>
      <c r="D5673">
        <v>30</v>
      </c>
    </row>
    <row r="5674" spans="1:4" x14ac:dyDescent="0.25">
      <c r="A5674" s="1">
        <v>41469</v>
      </c>
      <c r="B5674">
        <v>1</v>
      </c>
      <c r="C5674">
        <v>4</v>
      </c>
      <c r="D5674">
        <v>24</v>
      </c>
    </row>
    <row r="5675" spans="1:4" x14ac:dyDescent="0.25">
      <c r="A5675" s="1">
        <v>41470</v>
      </c>
      <c r="B5675">
        <v>1</v>
      </c>
      <c r="C5675">
        <v>4</v>
      </c>
      <c r="D5675">
        <v>16</v>
      </c>
    </row>
    <row r="5676" spans="1:4" x14ac:dyDescent="0.25">
      <c r="A5676" s="1">
        <v>41471</v>
      </c>
      <c r="B5676">
        <v>1</v>
      </c>
      <c r="C5676">
        <v>4</v>
      </c>
      <c r="D5676">
        <v>21</v>
      </c>
    </row>
    <row r="5677" spans="1:4" x14ac:dyDescent="0.25">
      <c r="A5677" s="1">
        <v>41472</v>
      </c>
      <c r="B5677">
        <v>1</v>
      </c>
      <c r="C5677">
        <v>4</v>
      </c>
      <c r="D5677">
        <v>22</v>
      </c>
    </row>
    <row r="5678" spans="1:4" x14ac:dyDescent="0.25">
      <c r="A5678" s="1">
        <v>41473</v>
      </c>
      <c r="B5678">
        <v>1</v>
      </c>
      <c r="C5678">
        <v>4</v>
      </c>
      <c r="D5678">
        <v>21</v>
      </c>
    </row>
    <row r="5679" spans="1:4" x14ac:dyDescent="0.25">
      <c r="A5679" s="1">
        <v>41474</v>
      </c>
      <c r="B5679">
        <v>1</v>
      </c>
      <c r="C5679">
        <v>4</v>
      </c>
      <c r="D5679">
        <v>24</v>
      </c>
    </row>
    <row r="5680" spans="1:4" x14ac:dyDescent="0.25">
      <c r="A5680" s="1">
        <v>41475</v>
      </c>
      <c r="B5680">
        <v>1</v>
      </c>
      <c r="C5680">
        <v>4</v>
      </c>
      <c r="D5680">
        <v>28</v>
      </c>
    </row>
    <row r="5681" spans="1:4" x14ac:dyDescent="0.25">
      <c r="A5681" s="1">
        <v>41476</v>
      </c>
      <c r="B5681">
        <v>1</v>
      </c>
      <c r="C5681">
        <v>4</v>
      </c>
      <c r="D5681">
        <v>19</v>
      </c>
    </row>
    <row r="5682" spans="1:4" x14ac:dyDescent="0.25">
      <c r="A5682" s="1">
        <v>41477</v>
      </c>
      <c r="B5682">
        <v>1</v>
      </c>
      <c r="C5682">
        <v>4</v>
      </c>
      <c r="D5682">
        <v>14</v>
      </c>
    </row>
    <row r="5683" spans="1:4" x14ac:dyDescent="0.25">
      <c r="A5683" s="1">
        <v>41478</v>
      </c>
      <c r="B5683">
        <v>1</v>
      </c>
      <c r="C5683">
        <v>4</v>
      </c>
      <c r="D5683">
        <v>19</v>
      </c>
    </row>
    <row r="5684" spans="1:4" x14ac:dyDescent="0.25">
      <c r="A5684" s="1">
        <v>41479</v>
      </c>
      <c r="B5684">
        <v>1</v>
      </c>
      <c r="C5684">
        <v>4</v>
      </c>
      <c r="D5684">
        <v>27</v>
      </c>
    </row>
    <row r="5685" spans="1:4" x14ac:dyDescent="0.25">
      <c r="A5685" s="1">
        <v>41480</v>
      </c>
      <c r="B5685">
        <v>1</v>
      </c>
      <c r="C5685">
        <v>4</v>
      </c>
      <c r="D5685">
        <v>18</v>
      </c>
    </row>
    <row r="5686" spans="1:4" x14ac:dyDescent="0.25">
      <c r="A5686" s="1">
        <v>41481</v>
      </c>
      <c r="B5686">
        <v>1</v>
      </c>
      <c r="C5686">
        <v>4</v>
      </c>
      <c r="D5686">
        <v>21</v>
      </c>
    </row>
    <row r="5687" spans="1:4" x14ac:dyDescent="0.25">
      <c r="A5687" s="1">
        <v>41482</v>
      </c>
      <c r="B5687">
        <v>1</v>
      </c>
      <c r="C5687">
        <v>4</v>
      </c>
      <c r="D5687">
        <v>17</v>
      </c>
    </row>
    <row r="5688" spans="1:4" x14ac:dyDescent="0.25">
      <c r="A5688" s="1">
        <v>41483</v>
      </c>
      <c r="B5688">
        <v>1</v>
      </c>
      <c r="C5688">
        <v>4</v>
      </c>
      <c r="D5688">
        <v>27</v>
      </c>
    </row>
    <row r="5689" spans="1:4" x14ac:dyDescent="0.25">
      <c r="A5689" s="1">
        <v>41484</v>
      </c>
      <c r="B5689">
        <v>1</v>
      </c>
      <c r="C5689">
        <v>4</v>
      </c>
      <c r="D5689">
        <v>9</v>
      </c>
    </row>
    <row r="5690" spans="1:4" x14ac:dyDescent="0.25">
      <c r="A5690" s="1">
        <v>41485</v>
      </c>
      <c r="B5690">
        <v>1</v>
      </c>
      <c r="C5690">
        <v>4</v>
      </c>
      <c r="D5690">
        <v>21</v>
      </c>
    </row>
    <row r="5691" spans="1:4" x14ac:dyDescent="0.25">
      <c r="A5691" s="1">
        <v>41486</v>
      </c>
      <c r="B5691">
        <v>1</v>
      </c>
      <c r="C5691">
        <v>4</v>
      </c>
      <c r="D5691">
        <v>13</v>
      </c>
    </row>
    <row r="5692" spans="1:4" x14ac:dyDescent="0.25">
      <c r="A5692" s="1">
        <v>41487</v>
      </c>
      <c r="B5692">
        <v>1</v>
      </c>
      <c r="C5692">
        <v>4</v>
      </c>
      <c r="D5692">
        <v>11</v>
      </c>
    </row>
    <row r="5693" spans="1:4" x14ac:dyDescent="0.25">
      <c r="A5693" s="1">
        <v>41488</v>
      </c>
      <c r="B5693">
        <v>1</v>
      </c>
      <c r="C5693">
        <v>4</v>
      </c>
      <c r="D5693">
        <v>18</v>
      </c>
    </row>
    <row r="5694" spans="1:4" x14ac:dyDescent="0.25">
      <c r="A5694" s="1">
        <v>41489</v>
      </c>
      <c r="B5694">
        <v>1</v>
      </c>
      <c r="C5694">
        <v>4</v>
      </c>
      <c r="D5694">
        <v>17</v>
      </c>
    </row>
    <row r="5695" spans="1:4" x14ac:dyDescent="0.25">
      <c r="A5695" s="1">
        <v>41490</v>
      </c>
      <c r="B5695">
        <v>1</v>
      </c>
      <c r="C5695">
        <v>4</v>
      </c>
      <c r="D5695">
        <v>27</v>
      </c>
    </row>
    <row r="5696" spans="1:4" x14ac:dyDescent="0.25">
      <c r="A5696" s="1">
        <v>41491</v>
      </c>
      <c r="B5696">
        <v>1</v>
      </c>
      <c r="C5696">
        <v>4</v>
      </c>
      <c r="D5696">
        <v>14</v>
      </c>
    </row>
    <row r="5697" spans="1:4" x14ac:dyDescent="0.25">
      <c r="A5697" s="1">
        <v>41492</v>
      </c>
      <c r="B5697">
        <v>1</v>
      </c>
      <c r="C5697">
        <v>4</v>
      </c>
      <c r="D5697">
        <v>20</v>
      </c>
    </row>
    <row r="5698" spans="1:4" x14ac:dyDescent="0.25">
      <c r="A5698" s="1">
        <v>41493</v>
      </c>
      <c r="B5698">
        <v>1</v>
      </c>
      <c r="C5698">
        <v>4</v>
      </c>
      <c r="D5698">
        <v>18</v>
      </c>
    </row>
    <row r="5699" spans="1:4" x14ac:dyDescent="0.25">
      <c r="A5699" s="1">
        <v>41494</v>
      </c>
      <c r="B5699">
        <v>1</v>
      </c>
      <c r="C5699">
        <v>4</v>
      </c>
      <c r="D5699">
        <v>18</v>
      </c>
    </row>
    <row r="5700" spans="1:4" x14ac:dyDescent="0.25">
      <c r="A5700" s="1">
        <v>41495</v>
      </c>
      <c r="B5700">
        <v>1</v>
      </c>
      <c r="C5700">
        <v>4</v>
      </c>
      <c r="D5700">
        <v>18</v>
      </c>
    </row>
    <row r="5701" spans="1:4" x14ac:dyDescent="0.25">
      <c r="A5701" s="1">
        <v>41496</v>
      </c>
      <c r="B5701">
        <v>1</v>
      </c>
      <c r="C5701">
        <v>4</v>
      </c>
      <c r="D5701">
        <v>34</v>
      </c>
    </row>
    <row r="5702" spans="1:4" x14ac:dyDescent="0.25">
      <c r="A5702" s="1">
        <v>41497</v>
      </c>
      <c r="B5702">
        <v>1</v>
      </c>
      <c r="C5702">
        <v>4</v>
      </c>
      <c r="D5702">
        <v>18</v>
      </c>
    </row>
    <row r="5703" spans="1:4" x14ac:dyDescent="0.25">
      <c r="A5703" s="1">
        <v>41498</v>
      </c>
      <c r="B5703">
        <v>1</v>
      </c>
      <c r="C5703">
        <v>4</v>
      </c>
      <c r="D5703">
        <v>14</v>
      </c>
    </row>
    <row r="5704" spans="1:4" x14ac:dyDescent="0.25">
      <c r="A5704" s="1">
        <v>41499</v>
      </c>
      <c r="B5704">
        <v>1</v>
      </c>
      <c r="C5704">
        <v>4</v>
      </c>
      <c r="D5704">
        <v>19</v>
      </c>
    </row>
    <row r="5705" spans="1:4" x14ac:dyDescent="0.25">
      <c r="A5705" s="1">
        <v>41500</v>
      </c>
      <c r="B5705">
        <v>1</v>
      </c>
      <c r="C5705">
        <v>4</v>
      </c>
      <c r="D5705">
        <v>18</v>
      </c>
    </row>
    <row r="5706" spans="1:4" x14ac:dyDescent="0.25">
      <c r="A5706" s="1">
        <v>41501</v>
      </c>
      <c r="B5706">
        <v>1</v>
      </c>
      <c r="C5706">
        <v>4</v>
      </c>
      <c r="D5706">
        <v>21</v>
      </c>
    </row>
    <row r="5707" spans="1:4" x14ac:dyDescent="0.25">
      <c r="A5707" s="1">
        <v>41502</v>
      </c>
      <c r="B5707">
        <v>1</v>
      </c>
      <c r="C5707">
        <v>4</v>
      </c>
      <c r="D5707">
        <v>16</v>
      </c>
    </row>
    <row r="5708" spans="1:4" x14ac:dyDescent="0.25">
      <c r="A5708" s="1">
        <v>41503</v>
      </c>
      <c r="B5708">
        <v>1</v>
      </c>
      <c r="C5708">
        <v>4</v>
      </c>
      <c r="D5708">
        <v>25</v>
      </c>
    </row>
    <row r="5709" spans="1:4" x14ac:dyDescent="0.25">
      <c r="A5709" s="1">
        <v>41504</v>
      </c>
      <c r="B5709">
        <v>1</v>
      </c>
      <c r="C5709">
        <v>4</v>
      </c>
      <c r="D5709">
        <v>15</v>
      </c>
    </row>
    <row r="5710" spans="1:4" x14ac:dyDescent="0.25">
      <c r="A5710" s="1">
        <v>41505</v>
      </c>
      <c r="B5710">
        <v>1</v>
      </c>
      <c r="C5710">
        <v>4</v>
      </c>
      <c r="D5710">
        <v>23</v>
      </c>
    </row>
    <row r="5711" spans="1:4" x14ac:dyDescent="0.25">
      <c r="A5711" s="1">
        <v>41506</v>
      </c>
      <c r="B5711">
        <v>1</v>
      </c>
      <c r="C5711">
        <v>4</v>
      </c>
      <c r="D5711">
        <v>16</v>
      </c>
    </row>
    <row r="5712" spans="1:4" x14ac:dyDescent="0.25">
      <c r="A5712" s="1">
        <v>41507</v>
      </c>
      <c r="B5712">
        <v>1</v>
      </c>
      <c r="C5712">
        <v>4</v>
      </c>
      <c r="D5712">
        <v>13</v>
      </c>
    </row>
    <row r="5713" spans="1:4" x14ac:dyDescent="0.25">
      <c r="A5713" s="1">
        <v>41508</v>
      </c>
      <c r="B5713">
        <v>1</v>
      </c>
      <c r="C5713">
        <v>4</v>
      </c>
      <c r="D5713">
        <v>19</v>
      </c>
    </row>
    <row r="5714" spans="1:4" x14ac:dyDescent="0.25">
      <c r="A5714" s="1">
        <v>41509</v>
      </c>
      <c r="B5714">
        <v>1</v>
      </c>
      <c r="C5714">
        <v>4</v>
      </c>
      <c r="D5714">
        <v>20</v>
      </c>
    </row>
    <row r="5715" spans="1:4" x14ac:dyDescent="0.25">
      <c r="A5715" s="1">
        <v>41510</v>
      </c>
      <c r="B5715">
        <v>1</v>
      </c>
      <c r="C5715">
        <v>4</v>
      </c>
      <c r="D5715">
        <v>27</v>
      </c>
    </row>
    <row r="5716" spans="1:4" x14ac:dyDescent="0.25">
      <c r="A5716" s="1">
        <v>41511</v>
      </c>
      <c r="B5716">
        <v>1</v>
      </c>
      <c r="C5716">
        <v>4</v>
      </c>
      <c r="D5716">
        <v>13</v>
      </c>
    </row>
    <row r="5717" spans="1:4" x14ac:dyDescent="0.25">
      <c r="A5717" s="1">
        <v>41512</v>
      </c>
      <c r="B5717">
        <v>1</v>
      </c>
      <c r="C5717">
        <v>4</v>
      </c>
      <c r="D5717">
        <v>16</v>
      </c>
    </row>
    <row r="5718" spans="1:4" x14ac:dyDescent="0.25">
      <c r="A5718" s="1">
        <v>41513</v>
      </c>
      <c r="B5718">
        <v>1</v>
      </c>
      <c r="C5718">
        <v>4</v>
      </c>
      <c r="D5718">
        <v>22</v>
      </c>
    </row>
    <row r="5719" spans="1:4" x14ac:dyDescent="0.25">
      <c r="A5719" s="1">
        <v>41514</v>
      </c>
      <c r="B5719">
        <v>1</v>
      </c>
      <c r="C5719">
        <v>4</v>
      </c>
      <c r="D5719">
        <v>21</v>
      </c>
    </row>
    <row r="5720" spans="1:4" x14ac:dyDescent="0.25">
      <c r="A5720" s="1">
        <v>41515</v>
      </c>
      <c r="B5720">
        <v>1</v>
      </c>
      <c r="C5720">
        <v>4</v>
      </c>
      <c r="D5720">
        <v>14</v>
      </c>
    </row>
    <row r="5721" spans="1:4" x14ac:dyDescent="0.25">
      <c r="A5721" s="1">
        <v>41516</v>
      </c>
      <c r="B5721">
        <v>1</v>
      </c>
      <c r="C5721">
        <v>4</v>
      </c>
      <c r="D5721">
        <v>17</v>
      </c>
    </row>
    <row r="5722" spans="1:4" x14ac:dyDescent="0.25">
      <c r="A5722" s="1">
        <v>41517</v>
      </c>
      <c r="B5722">
        <v>1</v>
      </c>
      <c r="C5722">
        <v>4</v>
      </c>
      <c r="D5722">
        <v>18</v>
      </c>
    </row>
    <row r="5723" spans="1:4" x14ac:dyDescent="0.25">
      <c r="A5723" s="1">
        <v>41518</v>
      </c>
      <c r="B5723">
        <v>1</v>
      </c>
      <c r="C5723">
        <v>4</v>
      </c>
      <c r="D5723">
        <v>22</v>
      </c>
    </row>
    <row r="5724" spans="1:4" x14ac:dyDescent="0.25">
      <c r="A5724" s="1">
        <v>41519</v>
      </c>
      <c r="B5724">
        <v>1</v>
      </c>
      <c r="C5724">
        <v>4</v>
      </c>
      <c r="D5724">
        <v>15</v>
      </c>
    </row>
    <row r="5725" spans="1:4" x14ac:dyDescent="0.25">
      <c r="A5725" s="1">
        <v>41520</v>
      </c>
      <c r="B5725">
        <v>1</v>
      </c>
      <c r="C5725">
        <v>4</v>
      </c>
      <c r="D5725">
        <v>15</v>
      </c>
    </row>
    <row r="5726" spans="1:4" x14ac:dyDescent="0.25">
      <c r="A5726" s="1">
        <v>41521</v>
      </c>
      <c r="B5726">
        <v>1</v>
      </c>
      <c r="C5726">
        <v>4</v>
      </c>
      <c r="D5726">
        <v>12</v>
      </c>
    </row>
    <row r="5727" spans="1:4" x14ac:dyDescent="0.25">
      <c r="A5727" s="1">
        <v>41522</v>
      </c>
      <c r="B5727">
        <v>1</v>
      </c>
      <c r="C5727">
        <v>4</v>
      </c>
      <c r="D5727">
        <v>25</v>
      </c>
    </row>
    <row r="5728" spans="1:4" x14ac:dyDescent="0.25">
      <c r="A5728" s="1">
        <v>41523</v>
      </c>
      <c r="B5728">
        <v>1</v>
      </c>
      <c r="C5728">
        <v>4</v>
      </c>
      <c r="D5728">
        <v>18</v>
      </c>
    </row>
    <row r="5729" spans="1:4" x14ac:dyDescent="0.25">
      <c r="A5729" s="1">
        <v>41524</v>
      </c>
      <c r="B5729">
        <v>1</v>
      </c>
      <c r="C5729">
        <v>4</v>
      </c>
      <c r="D5729">
        <v>25</v>
      </c>
    </row>
    <row r="5730" spans="1:4" x14ac:dyDescent="0.25">
      <c r="A5730" s="1">
        <v>41525</v>
      </c>
      <c r="B5730">
        <v>1</v>
      </c>
      <c r="C5730">
        <v>4</v>
      </c>
      <c r="D5730">
        <v>28</v>
      </c>
    </row>
    <row r="5731" spans="1:4" x14ac:dyDescent="0.25">
      <c r="A5731" s="1">
        <v>41526</v>
      </c>
      <c r="B5731">
        <v>1</v>
      </c>
      <c r="C5731">
        <v>4</v>
      </c>
      <c r="D5731">
        <v>4</v>
      </c>
    </row>
    <row r="5732" spans="1:4" x14ac:dyDescent="0.25">
      <c r="A5732" s="1">
        <v>41527</v>
      </c>
      <c r="B5732">
        <v>1</v>
      </c>
      <c r="C5732">
        <v>4</v>
      </c>
      <c r="D5732">
        <v>22</v>
      </c>
    </row>
    <row r="5733" spans="1:4" x14ac:dyDescent="0.25">
      <c r="A5733" s="1">
        <v>41528</v>
      </c>
      <c r="B5733">
        <v>1</v>
      </c>
      <c r="C5733">
        <v>4</v>
      </c>
      <c r="D5733">
        <v>22</v>
      </c>
    </row>
    <row r="5734" spans="1:4" x14ac:dyDescent="0.25">
      <c r="A5734" s="1">
        <v>41529</v>
      </c>
      <c r="B5734">
        <v>1</v>
      </c>
      <c r="C5734">
        <v>4</v>
      </c>
      <c r="D5734">
        <v>24</v>
      </c>
    </row>
    <row r="5735" spans="1:4" x14ac:dyDescent="0.25">
      <c r="A5735" s="1">
        <v>41530</v>
      </c>
      <c r="B5735">
        <v>1</v>
      </c>
      <c r="C5735">
        <v>4</v>
      </c>
      <c r="D5735">
        <v>16</v>
      </c>
    </row>
    <row r="5736" spans="1:4" x14ac:dyDescent="0.25">
      <c r="A5736" s="1">
        <v>41531</v>
      </c>
      <c r="B5736">
        <v>1</v>
      </c>
      <c r="C5736">
        <v>4</v>
      </c>
      <c r="D5736">
        <v>24</v>
      </c>
    </row>
    <row r="5737" spans="1:4" x14ac:dyDescent="0.25">
      <c r="A5737" s="1">
        <v>41532</v>
      </c>
      <c r="B5737">
        <v>1</v>
      </c>
      <c r="C5737">
        <v>4</v>
      </c>
      <c r="D5737">
        <v>20</v>
      </c>
    </row>
    <row r="5738" spans="1:4" x14ac:dyDescent="0.25">
      <c r="A5738" s="1">
        <v>41533</v>
      </c>
      <c r="B5738">
        <v>1</v>
      </c>
      <c r="C5738">
        <v>4</v>
      </c>
      <c r="D5738">
        <v>17</v>
      </c>
    </row>
    <row r="5739" spans="1:4" x14ac:dyDescent="0.25">
      <c r="A5739" s="1">
        <v>41534</v>
      </c>
      <c r="B5739">
        <v>1</v>
      </c>
      <c r="C5739">
        <v>4</v>
      </c>
      <c r="D5739">
        <v>20</v>
      </c>
    </row>
    <row r="5740" spans="1:4" x14ac:dyDescent="0.25">
      <c r="A5740" s="1">
        <v>41535</v>
      </c>
      <c r="B5740">
        <v>1</v>
      </c>
      <c r="C5740">
        <v>4</v>
      </c>
      <c r="D5740">
        <v>10</v>
      </c>
    </row>
    <row r="5741" spans="1:4" x14ac:dyDescent="0.25">
      <c r="A5741" s="1">
        <v>41536</v>
      </c>
      <c r="B5741">
        <v>1</v>
      </c>
      <c r="C5741">
        <v>4</v>
      </c>
      <c r="D5741">
        <v>20</v>
      </c>
    </row>
    <row r="5742" spans="1:4" x14ac:dyDescent="0.25">
      <c r="A5742" s="1">
        <v>41537</v>
      </c>
      <c r="B5742">
        <v>1</v>
      </c>
      <c r="C5742">
        <v>4</v>
      </c>
      <c r="D5742">
        <v>17</v>
      </c>
    </row>
    <row r="5743" spans="1:4" x14ac:dyDescent="0.25">
      <c r="A5743" s="1">
        <v>41538</v>
      </c>
      <c r="B5743">
        <v>1</v>
      </c>
      <c r="C5743">
        <v>4</v>
      </c>
      <c r="D5743">
        <v>18</v>
      </c>
    </row>
    <row r="5744" spans="1:4" x14ac:dyDescent="0.25">
      <c r="A5744" s="1">
        <v>41539</v>
      </c>
      <c r="B5744">
        <v>1</v>
      </c>
      <c r="C5744">
        <v>4</v>
      </c>
      <c r="D5744">
        <v>31</v>
      </c>
    </row>
    <row r="5745" spans="1:4" x14ac:dyDescent="0.25">
      <c r="A5745" s="1">
        <v>41540</v>
      </c>
      <c r="B5745">
        <v>1</v>
      </c>
      <c r="C5745">
        <v>4</v>
      </c>
      <c r="D5745">
        <v>9</v>
      </c>
    </row>
    <row r="5746" spans="1:4" x14ac:dyDescent="0.25">
      <c r="A5746" s="1">
        <v>41541</v>
      </c>
      <c r="B5746">
        <v>1</v>
      </c>
      <c r="C5746">
        <v>4</v>
      </c>
      <c r="D5746">
        <v>20</v>
      </c>
    </row>
    <row r="5747" spans="1:4" x14ac:dyDescent="0.25">
      <c r="A5747" s="1">
        <v>41542</v>
      </c>
      <c r="B5747">
        <v>1</v>
      </c>
      <c r="C5747">
        <v>4</v>
      </c>
      <c r="D5747">
        <v>15</v>
      </c>
    </row>
    <row r="5748" spans="1:4" x14ac:dyDescent="0.25">
      <c r="A5748" s="1">
        <v>41543</v>
      </c>
      <c r="B5748">
        <v>1</v>
      </c>
      <c r="C5748">
        <v>4</v>
      </c>
      <c r="D5748">
        <v>15</v>
      </c>
    </row>
    <row r="5749" spans="1:4" x14ac:dyDescent="0.25">
      <c r="A5749" s="1">
        <v>41544</v>
      </c>
      <c r="B5749">
        <v>1</v>
      </c>
      <c r="C5749">
        <v>4</v>
      </c>
      <c r="D5749">
        <v>16</v>
      </c>
    </row>
    <row r="5750" spans="1:4" x14ac:dyDescent="0.25">
      <c r="A5750" s="1">
        <v>41545</v>
      </c>
      <c r="B5750">
        <v>1</v>
      </c>
      <c r="C5750">
        <v>4</v>
      </c>
      <c r="D5750">
        <v>16</v>
      </c>
    </row>
    <row r="5751" spans="1:4" x14ac:dyDescent="0.25">
      <c r="A5751" s="1">
        <v>41546</v>
      </c>
      <c r="B5751">
        <v>1</v>
      </c>
      <c r="C5751">
        <v>4</v>
      </c>
      <c r="D5751">
        <v>20</v>
      </c>
    </row>
    <row r="5752" spans="1:4" x14ac:dyDescent="0.25">
      <c r="A5752" s="1">
        <v>41547</v>
      </c>
      <c r="B5752">
        <v>1</v>
      </c>
      <c r="C5752">
        <v>4</v>
      </c>
      <c r="D5752">
        <v>18</v>
      </c>
    </row>
    <row r="5753" spans="1:4" x14ac:dyDescent="0.25">
      <c r="A5753" s="1">
        <v>41548</v>
      </c>
      <c r="B5753">
        <v>1</v>
      </c>
      <c r="C5753">
        <v>4</v>
      </c>
      <c r="D5753">
        <v>13</v>
      </c>
    </row>
    <row r="5754" spans="1:4" x14ac:dyDescent="0.25">
      <c r="A5754" s="1">
        <v>41549</v>
      </c>
      <c r="B5754">
        <v>1</v>
      </c>
      <c r="C5754">
        <v>4</v>
      </c>
      <c r="D5754">
        <v>13</v>
      </c>
    </row>
    <row r="5755" spans="1:4" x14ac:dyDescent="0.25">
      <c r="A5755" s="1">
        <v>41550</v>
      </c>
      <c r="B5755">
        <v>1</v>
      </c>
      <c r="C5755">
        <v>4</v>
      </c>
      <c r="D5755">
        <v>16</v>
      </c>
    </row>
    <row r="5756" spans="1:4" x14ac:dyDescent="0.25">
      <c r="A5756" s="1">
        <v>41551</v>
      </c>
      <c r="B5756">
        <v>1</v>
      </c>
      <c r="C5756">
        <v>4</v>
      </c>
      <c r="D5756">
        <v>19</v>
      </c>
    </row>
    <row r="5757" spans="1:4" x14ac:dyDescent="0.25">
      <c r="A5757" s="1">
        <v>41552</v>
      </c>
      <c r="B5757">
        <v>1</v>
      </c>
      <c r="C5757">
        <v>4</v>
      </c>
      <c r="D5757">
        <v>22</v>
      </c>
    </row>
    <row r="5758" spans="1:4" x14ac:dyDescent="0.25">
      <c r="A5758" s="1">
        <v>41553</v>
      </c>
      <c r="B5758">
        <v>1</v>
      </c>
      <c r="C5758">
        <v>4</v>
      </c>
      <c r="D5758">
        <v>14</v>
      </c>
    </row>
    <row r="5759" spans="1:4" x14ac:dyDescent="0.25">
      <c r="A5759" s="1">
        <v>41554</v>
      </c>
      <c r="B5759">
        <v>1</v>
      </c>
      <c r="C5759">
        <v>4</v>
      </c>
      <c r="D5759">
        <v>13</v>
      </c>
    </row>
    <row r="5760" spans="1:4" x14ac:dyDescent="0.25">
      <c r="A5760" s="1">
        <v>41555</v>
      </c>
      <c r="B5760">
        <v>1</v>
      </c>
      <c r="C5760">
        <v>4</v>
      </c>
      <c r="D5760">
        <v>14</v>
      </c>
    </row>
    <row r="5761" spans="1:4" x14ac:dyDescent="0.25">
      <c r="A5761" s="1">
        <v>41556</v>
      </c>
      <c r="B5761">
        <v>1</v>
      </c>
      <c r="C5761">
        <v>4</v>
      </c>
      <c r="D5761">
        <v>10</v>
      </c>
    </row>
    <row r="5762" spans="1:4" x14ac:dyDescent="0.25">
      <c r="A5762" s="1">
        <v>41557</v>
      </c>
      <c r="B5762">
        <v>1</v>
      </c>
      <c r="C5762">
        <v>4</v>
      </c>
      <c r="D5762">
        <v>17</v>
      </c>
    </row>
    <row r="5763" spans="1:4" x14ac:dyDescent="0.25">
      <c r="A5763" s="1">
        <v>41558</v>
      </c>
      <c r="B5763">
        <v>1</v>
      </c>
      <c r="C5763">
        <v>4</v>
      </c>
      <c r="D5763">
        <v>14</v>
      </c>
    </row>
    <row r="5764" spans="1:4" x14ac:dyDescent="0.25">
      <c r="A5764" s="1">
        <v>41559</v>
      </c>
      <c r="B5764">
        <v>1</v>
      </c>
      <c r="C5764">
        <v>4</v>
      </c>
      <c r="D5764">
        <v>12</v>
      </c>
    </row>
    <row r="5765" spans="1:4" x14ac:dyDescent="0.25">
      <c r="A5765" s="1">
        <v>41560</v>
      </c>
      <c r="B5765">
        <v>1</v>
      </c>
      <c r="C5765">
        <v>4</v>
      </c>
      <c r="D5765">
        <v>21</v>
      </c>
    </row>
    <row r="5766" spans="1:4" x14ac:dyDescent="0.25">
      <c r="A5766" s="1">
        <v>41561</v>
      </c>
      <c r="B5766">
        <v>1</v>
      </c>
      <c r="C5766">
        <v>4</v>
      </c>
      <c r="D5766">
        <v>7</v>
      </c>
    </row>
    <row r="5767" spans="1:4" x14ac:dyDescent="0.25">
      <c r="A5767" s="1">
        <v>41562</v>
      </c>
      <c r="B5767">
        <v>1</v>
      </c>
      <c r="C5767">
        <v>4</v>
      </c>
      <c r="D5767">
        <v>19</v>
      </c>
    </row>
    <row r="5768" spans="1:4" x14ac:dyDescent="0.25">
      <c r="A5768" s="1">
        <v>41563</v>
      </c>
      <c r="B5768">
        <v>1</v>
      </c>
      <c r="C5768">
        <v>4</v>
      </c>
      <c r="D5768">
        <v>11</v>
      </c>
    </row>
    <row r="5769" spans="1:4" x14ac:dyDescent="0.25">
      <c r="A5769" s="1">
        <v>41564</v>
      </c>
      <c r="B5769">
        <v>1</v>
      </c>
      <c r="C5769">
        <v>4</v>
      </c>
      <c r="D5769">
        <v>11</v>
      </c>
    </row>
    <row r="5770" spans="1:4" x14ac:dyDescent="0.25">
      <c r="A5770" s="1">
        <v>41565</v>
      </c>
      <c r="B5770">
        <v>1</v>
      </c>
      <c r="C5770">
        <v>4</v>
      </c>
      <c r="D5770">
        <v>20</v>
      </c>
    </row>
    <row r="5771" spans="1:4" x14ac:dyDescent="0.25">
      <c r="A5771" s="1">
        <v>41566</v>
      </c>
      <c r="B5771">
        <v>1</v>
      </c>
      <c r="C5771">
        <v>4</v>
      </c>
      <c r="D5771">
        <v>20</v>
      </c>
    </row>
    <row r="5772" spans="1:4" x14ac:dyDescent="0.25">
      <c r="A5772" s="1">
        <v>41567</v>
      </c>
      <c r="B5772">
        <v>1</v>
      </c>
      <c r="C5772">
        <v>4</v>
      </c>
      <c r="D5772">
        <v>18</v>
      </c>
    </row>
    <row r="5773" spans="1:4" x14ac:dyDescent="0.25">
      <c r="A5773" s="1">
        <v>41568</v>
      </c>
      <c r="B5773">
        <v>1</v>
      </c>
      <c r="C5773">
        <v>4</v>
      </c>
      <c r="D5773">
        <v>10</v>
      </c>
    </row>
    <row r="5774" spans="1:4" x14ac:dyDescent="0.25">
      <c r="A5774" s="1">
        <v>41569</v>
      </c>
      <c r="B5774">
        <v>1</v>
      </c>
      <c r="C5774">
        <v>4</v>
      </c>
      <c r="D5774">
        <v>15</v>
      </c>
    </row>
    <row r="5775" spans="1:4" x14ac:dyDescent="0.25">
      <c r="A5775" s="1">
        <v>41570</v>
      </c>
      <c r="B5775">
        <v>1</v>
      </c>
      <c r="C5775">
        <v>4</v>
      </c>
      <c r="D5775">
        <v>19</v>
      </c>
    </row>
    <row r="5776" spans="1:4" x14ac:dyDescent="0.25">
      <c r="A5776" s="1">
        <v>41571</v>
      </c>
      <c r="B5776">
        <v>1</v>
      </c>
      <c r="C5776">
        <v>4</v>
      </c>
      <c r="D5776">
        <v>21</v>
      </c>
    </row>
    <row r="5777" spans="1:4" x14ac:dyDescent="0.25">
      <c r="A5777" s="1">
        <v>41572</v>
      </c>
      <c r="B5777">
        <v>1</v>
      </c>
      <c r="C5777">
        <v>4</v>
      </c>
      <c r="D5777">
        <v>17</v>
      </c>
    </row>
    <row r="5778" spans="1:4" x14ac:dyDescent="0.25">
      <c r="A5778" s="1">
        <v>41573</v>
      </c>
      <c r="B5778">
        <v>1</v>
      </c>
      <c r="C5778">
        <v>4</v>
      </c>
      <c r="D5778">
        <v>19</v>
      </c>
    </row>
    <row r="5779" spans="1:4" x14ac:dyDescent="0.25">
      <c r="A5779" s="1">
        <v>41574</v>
      </c>
      <c r="B5779">
        <v>1</v>
      </c>
      <c r="C5779">
        <v>4</v>
      </c>
      <c r="D5779">
        <v>22</v>
      </c>
    </row>
    <row r="5780" spans="1:4" x14ac:dyDescent="0.25">
      <c r="A5780" s="1">
        <v>41575</v>
      </c>
      <c r="B5780">
        <v>1</v>
      </c>
      <c r="C5780">
        <v>4</v>
      </c>
      <c r="D5780">
        <v>19</v>
      </c>
    </row>
    <row r="5781" spans="1:4" x14ac:dyDescent="0.25">
      <c r="A5781" s="1">
        <v>41576</v>
      </c>
      <c r="B5781">
        <v>1</v>
      </c>
      <c r="C5781">
        <v>4</v>
      </c>
      <c r="D5781">
        <v>10</v>
      </c>
    </row>
    <row r="5782" spans="1:4" x14ac:dyDescent="0.25">
      <c r="A5782" s="1">
        <v>41577</v>
      </c>
      <c r="B5782">
        <v>1</v>
      </c>
      <c r="C5782">
        <v>4</v>
      </c>
      <c r="D5782">
        <v>9</v>
      </c>
    </row>
    <row r="5783" spans="1:4" x14ac:dyDescent="0.25">
      <c r="A5783" s="1">
        <v>41578</v>
      </c>
      <c r="B5783">
        <v>1</v>
      </c>
      <c r="C5783">
        <v>4</v>
      </c>
      <c r="D5783">
        <v>10</v>
      </c>
    </row>
    <row r="5784" spans="1:4" x14ac:dyDescent="0.25">
      <c r="A5784" s="1">
        <v>41579</v>
      </c>
      <c r="B5784">
        <v>1</v>
      </c>
      <c r="C5784">
        <v>4</v>
      </c>
      <c r="D5784">
        <v>22</v>
      </c>
    </row>
    <row r="5785" spans="1:4" x14ac:dyDescent="0.25">
      <c r="A5785" s="1">
        <v>41580</v>
      </c>
      <c r="B5785">
        <v>1</v>
      </c>
      <c r="C5785">
        <v>4</v>
      </c>
      <c r="D5785">
        <v>24</v>
      </c>
    </row>
    <row r="5786" spans="1:4" x14ac:dyDescent="0.25">
      <c r="A5786" s="1">
        <v>41581</v>
      </c>
      <c r="B5786">
        <v>1</v>
      </c>
      <c r="C5786">
        <v>4</v>
      </c>
      <c r="D5786">
        <v>17</v>
      </c>
    </row>
    <row r="5787" spans="1:4" x14ac:dyDescent="0.25">
      <c r="A5787" s="1">
        <v>41582</v>
      </c>
      <c r="B5787">
        <v>1</v>
      </c>
      <c r="C5787">
        <v>4</v>
      </c>
      <c r="D5787">
        <v>12</v>
      </c>
    </row>
    <row r="5788" spans="1:4" x14ac:dyDescent="0.25">
      <c r="A5788" s="1">
        <v>41583</v>
      </c>
      <c r="B5788">
        <v>1</v>
      </c>
      <c r="C5788">
        <v>4</v>
      </c>
      <c r="D5788">
        <v>19</v>
      </c>
    </row>
    <row r="5789" spans="1:4" x14ac:dyDescent="0.25">
      <c r="A5789" s="1">
        <v>41584</v>
      </c>
      <c r="B5789">
        <v>1</v>
      </c>
      <c r="C5789">
        <v>4</v>
      </c>
      <c r="D5789">
        <v>24</v>
      </c>
    </row>
    <row r="5790" spans="1:4" x14ac:dyDescent="0.25">
      <c r="A5790" s="1">
        <v>41585</v>
      </c>
      <c r="B5790">
        <v>1</v>
      </c>
      <c r="C5790">
        <v>4</v>
      </c>
      <c r="D5790">
        <v>18</v>
      </c>
    </row>
    <row r="5791" spans="1:4" x14ac:dyDescent="0.25">
      <c r="A5791" s="1">
        <v>41586</v>
      </c>
      <c r="B5791">
        <v>1</v>
      </c>
      <c r="C5791">
        <v>4</v>
      </c>
      <c r="D5791">
        <v>12</v>
      </c>
    </row>
    <row r="5792" spans="1:4" x14ac:dyDescent="0.25">
      <c r="A5792" s="1">
        <v>41587</v>
      </c>
      <c r="B5792">
        <v>1</v>
      </c>
      <c r="C5792">
        <v>4</v>
      </c>
      <c r="D5792">
        <v>16</v>
      </c>
    </row>
    <row r="5793" spans="1:4" x14ac:dyDescent="0.25">
      <c r="A5793" s="1">
        <v>41588</v>
      </c>
      <c r="B5793">
        <v>1</v>
      </c>
      <c r="C5793">
        <v>4</v>
      </c>
      <c r="D5793">
        <v>14</v>
      </c>
    </row>
    <row r="5794" spans="1:4" x14ac:dyDescent="0.25">
      <c r="A5794" s="1">
        <v>41589</v>
      </c>
      <c r="B5794">
        <v>1</v>
      </c>
      <c r="C5794">
        <v>4</v>
      </c>
      <c r="D5794">
        <v>12</v>
      </c>
    </row>
    <row r="5795" spans="1:4" x14ac:dyDescent="0.25">
      <c r="A5795" s="1">
        <v>41590</v>
      </c>
      <c r="B5795">
        <v>1</v>
      </c>
      <c r="C5795">
        <v>4</v>
      </c>
      <c r="D5795">
        <v>16</v>
      </c>
    </row>
    <row r="5796" spans="1:4" x14ac:dyDescent="0.25">
      <c r="A5796" s="1">
        <v>41591</v>
      </c>
      <c r="B5796">
        <v>1</v>
      </c>
      <c r="C5796">
        <v>4</v>
      </c>
      <c r="D5796">
        <v>11</v>
      </c>
    </row>
    <row r="5797" spans="1:4" x14ac:dyDescent="0.25">
      <c r="A5797" s="1">
        <v>41592</v>
      </c>
      <c r="B5797">
        <v>1</v>
      </c>
      <c r="C5797">
        <v>4</v>
      </c>
      <c r="D5797">
        <v>18</v>
      </c>
    </row>
    <row r="5798" spans="1:4" x14ac:dyDescent="0.25">
      <c r="A5798" s="1">
        <v>41593</v>
      </c>
      <c r="B5798">
        <v>1</v>
      </c>
      <c r="C5798">
        <v>4</v>
      </c>
      <c r="D5798">
        <v>13</v>
      </c>
    </row>
    <row r="5799" spans="1:4" x14ac:dyDescent="0.25">
      <c r="A5799" s="1">
        <v>41594</v>
      </c>
      <c r="B5799">
        <v>1</v>
      </c>
      <c r="C5799">
        <v>4</v>
      </c>
      <c r="D5799">
        <v>25</v>
      </c>
    </row>
    <row r="5800" spans="1:4" x14ac:dyDescent="0.25">
      <c r="A5800" s="1">
        <v>41595</v>
      </c>
      <c r="B5800">
        <v>1</v>
      </c>
      <c r="C5800">
        <v>4</v>
      </c>
      <c r="D5800">
        <v>28</v>
      </c>
    </row>
    <row r="5801" spans="1:4" x14ac:dyDescent="0.25">
      <c r="A5801" s="1">
        <v>41596</v>
      </c>
      <c r="B5801">
        <v>1</v>
      </c>
      <c r="C5801">
        <v>4</v>
      </c>
      <c r="D5801">
        <v>9</v>
      </c>
    </row>
    <row r="5802" spans="1:4" x14ac:dyDescent="0.25">
      <c r="A5802" s="1">
        <v>41597</v>
      </c>
      <c r="B5802">
        <v>1</v>
      </c>
      <c r="C5802">
        <v>4</v>
      </c>
      <c r="D5802">
        <v>18</v>
      </c>
    </row>
    <row r="5803" spans="1:4" x14ac:dyDescent="0.25">
      <c r="A5803" s="1">
        <v>41598</v>
      </c>
      <c r="B5803">
        <v>1</v>
      </c>
      <c r="C5803">
        <v>4</v>
      </c>
      <c r="D5803">
        <v>17</v>
      </c>
    </row>
    <row r="5804" spans="1:4" x14ac:dyDescent="0.25">
      <c r="A5804" s="1">
        <v>41599</v>
      </c>
      <c r="B5804">
        <v>1</v>
      </c>
      <c r="C5804">
        <v>4</v>
      </c>
      <c r="D5804">
        <v>17</v>
      </c>
    </row>
    <row r="5805" spans="1:4" x14ac:dyDescent="0.25">
      <c r="A5805" s="1">
        <v>41600</v>
      </c>
      <c r="B5805">
        <v>1</v>
      </c>
      <c r="C5805">
        <v>4</v>
      </c>
      <c r="D5805">
        <v>19</v>
      </c>
    </row>
    <row r="5806" spans="1:4" x14ac:dyDescent="0.25">
      <c r="A5806" s="1">
        <v>41601</v>
      </c>
      <c r="B5806">
        <v>1</v>
      </c>
      <c r="C5806">
        <v>4</v>
      </c>
      <c r="D5806">
        <v>21</v>
      </c>
    </row>
    <row r="5807" spans="1:4" x14ac:dyDescent="0.25">
      <c r="A5807" s="1">
        <v>41602</v>
      </c>
      <c r="B5807">
        <v>1</v>
      </c>
      <c r="C5807">
        <v>4</v>
      </c>
      <c r="D5807">
        <v>19</v>
      </c>
    </row>
    <row r="5808" spans="1:4" x14ac:dyDescent="0.25">
      <c r="A5808" s="1">
        <v>41603</v>
      </c>
      <c r="B5808">
        <v>1</v>
      </c>
      <c r="C5808">
        <v>4</v>
      </c>
      <c r="D5808">
        <v>11</v>
      </c>
    </row>
    <row r="5809" spans="1:4" x14ac:dyDescent="0.25">
      <c r="A5809" s="1">
        <v>41604</v>
      </c>
      <c r="B5809">
        <v>1</v>
      </c>
      <c r="C5809">
        <v>4</v>
      </c>
      <c r="D5809">
        <v>12</v>
      </c>
    </row>
    <row r="5810" spans="1:4" x14ac:dyDescent="0.25">
      <c r="A5810" s="1">
        <v>41605</v>
      </c>
      <c r="B5810">
        <v>1</v>
      </c>
      <c r="C5810">
        <v>4</v>
      </c>
      <c r="D5810">
        <v>16</v>
      </c>
    </row>
    <row r="5811" spans="1:4" x14ac:dyDescent="0.25">
      <c r="A5811" s="1">
        <v>41606</v>
      </c>
      <c r="B5811">
        <v>1</v>
      </c>
      <c r="C5811">
        <v>4</v>
      </c>
      <c r="D5811">
        <v>29</v>
      </c>
    </row>
    <row r="5812" spans="1:4" x14ac:dyDescent="0.25">
      <c r="A5812" s="1">
        <v>41607</v>
      </c>
      <c r="B5812">
        <v>1</v>
      </c>
      <c r="C5812">
        <v>4</v>
      </c>
      <c r="D5812">
        <v>12</v>
      </c>
    </row>
    <row r="5813" spans="1:4" x14ac:dyDescent="0.25">
      <c r="A5813" s="1">
        <v>41608</v>
      </c>
      <c r="B5813">
        <v>1</v>
      </c>
      <c r="C5813">
        <v>4</v>
      </c>
      <c r="D5813">
        <v>18</v>
      </c>
    </row>
    <row r="5814" spans="1:4" x14ac:dyDescent="0.25">
      <c r="A5814" s="1">
        <v>41609</v>
      </c>
      <c r="B5814">
        <v>1</v>
      </c>
      <c r="C5814">
        <v>4</v>
      </c>
      <c r="D5814">
        <v>17</v>
      </c>
    </row>
    <row r="5815" spans="1:4" x14ac:dyDescent="0.25">
      <c r="A5815" s="1">
        <v>41610</v>
      </c>
      <c r="B5815">
        <v>1</v>
      </c>
      <c r="C5815">
        <v>4</v>
      </c>
      <c r="D5815">
        <v>8</v>
      </c>
    </row>
    <row r="5816" spans="1:4" x14ac:dyDescent="0.25">
      <c r="A5816" s="1">
        <v>41611</v>
      </c>
      <c r="B5816">
        <v>1</v>
      </c>
      <c r="C5816">
        <v>4</v>
      </c>
      <c r="D5816">
        <v>13</v>
      </c>
    </row>
    <row r="5817" spans="1:4" x14ac:dyDescent="0.25">
      <c r="A5817" s="1">
        <v>41612</v>
      </c>
      <c r="B5817">
        <v>1</v>
      </c>
      <c r="C5817">
        <v>4</v>
      </c>
      <c r="D5817">
        <v>17</v>
      </c>
    </row>
    <row r="5818" spans="1:4" x14ac:dyDescent="0.25">
      <c r="A5818" s="1">
        <v>41613</v>
      </c>
      <c r="B5818">
        <v>1</v>
      </c>
      <c r="C5818">
        <v>4</v>
      </c>
      <c r="D5818">
        <v>11</v>
      </c>
    </row>
    <row r="5819" spans="1:4" x14ac:dyDescent="0.25">
      <c r="A5819" s="1">
        <v>41614</v>
      </c>
      <c r="B5819">
        <v>1</v>
      </c>
      <c r="C5819">
        <v>4</v>
      </c>
      <c r="D5819">
        <v>12</v>
      </c>
    </row>
    <row r="5820" spans="1:4" x14ac:dyDescent="0.25">
      <c r="A5820" s="1">
        <v>41615</v>
      </c>
      <c r="B5820">
        <v>1</v>
      </c>
      <c r="C5820">
        <v>4</v>
      </c>
      <c r="D5820">
        <v>20</v>
      </c>
    </row>
    <row r="5821" spans="1:4" x14ac:dyDescent="0.25">
      <c r="A5821" s="1">
        <v>41616</v>
      </c>
      <c r="B5821">
        <v>1</v>
      </c>
      <c r="C5821">
        <v>4</v>
      </c>
      <c r="D5821">
        <v>12</v>
      </c>
    </row>
    <row r="5822" spans="1:4" x14ac:dyDescent="0.25">
      <c r="A5822" s="1">
        <v>41617</v>
      </c>
      <c r="B5822">
        <v>1</v>
      </c>
      <c r="C5822">
        <v>4</v>
      </c>
      <c r="D5822">
        <v>13</v>
      </c>
    </row>
    <row r="5823" spans="1:4" x14ac:dyDescent="0.25">
      <c r="A5823" s="1">
        <v>41618</v>
      </c>
      <c r="B5823">
        <v>1</v>
      </c>
      <c r="C5823">
        <v>4</v>
      </c>
      <c r="D5823">
        <v>5</v>
      </c>
    </row>
    <row r="5824" spans="1:4" x14ac:dyDescent="0.25">
      <c r="A5824" s="1">
        <v>41619</v>
      </c>
      <c r="B5824">
        <v>1</v>
      </c>
      <c r="C5824">
        <v>4</v>
      </c>
      <c r="D5824">
        <v>6</v>
      </c>
    </row>
    <row r="5825" spans="1:4" x14ac:dyDescent="0.25">
      <c r="A5825" s="1">
        <v>41620</v>
      </c>
      <c r="B5825">
        <v>1</v>
      </c>
      <c r="C5825">
        <v>4</v>
      </c>
      <c r="D5825">
        <v>13</v>
      </c>
    </row>
    <row r="5826" spans="1:4" x14ac:dyDescent="0.25">
      <c r="A5826" s="1">
        <v>41621</v>
      </c>
      <c r="B5826">
        <v>1</v>
      </c>
      <c r="C5826">
        <v>4</v>
      </c>
      <c r="D5826">
        <v>15</v>
      </c>
    </row>
    <row r="5827" spans="1:4" x14ac:dyDescent="0.25">
      <c r="A5827" s="1">
        <v>41622</v>
      </c>
      <c r="B5827">
        <v>1</v>
      </c>
      <c r="C5827">
        <v>4</v>
      </c>
      <c r="D5827">
        <v>13</v>
      </c>
    </row>
    <row r="5828" spans="1:4" x14ac:dyDescent="0.25">
      <c r="A5828" s="1">
        <v>41623</v>
      </c>
      <c r="B5828">
        <v>1</v>
      </c>
      <c r="C5828">
        <v>4</v>
      </c>
      <c r="D5828">
        <v>15</v>
      </c>
    </row>
    <row r="5829" spans="1:4" x14ac:dyDescent="0.25">
      <c r="A5829" s="1">
        <v>41624</v>
      </c>
      <c r="B5829">
        <v>1</v>
      </c>
      <c r="C5829">
        <v>4</v>
      </c>
      <c r="D5829">
        <v>7</v>
      </c>
    </row>
    <row r="5830" spans="1:4" x14ac:dyDescent="0.25">
      <c r="A5830" s="1">
        <v>41625</v>
      </c>
      <c r="B5830">
        <v>1</v>
      </c>
      <c r="C5830">
        <v>4</v>
      </c>
      <c r="D5830">
        <v>9</v>
      </c>
    </row>
    <row r="5831" spans="1:4" x14ac:dyDescent="0.25">
      <c r="A5831" s="1">
        <v>41626</v>
      </c>
      <c r="B5831">
        <v>1</v>
      </c>
      <c r="C5831">
        <v>4</v>
      </c>
      <c r="D5831">
        <v>8</v>
      </c>
    </row>
    <row r="5832" spans="1:4" x14ac:dyDescent="0.25">
      <c r="A5832" s="1">
        <v>41627</v>
      </c>
      <c r="B5832">
        <v>1</v>
      </c>
      <c r="C5832">
        <v>4</v>
      </c>
      <c r="D5832">
        <v>15</v>
      </c>
    </row>
    <row r="5833" spans="1:4" x14ac:dyDescent="0.25">
      <c r="A5833" s="1">
        <v>41628</v>
      </c>
      <c r="B5833">
        <v>1</v>
      </c>
      <c r="C5833">
        <v>4</v>
      </c>
      <c r="D5833">
        <v>15</v>
      </c>
    </row>
    <row r="5834" spans="1:4" x14ac:dyDescent="0.25">
      <c r="A5834" s="1">
        <v>41629</v>
      </c>
      <c r="B5834">
        <v>1</v>
      </c>
      <c r="C5834">
        <v>4</v>
      </c>
      <c r="D5834">
        <v>12</v>
      </c>
    </row>
    <row r="5835" spans="1:4" x14ac:dyDescent="0.25">
      <c r="A5835" s="1">
        <v>41630</v>
      </c>
      <c r="B5835">
        <v>1</v>
      </c>
      <c r="C5835">
        <v>4</v>
      </c>
      <c r="D5835">
        <v>13</v>
      </c>
    </row>
    <row r="5836" spans="1:4" x14ac:dyDescent="0.25">
      <c r="A5836" s="1">
        <v>41631</v>
      </c>
      <c r="B5836">
        <v>1</v>
      </c>
      <c r="C5836">
        <v>4</v>
      </c>
      <c r="D5836">
        <v>9</v>
      </c>
    </row>
    <row r="5837" spans="1:4" x14ac:dyDescent="0.25">
      <c r="A5837" s="1">
        <v>41632</v>
      </c>
      <c r="B5837">
        <v>1</v>
      </c>
      <c r="C5837">
        <v>4</v>
      </c>
      <c r="D5837">
        <v>14</v>
      </c>
    </row>
    <row r="5838" spans="1:4" x14ac:dyDescent="0.25">
      <c r="A5838" s="1">
        <v>41633</v>
      </c>
      <c r="B5838">
        <v>1</v>
      </c>
      <c r="C5838">
        <v>4</v>
      </c>
      <c r="D5838">
        <v>10</v>
      </c>
    </row>
    <row r="5839" spans="1:4" x14ac:dyDescent="0.25">
      <c r="A5839" s="1">
        <v>41634</v>
      </c>
      <c r="B5839">
        <v>1</v>
      </c>
      <c r="C5839">
        <v>4</v>
      </c>
      <c r="D5839">
        <v>15</v>
      </c>
    </row>
    <row r="5840" spans="1:4" x14ac:dyDescent="0.25">
      <c r="A5840" s="1">
        <v>41635</v>
      </c>
      <c r="B5840">
        <v>1</v>
      </c>
      <c r="C5840">
        <v>4</v>
      </c>
      <c r="D5840">
        <v>11</v>
      </c>
    </row>
    <row r="5841" spans="1:4" x14ac:dyDescent="0.25">
      <c r="A5841" s="1">
        <v>41636</v>
      </c>
      <c r="B5841">
        <v>1</v>
      </c>
      <c r="C5841">
        <v>4</v>
      </c>
      <c r="D5841">
        <v>22</v>
      </c>
    </row>
    <row r="5842" spans="1:4" x14ac:dyDescent="0.25">
      <c r="A5842" s="1">
        <v>41637</v>
      </c>
      <c r="B5842">
        <v>1</v>
      </c>
      <c r="C5842">
        <v>4</v>
      </c>
      <c r="D5842">
        <v>21</v>
      </c>
    </row>
    <row r="5843" spans="1:4" x14ac:dyDescent="0.25">
      <c r="A5843" s="1">
        <v>41638</v>
      </c>
      <c r="B5843">
        <v>1</v>
      </c>
      <c r="C5843">
        <v>4</v>
      </c>
      <c r="D5843">
        <v>13</v>
      </c>
    </row>
    <row r="5844" spans="1:4" x14ac:dyDescent="0.25">
      <c r="A5844" s="1">
        <v>41639</v>
      </c>
      <c r="B5844">
        <v>1</v>
      </c>
      <c r="C5844">
        <v>4</v>
      </c>
      <c r="D5844">
        <v>9</v>
      </c>
    </row>
    <row r="5845" spans="1:4" x14ac:dyDescent="0.25">
      <c r="A5845" s="1">
        <v>41640</v>
      </c>
      <c r="B5845">
        <v>1</v>
      </c>
      <c r="C5845">
        <v>4</v>
      </c>
      <c r="D5845">
        <v>9</v>
      </c>
    </row>
    <row r="5846" spans="1:4" x14ac:dyDescent="0.25">
      <c r="A5846" s="1">
        <v>41641</v>
      </c>
      <c r="B5846">
        <v>1</v>
      </c>
      <c r="C5846">
        <v>4</v>
      </c>
      <c r="D5846">
        <v>7</v>
      </c>
    </row>
    <row r="5847" spans="1:4" x14ac:dyDescent="0.25">
      <c r="A5847" s="1">
        <v>41642</v>
      </c>
      <c r="B5847">
        <v>1</v>
      </c>
      <c r="C5847">
        <v>4</v>
      </c>
      <c r="D5847">
        <v>10</v>
      </c>
    </row>
    <row r="5848" spans="1:4" x14ac:dyDescent="0.25">
      <c r="A5848" s="1">
        <v>41643</v>
      </c>
      <c r="B5848">
        <v>1</v>
      </c>
      <c r="C5848">
        <v>4</v>
      </c>
      <c r="D5848">
        <v>14</v>
      </c>
    </row>
    <row r="5849" spans="1:4" x14ac:dyDescent="0.25">
      <c r="A5849" s="1">
        <v>41644</v>
      </c>
      <c r="B5849">
        <v>1</v>
      </c>
      <c r="C5849">
        <v>4</v>
      </c>
      <c r="D5849">
        <v>14</v>
      </c>
    </row>
    <row r="5850" spans="1:4" x14ac:dyDescent="0.25">
      <c r="A5850" s="1">
        <v>41645</v>
      </c>
      <c r="B5850">
        <v>1</v>
      </c>
      <c r="C5850">
        <v>4</v>
      </c>
      <c r="D5850">
        <v>14</v>
      </c>
    </row>
    <row r="5851" spans="1:4" x14ac:dyDescent="0.25">
      <c r="A5851" s="1">
        <v>41646</v>
      </c>
      <c r="B5851">
        <v>1</v>
      </c>
      <c r="C5851">
        <v>4</v>
      </c>
      <c r="D5851">
        <v>9</v>
      </c>
    </row>
    <row r="5852" spans="1:4" x14ac:dyDescent="0.25">
      <c r="A5852" s="1">
        <v>41647</v>
      </c>
      <c r="B5852">
        <v>1</v>
      </c>
      <c r="C5852">
        <v>4</v>
      </c>
      <c r="D5852">
        <v>10</v>
      </c>
    </row>
    <row r="5853" spans="1:4" x14ac:dyDescent="0.25">
      <c r="A5853" s="1">
        <v>41648</v>
      </c>
      <c r="B5853">
        <v>1</v>
      </c>
      <c r="C5853">
        <v>4</v>
      </c>
      <c r="D5853">
        <v>13</v>
      </c>
    </row>
    <row r="5854" spans="1:4" x14ac:dyDescent="0.25">
      <c r="A5854" s="1">
        <v>41649</v>
      </c>
      <c r="B5854">
        <v>1</v>
      </c>
      <c r="C5854">
        <v>4</v>
      </c>
      <c r="D5854">
        <v>14</v>
      </c>
    </row>
    <row r="5855" spans="1:4" x14ac:dyDescent="0.25">
      <c r="A5855" s="1">
        <v>41650</v>
      </c>
      <c r="B5855">
        <v>1</v>
      </c>
      <c r="C5855">
        <v>4</v>
      </c>
      <c r="D5855">
        <v>21</v>
      </c>
    </row>
    <row r="5856" spans="1:4" x14ac:dyDescent="0.25">
      <c r="A5856" s="1">
        <v>41651</v>
      </c>
      <c r="B5856">
        <v>1</v>
      </c>
      <c r="C5856">
        <v>4</v>
      </c>
      <c r="D5856">
        <v>15</v>
      </c>
    </row>
    <row r="5857" spans="1:4" x14ac:dyDescent="0.25">
      <c r="A5857" s="1">
        <v>41652</v>
      </c>
      <c r="B5857">
        <v>1</v>
      </c>
      <c r="C5857">
        <v>4</v>
      </c>
      <c r="D5857">
        <v>4</v>
      </c>
    </row>
    <row r="5858" spans="1:4" x14ac:dyDescent="0.25">
      <c r="A5858" s="1">
        <v>41653</v>
      </c>
      <c r="B5858">
        <v>1</v>
      </c>
      <c r="C5858">
        <v>4</v>
      </c>
      <c r="D5858">
        <v>9</v>
      </c>
    </row>
    <row r="5859" spans="1:4" x14ac:dyDescent="0.25">
      <c r="A5859" s="1">
        <v>41654</v>
      </c>
      <c r="B5859">
        <v>1</v>
      </c>
      <c r="C5859">
        <v>4</v>
      </c>
      <c r="D5859">
        <v>18</v>
      </c>
    </row>
    <row r="5860" spans="1:4" x14ac:dyDescent="0.25">
      <c r="A5860" s="1">
        <v>41655</v>
      </c>
      <c r="B5860">
        <v>1</v>
      </c>
      <c r="C5860">
        <v>4</v>
      </c>
      <c r="D5860">
        <v>8</v>
      </c>
    </row>
    <row r="5861" spans="1:4" x14ac:dyDescent="0.25">
      <c r="A5861" s="1">
        <v>41656</v>
      </c>
      <c r="B5861">
        <v>1</v>
      </c>
      <c r="C5861">
        <v>4</v>
      </c>
      <c r="D5861">
        <v>11</v>
      </c>
    </row>
    <row r="5862" spans="1:4" x14ac:dyDescent="0.25">
      <c r="A5862" s="1">
        <v>41657</v>
      </c>
      <c r="B5862">
        <v>1</v>
      </c>
      <c r="C5862">
        <v>4</v>
      </c>
      <c r="D5862">
        <v>15</v>
      </c>
    </row>
    <row r="5863" spans="1:4" x14ac:dyDescent="0.25">
      <c r="A5863" s="1">
        <v>41658</v>
      </c>
      <c r="B5863">
        <v>1</v>
      </c>
      <c r="C5863">
        <v>4</v>
      </c>
      <c r="D5863">
        <v>17</v>
      </c>
    </row>
    <row r="5864" spans="1:4" x14ac:dyDescent="0.25">
      <c r="A5864" s="1">
        <v>41659</v>
      </c>
      <c r="B5864">
        <v>1</v>
      </c>
      <c r="C5864">
        <v>4</v>
      </c>
      <c r="D5864">
        <v>10</v>
      </c>
    </row>
    <row r="5865" spans="1:4" x14ac:dyDescent="0.25">
      <c r="A5865" s="1">
        <v>41660</v>
      </c>
      <c r="B5865">
        <v>1</v>
      </c>
      <c r="C5865">
        <v>4</v>
      </c>
      <c r="D5865">
        <v>12</v>
      </c>
    </row>
    <row r="5866" spans="1:4" x14ac:dyDescent="0.25">
      <c r="A5866" s="1">
        <v>41661</v>
      </c>
      <c r="B5866">
        <v>1</v>
      </c>
      <c r="C5866">
        <v>4</v>
      </c>
      <c r="D5866">
        <v>10</v>
      </c>
    </row>
    <row r="5867" spans="1:4" x14ac:dyDescent="0.25">
      <c r="A5867" s="1">
        <v>41662</v>
      </c>
      <c r="B5867">
        <v>1</v>
      </c>
      <c r="C5867">
        <v>4</v>
      </c>
      <c r="D5867">
        <v>6</v>
      </c>
    </row>
    <row r="5868" spans="1:4" x14ac:dyDescent="0.25">
      <c r="A5868" s="1">
        <v>41663</v>
      </c>
      <c r="B5868">
        <v>1</v>
      </c>
      <c r="C5868">
        <v>4</v>
      </c>
      <c r="D5868">
        <v>18</v>
      </c>
    </row>
    <row r="5869" spans="1:4" x14ac:dyDescent="0.25">
      <c r="A5869" s="1">
        <v>41664</v>
      </c>
      <c r="B5869">
        <v>1</v>
      </c>
      <c r="C5869">
        <v>4</v>
      </c>
      <c r="D5869">
        <v>11</v>
      </c>
    </row>
    <row r="5870" spans="1:4" x14ac:dyDescent="0.25">
      <c r="A5870" s="1">
        <v>41665</v>
      </c>
      <c r="B5870">
        <v>1</v>
      </c>
      <c r="C5870">
        <v>4</v>
      </c>
      <c r="D5870">
        <v>15</v>
      </c>
    </row>
    <row r="5871" spans="1:4" x14ac:dyDescent="0.25">
      <c r="A5871" s="1">
        <v>41666</v>
      </c>
      <c r="B5871">
        <v>1</v>
      </c>
      <c r="C5871">
        <v>4</v>
      </c>
      <c r="D5871">
        <v>11</v>
      </c>
    </row>
    <row r="5872" spans="1:4" x14ac:dyDescent="0.25">
      <c r="A5872" s="1">
        <v>41667</v>
      </c>
      <c r="B5872">
        <v>1</v>
      </c>
      <c r="C5872">
        <v>4</v>
      </c>
      <c r="D5872">
        <v>7</v>
      </c>
    </row>
    <row r="5873" spans="1:4" x14ac:dyDescent="0.25">
      <c r="A5873" s="1">
        <v>41668</v>
      </c>
      <c r="B5873">
        <v>1</v>
      </c>
      <c r="C5873">
        <v>4</v>
      </c>
      <c r="D5873">
        <v>7</v>
      </c>
    </row>
    <row r="5874" spans="1:4" x14ac:dyDescent="0.25">
      <c r="A5874" s="1">
        <v>41669</v>
      </c>
      <c r="B5874">
        <v>1</v>
      </c>
      <c r="C5874">
        <v>4</v>
      </c>
      <c r="D5874">
        <v>17</v>
      </c>
    </row>
    <row r="5875" spans="1:4" x14ac:dyDescent="0.25">
      <c r="A5875" s="1">
        <v>41670</v>
      </c>
      <c r="B5875">
        <v>1</v>
      </c>
      <c r="C5875">
        <v>4</v>
      </c>
      <c r="D5875">
        <v>10</v>
      </c>
    </row>
    <row r="5876" spans="1:4" x14ac:dyDescent="0.25">
      <c r="A5876" s="1">
        <v>41671</v>
      </c>
      <c r="B5876">
        <v>1</v>
      </c>
      <c r="C5876">
        <v>4</v>
      </c>
      <c r="D5876">
        <v>24</v>
      </c>
    </row>
    <row r="5877" spans="1:4" x14ac:dyDescent="0.25">
      <c r="A5877" s="1">
        <v>41672</v>
      </c>
      <c r="B5877">
        <v>1</v>
      </c>
      <c r="C5877">
        <v>4</v>
      </c>
      <c r="D5877">
        <v>15</v>
      </c>
    </row>
    <row r="5878" spans="1:4" x14ac:dyDescent="0.25">
      <c r="A5878" s="1">
        <v>41673</v>
      </c>
      <c r="B5878">
        <v>1</v>
      </c>
      <c r="C5878">
        <v>4</v>
      </c>
      <c r="D5878">
        <v>13</v>
      </c>
    </row>
    <row r="5879" spans="1:4" x14ac:dyDescent="0.25">
      <c r="A5879" s="1">
        <v>41674</v>
      </c>
      <c r="B5879">
        <v>1</v>
      </c>
      <c r="C5879">
        <v>4</v>
      </c>
      <c r="D5879">
        <v>19</v>
      </c>
    </row>
    <row r="5880" spans="1:4" x14ac:dyDescent="0.25">
      <c r="A5880" s="1">
        <v>41675</v>
      </c>
      <c r="B5880">
        <v>1</v>
      </c>
      <c r="C5880">
        <v>4</v>
      </c>
      <c r="D5880">
        <v>14</v>
      </c>
    </row>
    <row r="5881" spans="1:4" x14ac:dyDescent="0.25">
      <c r="A5881" s="1">
        <v>41676</v>
      </c>
      <c r="B5881">
        <v>1</v>
      </c>
      <c r="C5881">
        <v>4</v>
      </c>
      <c r="D5881">
        <v>12</v>
      </c>
    </row>
    <row r="5882" spans="1:4" x14ac:dyDescent="0.25">
      <c r="A5882" s="1">
        <v>41677</v>
      </c>
      <c r="B5882">
        <v>1</v>
      </c>
      <c r="C5882">
        <v>4</v>
      </c>
      <c r="D5882">
        <v>15</v>
      </c>
    </row>
    <row r="5883" spans="1:4" x14ac:dyDescent="0.25">
      <c r="A5883" s="1">
        <v>41678</v>
      </c>
      <c r="B5883">
        <v>1</v>
      </c>
      <c r="C5883">
        <v>4</v>
      </c>
      <c r="D5883">
        <v>13</v>
      </c>
    </row>
    <row r="5884" spans="1:4" x14ac:dyDescent="0.25">
      <c r="A5884" s="1">
        <v>41679</v>
      </c>
      <c r="B5884">
        <v>1</v>
      </c>
      <c r="C5884">
        <v>4</v>
      </c>
      <c r="D5884">
        <v>19</v>
      </c>
    </row>
    <row r="5885" spans="1:4" x14ac:dyDescent="0.25">
      <c r="A5885" s="1">
        <v>41680</v>
      </c>
      <c r="B5885">
        <v>1</v>
      </c>
      <c r="C5885">
        <v>4</v>
      </c>
      <c r="D5885">
        <v>8</v>
      </c>
    </row>
    <row r="5886" spans="1:4" x14ac:dyDescent="0.25">
      <c r="A5886" s="1">
        <v>41681</v>
      </c>
      <c r="B5886">
        <v>1</v>
      </c>
      <c r="C5886">
        <v>4</v>
      </c>
      <c r="D5886">
        <v>13</v>
      </c>
    </row>
    <row r="5887" spans="1:4" x14ac:dyDescent="0.25">
      <c r="A5887" s="1">
        <v>41682</v>
      </c>
      <c r="B5887">
        <v>1</v>
      </c>
      <c r="C5887">
        <v>4</v>
      </c>
      <c r="D5887">
        <v>6</v>
      </c>
    </row>
    <row r="5888" spans="1:4" x14ac:dyDescent="0.25">
      <c r="A5888" s="1">
        <v>41683</v>
      </c>
      <c r="B5888">
        <v>1</v>
      </c>
      <c r="C5888">
        <v>4</v>
      </c>
      <c r="D5888">
        <v>17</v>
      </c>
    </row>
    <row r="5889" spans="1:4" x14ac:dyDescent="0.25">
      <c r="A5889" s="1">
        <v>41684</v>
      </c>
      <c r="B5889">
        <v>1</v>
      </c>
      <c r="C5889">
        <v>4</v>
      </c>
      <c r="D5889">
        <v>24</v>
      </c>
    </row>
    <row r="5890" spans="1:4" x14ac:dyDescent="0.25">
      <c r="A5890" s="1">
        <v>41685</v>
      </c>
      <c r="B5890">
        <v>1</v>
      </c>
      <c r="C5890">
        <v>4</v>
      </c>
      <c r="D5890">
        <v>19</v>
      </c>
    </row>
    <row r="5891" spans="1:4" x14ac:dyDescent="0.25">
      <c r="A5891" s="1">
        <v>41686</v>
      </c>
      <c r="B5891">
        <v>1</v>
      </c>
      <c r="C5891">
        <v>4</v>
      </c>
      <c r="D5891">
        <v>20</v>
      </c>
    </row>
    <row r="5892" spans="1:4" x14ac:dyDescent="0.25">
      <c r="A5892" s="1">
        <v>41687</v>
      </c>
      <c r="B5892">
        <v>1</v>
      </c>
      <c r="C5892">
        <v>4</v>
      </c>
      <c r="D5892">
        <v>14</v>
      </c>
    </row>
    <row r="5893" spans="1:4" x14ac:dyDescent="0.25">
      <c r="A5893" s="1">
        <v>41688</v>
      </c>
      <c r="B5893">
        <v>1</v>
      </c>
      <c r="C5893">
        <v>4</v>
      </c>
      <c r="D5893">
        <v>18</v>
      </c>
    </row>
    <row r="5894" spans="1:4" x14ac:dyDescent="0.25">
      <c r="A5894" s="1">
        <v>41689</v>
      </c>
      <c r="B5894">
        <v>1</v>
      </c>
      <c r="C5894">
        <v>4</v>
      </c>
      <c r="D5894">
        <v>14</v>
      </c>
    </row>
    <row r="5895" spans="1:4" x14ac:dyDescent="0.25">
      <c r="A5895" s="1">
        <v>41690</v>
      </c>
      <c r="B5895">
        <v>1</v>
      </c>
      <c r="C5895">
        <v>4</v>
      </c>
      <c r="D5895">
        <v>17</v>
      </c>
    </row>
    <row r="5896" spans="1:4" x14ac:dyDescent="0.25">
      <c r="A5896" s="1">
        <v>41691</v>
      </c>
      <c r="B5896">
        <v>1</v>
      </c>
      <c r="C5896">
        <v>4</v>
      </c>
      <c r="D5896">
        <v>15</v>
      </c>
    </row>
    <row r="5897" spans="1:4" x14ac:dyDescent="0.25">
      <c r="A5897" s="1">
        <v>41692</v>
      </c>
      <c r="B5897">
        <v>1</v>
      </c>
      <c r="C5897">
        <v>4</v>
      </c>
      <c r="D5897">
        <v>15</v>
      </c>
    </row>
    <row r="5898" spans="1:4" x14ac:dyDescent="0.25">
      <c r="A5898" s="1">
        <v>41693</v>
      </c>
      <c r="B5898">
        <v>1</v>
      </c>
      <c r="C5898">
        <v>4</v>
      </c>
      <c r="D5898">
        <v>19</v>
      </c>
    </row>
    <row r="5899" spans="1:4" x14ac:dyDescent="0.25">
      <c r="A5899" s="1">
        <v>41694</v>
      </c>
      <c r="B5899">
        <v>1</v>
      </c>
      <c r="C5899">
        <v>4</v>
      </c>
      <c r="D5899">
        <v>16</v>
      </c>
    </row>
    <row r="5900" spans="1:4" x14ac:dyDescent="0.25">
      <c r="A5900" s="1">
        <v>41695</v>
      </c>
      <c r="B5900">
        <v>1</v>
      </c>
      <c r="C5900">
        <v>4</v>
      </c>
      <c r="D5900">
        <v>9</v>
      </c>
    </row>
    <row r="5901" spans="1:4" x14ac:dyDescent="0.25">
      <c r="A5901" s="1">
        <v>41696</v>
      </c>
      <c r="B5901">
        <v>1</v>
      </c>
      <c r="C5901">
        <v>4</v>
      </c>
      <c r="D5901">
        <v>10</v>
      </c>
    </row>
    <row r="5902" spans="1:4" x14ac:dyDescent="0.25">
      <c r="A5902" s="1">
        <v>41697</v>
      </c>
      <c r="B5902">
        <v>1</v>
      </c>
      <c r="C5902">
        <v>4</v>
      </c>
      <c r="D5902">
        <v>9</v>
      </c>
    </row>
    <row r="5903" spans="1:4" x14ac:dyDescent="0.25">
      <c r="A5903" s="1">
        <v>41698</v>
      </c>
      <c r="B5903">
        <v>1</v>
      </c>
      <c r="C5903">
        <v>4</v>
      </c>
      <c r="D5903">
        <v>8</v>
      </c>
    </row>
    <row r="5904" spans="1:4" x14ac:dyDescent="0.25">
      <c r="A5904" s="1">
        <v>41699</v>
      </c>
      <c r="B5904">
        <v>1</v>
      </c>
      <c r="C5904">
        <v>4</v>
      </c>
      <c r="D5904">
        <v>19</v>
      </c>
    </row>
    <row r="5905" spans="1:4" x14ac:dyDescent="0.25">
      <c r="A5905" s="1">
        <v>41700</v>
      </c>
      <c r="B5905">
        <v>1</v>
      </c>
      <c r="C5905">
        <v>4</v>
      </c>
      <c r="D5905">
        <v>22</v>
      </c>
    </row>
    <row r="5906" spans="1:4" x14ac:dyDescent="0.25">
      <c r="A5906" s="1">
        <v>41701</v>
      </c>
      <c r="B5906">
        <v>1</v>
      </c>
      <c r="C5906">
        <v>4</v>
      </c>
      <c r="D5906">
        <v>14</v>
      </c>
    </row>
    <row r="5907" spans="1:4" x14ac:dyDescent="0.25">
      <c r="A5907" s="1">
        <v>41702</v>
      </c>
      <c r="B5907">
        <v>1</v>
      </c>
      <c r="C5907">
        <v>4</v>
      </c>
      <c r="D5907">
        <v>19</v>
      </c>
    </row>
    <row r="5908" spans="1:4" x14ac:dyDescent="0.25">
      <c r="A5908" s="1">
        <v>41703</v>
      </c>
      <c r="B5908">
        <v>1</v>
      </c>
      <c r="C5908">
        <v>4</v>
      </c>
      <c r="D5908">
        <v>15</v>
      </c>
    </row>
    <row r="5909" spans="1:4" x14ac:dyDescent="0.25">
      <c r="A5909" s="1">
        <v>41704</v>
      </c>
      <c r="B5909">
        <v>1</v>
      </c>
      <c r="C5909">
        <v>4</v>
      </c>
      <c r="D5909">
        <v>14</v>
      </c>
    </row>
    <row r="5910" spans="1:4" x14ac:dyDescent="0.25">
      <c r="A5910" s="1">
        <v>41705</v>
      </c>
      <c r="B5910">
        <v>1</v>
      </c>
      <c r="C5910">
        <v>4</v>
      </c>
      <c r="D5910">
        <v>15</v>
      </c>
    </row>
    <row r="5911" spans="1:4" x14ac:dyDescent="0.25">
      <c r="A5911" s="1">
        <v>41706</v>
      </c>
      <c r="B5911">
        <v>1</v>
      </c>
      <c r="C5911">
        <v>4</v>
      </c>
      <c r="D5911">
        <v>15</v>
      </c>
    </row>
    <row r="5912" spans="1:4" x14ac:dyDescent="0.25">
      <c r="A5912" s="1">
        <v>41707</v>
      </c>
      <c r="B5912">
        <v>1</v>
      </c>
      <c r="C5912">
        <v>4</v>
      </c>
      <c r="D5912">
        <v>14</v>
      </c>
    </row>
    <row r="5913" spans="1:4" x14ac:dyDescent="0.25">
      <c r="A5913" s="1">
        <v>41708</v>
      </c>
      <c r="B5913">
        <v>1</v>
      </c>
      <c r="C5913">
        <v>4</v>
      </c>
      <c r="D5913">
        <v>15</v>
      </c>
    </row>
    <row r="5914" spans="1:4" x14ac:dyDescent="0.25">
      <c r="A5914" s="1">
        <v>41709</v>
      </c>
      <c r="B5914">
        <v>1</v>
      </c>
      <c r="C5914">
        <v>4</v>
      </c>
      <c r="D5914">
        <v>16</v>
      </c>
    </row>
    <row r="5915" spans="1:4" x14ac:dyDescent="0.25">
      <c r="A5915" s="1">
        <v>41710</v>
      </c>
      <c r="B5915">
        <v>1</v>
      </c>
      <c r="C5915">
        <v>4</v>
      </c>
      <c r="D5915">
        <v>16</v>
      </c>
    </row>
    <row r="5916" spans="1:4" x14ac:dyDescent="0.25">
      <c r="A5916" s="1">
        <v>41711</v>
      </c>
      <c r="B5916">
        <v>1</v>
      </c>
      <c r="C5916">
        <v>4</v>
      </c>
      <c r="D5916">
        <v>20</v>
      </c>
    </row>
    <row r="5917" spans="1:4" x14ac:dyDescent="0.25">
      <c r="A5917" s="1">
        <v>41712</v>
      </c>
      <c r="B5917">
        <v>1</v>
      </c>
      <c r="C5917">
        <v>4</v>
      </c>
      <c r="D5917">
        <v>15</v>
      </c>
    </row>
    <row r="5918" spans="1:4" x14ac:dyDescent="0.25">
      <c r="A5918" s="1">
        <v>41713</v>
      </c>
      <c r="B5918">
        <v>1</v>
      </c>
      <c r="C5918">
        <v>4</v>
      </c>
      <c r="D5918">
        <v>27</v>
      </c>
    </row>
    <row r="5919" spans="1:4" x14ac:dyDescent="0.25">
      <c r="A5919" s="1">
        <v>41714</v>
      </c>
      <c r="B5919">
        <v>1</v>
      </c>
      <c r="C5919">
        <v>4</v>
      </c>
      <c r="D5919">
        <v>13</v>
      </c>
    </row>
    <row r="5920" spans="1:4" x14ac:dyDescent="0.25">
      <c r="A5920" s="1">
        <v>41715</v>
      </c>
      <c r="B5920">
        <v>1</v>
      </c>
      <c r="C5920">
        <v>4</v>
      </c>
      <c r="D5920">
        <v>20</v>
      </c>
    </row>
    <row r="5921" spans="1:4" x14ac:dyDescent="0.25">
      <c r="A5921" s="1">
        <v>41716</v>
      </c>
      <c r="B5921">
        <v>1</v>
      </c>
      <c r="C5921">
        <v>4</v>
      </c>
      <c r="D5921">
        <v>9</v>
      </c>
    </row>
    <row r="5922" spans="1:4" x14ac:dyDescent="0.25">
      <c r="A5922" s="1">
        <v>41717</v>
      </c>
      <c r="B5922">
        <v>1</v>
      </c>
      <c r="C5922">
        <v>4</v>
      </c>
      <c r="D5922">
        <v>20</v>
      </c>
    </row>
    <row r="5923" spans="1:4" x14ac:dyDescent="0.25">
      <c r="A5923" s="1">
        <v>41718</v>
      </c>
      <c r="B5923">
        <v>1</v>
      </c>
      <c r="C5923">
        <v>4</v>
      </c>
      <c r="D5923">
        <v>20</v>
      </c>
    </row>
    <row r="5924" spans="1:4" x14ac:dyDescent="0.25">
      <c r="A5924" s="1">
        <v>41719</v>
      </c>
      <c r="B5924">
        <v>1</v>
      </c>
      <c r="C5924">
        <v>4</v>
      </c>
      <c r="D5924">
        <v>20</v>
      </c>
    </row>
    <row r="5925" spans="1:4" x14ac:dyDescent="0.25">
      <c r="A5925" s="1">
        <v>41720</v>
      </c>
      <c r="B5925">
        <v>1</v>
      </c>
      <c r="C5925">
        <v>4</v>
      </c>
      <c r="D5925">
        <v>15</v>
      </c>
    </row>
    <row r="5926" spans="1:4" x14ac:dyDescent="0.25">
      <c r="A5926" s="1">
        <v>41721</v>
      </c>
      <c r="B5926">
        <v>1</v>
      </c>
      <c r="C5926">
        <v>4</v>
      </c>
      <c r="D5926">
        <v>16</v>
      </c>
    </row>
    <row r="5927" spans="1:4" x14ac:dyDescent="0.25">
      <c r="A5927" s="1">
        <v>41722</v>
      </c>
      <c r="B5927">
        <v>1</v>
      </c>
      <c r="C5927">
        <v>4</v>
      </c>
      <c r="D5927">
        <v>18</v>
      </c>
    </row>
    <row r="5928" spans="1:4" x14ac:dyDescent="0.25">
      <c r="A5928" s="1">
        <v>41723</v>
      </c>
      <c r="B5928">
        <v>1</v>
      </c>
      <c r="C5928">
        <v>4</v>
      </c>
      <c r="D5928">
        <v>13</v>
      </c>
    </row>
    <row r="5929" spans="1:4" x14ac:dyDescent="0.25">
      <c r="A5929" s="1">
        <v>41724</v>
      </c>
      <c r="B5929">
        <v>1</v>
      </c>
      <c r="C5929">
        <v>4</v>
      </c>
      <c r="D5929">
        <v>18</v>
      </c>
    </row>
    <row r="5930" spans="1:4" x14ac:dyDescent="0.25">
      <c r="A5930" s="1">
        <v>41725</v>
      </c>
      <c r="B5930">
        <v>1</v>
      </c>
      <c r="C5930">
        <v>4</v>
      </c>
      <c r="D5930">
        <v>20</v>
      </c>
    </row>
    <row r="5931" spans="1:4" x14ac:dyDescent="0.25">
      <c r="A5931" s="1">
        <v>41726</v>
      </c>
      <c r="B5931">
        <v>1</v>
      </c>
      <c r="C5931">
        <v>4</v>
      </c>
      <c r="D5931">
        <v>19</v>
      </c>
    </row>
    <row r="5932" spans="1:4" x14ac:dyDescent="0.25">
      <c r="A5932" s="1">
        <v>41727</v>
      </c>
      <c r="B5932">
        <v>1</v>
      </c>
      <c r="C5932">
        <v>4</v>
      </c>
      <c r="D5932">
        <v>22</v>
      </c>
    </row>
    <row r="5933" spans="1:4" x14ac:dyDescent="0.25">
      <c r="A5933" s="1">
        <v>41728</v>
      </c>
      <c r="B5933">
        <v>1</v>
      </c>
      <c r="C5933">
        <v>4</v>
      </c>
      <c r="D5933">
        <v>18</v>
      </c>
    </row>
    <row r="5934" spans="1:4" x14ac:dyDescent="0.25">
      <c r="A5934" s="1">
        <v>41729</v>
      </c>
      <c r="B5934">
        <v>1</v>
      </c>
      <c r="C5934">
        <v>4</v>
      </c>
      <c r="D5934">
        <v>7</v>
      </c>
    </row>
    <row r="5935" spans="1:4" x14ac:dyDescent="0.25">
      <c r="A5935" s="1">
        <v>41730</v>
      </c>
      <c r="B5935">
        <v>1</v>
      </c>
      <c r="C5935">
        <v>4</v>
      </c>
      <c r="D5935">
        <v>22</v>
      </c>
    </row>
    <row r="5936" spans="1:4" x14ac:dyDescent="0.25">
      <c r="A5936" s="1">
        <v>41731</v>
      </c>
      <c r="B5936">
        <v>1</v>
      </c>
      <c r="C5936">
        <v>4</v>
      </c>
      <c r="D5936">
        <v>24</v>
      </c>
    </row>
    <row r="5937" spans="1:4" x14ac:dyDescent="0.25">
      <c r="A5937" s="1">
        <v>41732</v>
      </c>
      <c r="B5937">
        <v>1</v>
      </c>
      <c r="C5937">
        <v>4</v>
      </c>
      <c r="D5937">
        <v>22</v>
      </c>
    </row>
    <row r="5938" spans="1:4" x14ac:dyDescent="0.25">
      <c r="A5938" s="1">
        <v>41733</v>
      </c>
      <c r="B5938">
        <v>1</v>
      </c>
      <c r="C5938">
        <v>4</v>
      </c>
      <c r="D5938">
        <v>24</v>
      </c>
    </row>
    <row r="5939" spans="1:4" x14ac:dyDescent="0.25">
      <c r="A5939" s="1">
        <v>41734</v>
      </c>
      <c r="B5939">
        <v>1</v>
      </c>
      <c r="C5939">
        <v>4</v>
      </c>
      <c r="D5939">
        <v>38</v>
      </c>
    </row>
    <row r="5940" spans="1:4" x14ac:dyDescent="0.25">
      <c r="A5940" s="1">
        <v>41735</v>
      </c>
      <c r="B5940">
        <v>1</v>
      </c>
      <c r="C5940">
        <v>4</v>
      </c>
      <c r="D5940">
        <v>23</v>
      </c>
    </row>
    <row r="5941" spans="1:4" x14ac:dyDescent="0.25">
      <c r="A5941" s="1">
        <v>41736</v>
      </c>
      <c r="B5941">
        <v>1</v>
      </c>
      <c r="C5941">
        <v>4</v>
      </c>
      <c r="D5941">
        <v>20</v>
      </c>
    </row>
    <row r="5942" spans="1:4" x14ac:dyDescent="0.25">
      <c r="A5942" s="1">
        <v>41737</v>
      </c>
      <c r="B5942">
        <v>1</v>
      </c>
      <c r="C5942">
        <v>4</v>
      </c>
      <c r="D5942">
        <v>12</v>
      </c>
    </row>
    <row r="5943" spans="1:4" x14ac:dyDescent="0.25">
      <c r="A5943" s="1">
        <v>41738</v>
      </c>
      <c r="B5943">
        <v>1</v>
      </c>
      <c r="C5943">
        <v>4</v>
      </c>
      <c r="D5943">
        <v>23</v>
      </c>
    </row>
    <row r="5944" spans="1:4" x14ac:dyDescent="0.25">
      <c r="A5944" s="1">
        <v>41739</v>
      </c>
      <c r="B5944">
        <v>1</v>
      </c>
      <c r="C5944">
        <v>4</v>
      </c>
      <c r="D5944">
        <v>18</v>
      </c>
    </row>
    <row r="5945" spans="1:4" x14ac:dyDescent="0.25">
      <c r="A5945" s="1">
        <v>41740</v>
      </c>
      <c r="B5945">
        <v>1</v>
      </c>
      <c r="C5945">
        <v>4</v>
      </c>
      <c r="D5945">
        <v>32</v>
      </c>
    </row>
    <row r="5946" spans="1:4" x14ac:dyDescent="0.25">
      <c r="A5946" s="1">
        <v>41741</v>
      </c>
      <c r="B5946">
        <v>1</v>
      </c>
      <c r="C5946">
        <v>4</v>
      </c>
      <c r="D5946">
        <v>17</v>
      </c>
    </row>
    <row r="5947" spans="1:4" x14ac:dyDescent="0.25">
      <c r="A5947" s="1">
        <v>41742</v>
      </c>
      <c r="B5947">
        <v>1</v>
      </c>
      <c r="C5947">
        <v>4</v>
      </c>
      <c r="D5947">
        <v>26</v>
      </c>
    </row>
    <row r="5948" spans="1:4" x14ac:dyDescent="0.25">
      <c r="A5948" s="1">
        <v>41743</v>
      </c>
      <c r="B5948">
        <v>1</v>
      </c>
      <c r="C5948">
        <v>4</v>
      </c>
      <c r="D5948">
        <v>8</v>
      </c>
    </row>
    <row r="5949" spans="1:4" x14ac:dyDescent="0.25">
      <c r="A5949" s="1">
        <v>41744</v>
      </c>
      <c r="B5949">
        <v>1</v>
      </c>
      <c r="C5949">
        <v>4</v>
      </c>
      <c r="D5949">
        <v>11</v>
      </c>
    </row>
    <row r="5950" spans="1:4" x14ac:dyDescent="0.25">
      <c r="A5950" s="1">
        <v>41745</v>
      </c>
      <c r="B5950">
        <v>1</v>
      </c>
      <c r="C5950">
        <v>4</v>
      </c>
      <c r="D5950">
        <v>25</v>
      </c>
    </row>
    <row r="5951" spans="1:4" x14ac:dyDescent="0.25">
      <c r="A5951" s="1">
        <v>41746</v>
      </c>
      <c r="B5951">
        <v>1</v>
      </c>
      <c r="C5951">
        <v>4</v>
      </c>
      <c r="D5951">
        <v>20</v>
      </c>
    </row>
    <row r="5952" spans="1:4" x14ac:dyDescent="0.25">
      <c r="A5952" s="1">
        <v>41747</v>
      </c>
      <c r="B5952">
        <v>1</v>
      </c>
      <c r="C5952">
        <v>4</v>
      </c>
      <c r="D5952">
        <v>17</v>
      </c>
    </row>
    <row r="5953" spans="1:4" x14ac:dyDescent="0.25">
      <c r="A5953" s="1">
        <v>41748</v>
      </c>
      <c r="B5953">
        <v>1</v>
      </c>
      <c r="C5953">
        <v>4</v>
      </c>
      <c r="D5953">
        <v>27</v>
      </c>
    </row>
    <row r="5954" spans="1:4" x14ac:dyDescent="0.25">
      <c r="A5954" s="1">
        <v>41749</v>
      </c>
      <c r="B5954">
        <v>1</v>
      </c>
      <c r="C5954">
        <v>4</v>
      </c>
      <c r="D5954">
        <v>29</v>
      </c>
    </row>
    <row r="5955" spans="1:4" x14ac:dyDescent="0.25">
      <c r="A5955" s="1">
        <v>41750</v>
      </c>
      <c r="B5955">
        <v>1</v>
      </c>
      <c r="C5955">
        <v>4</v>
      </c>
      <c r="D5955">
        <v>13</v>
      </c>
    </row>
    <row r="5956" spans="1:4" x14ac:dyDescent="0.25">
      <c r="A5956" s="1">
        <v>41751</v>
      </c>
      <c r="B5956">
        <v>1</v>
      </c>
      <c r="C5956">
        <v>4</v>
      </c>
      <c r="D5956">
        <v>23</v>
      </c>
    </row>
    <row r="5957" spans="1:4" x14ac:dyDescent="0.25">
      <c r="A5957" s="1">
        <v>41752</v>
      </c>
      <c r="B5957">
        <v>1</v>
      </c>
      <c r="C5957">
        <v>4</v>
      </c>
      <c r="D5957">
        <v>18</v>
      </c>
    </row>
    <row r="5958" spans="1:4" x14ac:dyDescent="0.25">
      <c r="A5958" s="1">
        <v>41753</v>
      </c>
      <c r="B5958">
        <v>1</v>
      </c>
      <c r="C5958">
        <v>4</v>
      </c>
      <c r="D5958">
        <v>14</v>
      </c>
    </row>
    <row r="5959" spans="1:4" x14ac:dyDescent="0.25">
      <c r="A5959" s="1">
        <v>41754</v>
      </c>
      <c r="B5959">
        <v>1</v>
      </c>
      <c r="C5959">
        <v>4</v>
      </c>
      <c r="D5959">
        <v>21</v>
      </c>
    </row>
    <row r="5960" spans="1:4" x14ac:dyDescent="0.25">
      <c r="A5960" s="1">
        <v>41755</v>
      </c>
      <c r="B5960">
        <v>1</v>
      </c>
      <c r="C5960">
        <v>4</v>
      </c>
      <c r="D5960">
        <v>26</v>
      </c>
    </row>
    <row r="5961" spans="1:4" x14ac:dyDescent="0.25">
      <c r="A5961" s="1">
        <v>41756</v>
      </c>
      <c r="B5961">
        <v>1</v>
      </c>
      <c r="C5961">
        <v>4</v>
      </c>
      <c r="D5961">
        <v>23</v>
      </c>
    </row>
    <row r="5962" spans="1:4" x14ac:dyDescent="0.25">
      <c r="A5962" s="1">
        <v>41757</v>
      </c>
      <c r="B5962">
        <v>1</v>
      </c>
      <c r="C5962">
        <v>4</v>
      </c>
      <c r="D5962">
        <v>21</v>
      </c>
    </row>
    <row r="5963" spans="1:4" x14ac:dyDescent="0.25">
      <c r="A5963" s="1">
        <v>41758</v>
      </c>
      <c r="B5963">
        <v>1</v>
      </c>
      <c r="C5963">
        <v>4</v>
      </c>
      <c r="D5963">
        <v>14</v>
      </c>
    </row>
    <row r="5964" spans="1:4" x14ac:dyDescent="0.25">
      <c r="A5964" s="1">
        <v>41759</v>
      </c>
      <c r="B5964">
        <v>1</v>
      </c>
      <c r="C5964">
        <v>4</v>
      </c>
      <c r="D5964">
        <v>20</v>
      </c>
    </row>
    <row r="5965" spans="1:4" x14ac:dyDescent="0.25">
      <c r="A5965" s="1">
        <v>41760</v>
      </c>
      <c r="B5965">
        <v>1</v>
      </c>
      <c r="C5965">
        <v>4</v>
      </c>
      <c r="D5965">
        <v>21</v>
      </c>
    </row>
    <row r="5966" spans="1:4" x14ac:dyDescent="0.25">
      <c r="A5966" s="1">
        <v>41761</v>
      </c>
      <c r="B5966">
        <v>1</v>
      </c>
      <c r="C5966">
        <v>4</v>
      </c>
      <c r="D5966">
        <v>20</v>
      </c>
    </row>
    <row r="5967" spans="1:4" x14ac:dyDescent="0.25">
      <c r="A5967" s="1">
        <v>41762</v>
      </c>
      <c r="B5967">
        <v>1</v>
      </c>
      <c r="C5967">
        <v>4</v>
      </c>
      <c r="D5967">
        <v>35</v>
      </c>
    </row>
    <row r="5968" spans="1:4" x14ac:dyDescent="0.25">
      <c r="A5968" s="1">
        <v>41763</v>
      </c>
      <c r="B5968">
        <v>1</v>
      </c>
      <c r="C5968">
        <v>4</v>
      </c>
      <c r="D5968">
        <v>22</v>
      </c>
    </row>
    <row r="5969" spans="1:4" x14ac:dyDescent="0.25">
      <c r="A5969" s="1">
        <v>41764</v>
      </c>
      <c r="B5969">
        <v>1</v>
      </c>
      <c r="C5969">
        <v>4</v>
      </c>
      <c r="D5969">
        <v>14</v>
      </c>
    </row>
    <row r="5970" spans="1:4" x14ac:dyDescent="0.25">
      <c r="A5970" s="1">
        <v>41765</v>
      </c>
      <c r="B5970">
        <v>1</v>
      </c>
      <c r="C5970">
        <v>4</v>
      </c>
      <c r="D5970">
        <v>16</v>
      </c>
    </row>
    <row r="5971" spans="1:4" x14ac:dyDescent="0.25">
      <c r="A5971" s="1">
        <v>41766</v>
      </c>
      <c r="B5971">
        <v>1</v>
      </c>
      <c r="C5971">
        <v>4</v>
      </c>
      <c r="D5971">
        <v>18</v>
      </c>
    </row>
    <row r="5972" spans="1:4" x14ac:dyDescent="0.25">
      <c r="A5972" s="1">
        <v>41767</v>
      </c>
      <c r="B5972">
        <v>1</v>
      </c>
      <c r="C5972">
        <v>4</v>
      </c>
      <c r="D5972">
        <v>32</v>
      </c>
    </row>
    <row r="5973" spans="1:4" x14ac:dyDescent="0.25">
      <c r="A5973" s="1">
        <v>41768</v>
      </c>
      <c r="B5973">
        <v>1</v>
      </c>
      <c r="C5973">
        <v>4</v>
      </c>
      <c r="D5973">
        <v>20</v>
      </c>
    </row>
    <row r="5974" spans="1:4" x14ac:dyDescent="0.25">
      <c r="A5974" s="1">
        <v>41769</v>
      </c>
      <c r="B5974">
        <v>1</v>
      </c>
      <c r="C5974">
        <v>4</v>
      </c>
      <c r="D5974">
        <v>14</v>
      </c>
    </row>
    <row r="5975" spans="1:4" x14ac:dyDescent="0.25">
      <c r="A5975" s="1">
        <v>41770</v>
      </c>
      <c r="B5975">
        <v>1</v>
      </c>
      <c r="C5975">
        <v>4</v>
      </c>
      <c r="D5975">
        <v>21</v>
      </c>
    </row>
    <row r="5976" spans="1:4" x14ac:dyDescent="0.25">
      <c r="A5976" s="1">
        <v>41771</v>
      </c>
      <c r="B5976">
        <v>1</v>
      </c>
      <c r="C5976">
        <v>4</v>
      </c>
      <c r="D5976">
        <v>17</v>
      </c>
    </row>
    <row r="5977" spans="1:4" x14ac:dyDescent="0.25">
      <c r="A5977" s="1">
        <v>41772</v>
      </c>
      <c r="B5977">
        <v>1</v>
      </c>
      <c r="C5977">
        <v>4</v>
      </c>
      <c r="D5977">
        <v>20</v>
      </c>
    </row>
    <row r="5978" spans="1:4" x14ac:dyDescent="0.25">
      <c r="A5978" s="1">
        <v>41773</v>
      </c>
      <c r="B5978">
        <v>1</v>
      </c>
      <c r="C5978">
        <v>4</v>
      </c>
      <c r="D5978">
        <v>18</v>
      </c>
    </row>
    <row r="5979" spans="1:4" x14ac:dyDescent="0.25">
      <c r="A5979" s="1">
        <v>41774</v>
      </c>
      <c r="B5979">
        <v>1</v>
      </c>
      <c r="C5979">
        <v>4</v>
      </c>
      <c r="D5979">
        <v>22</v>
      </c>
    </row>
    <row r="5980" spans="1:4" x14ac:dyDescent="0.25">
      <c r="A5980" s="1">
        <v>41775</v>
      </c>
      <c r="B5980">
        <v>1</v>
      </c>
      <c r="C5980">
        <v>4</v>
      </c>
      <c r="D5980">
        <v>20</v>
      </c>
    </row>
    <row r="5981" spans="1:4" x14ac:dyDescent="0.25">
      <c r="A5981" s="1">
        <v>41776</v>
      </c>
      <c r="B5981">
        <v>1</v>
      </c>
      <c r="C5981">
        <v>4</v>
      </c>
      <c r="D5981">
        <v>21</v>
      </c>
    </row>
    <row r="5982" spans="1:4" x14ac:dyDescent="0.25">
      <c r="A5982" s="1">
        <v>41777</v>
      </c>
      <c r="B5982">
        <v>1</v>
      </c>
      <c r="C5982">
        <v>4</v>
      </c>
      <c r="D5982">
        <v>29</v>
      </c>
    </row>
    <row r="5983" spans="1:4" x14ac:dyDescent="0.25">
      <c r="A5983" s="1">
        <v>41778</v>
      </c>
      <c r="B5983">
        <v>1</v>
      </c>
      <c r="C5983">
        <v>4</v>
      </c>
      <c r="D5983">
        <v>14</v>
      </c>
    </row>
    <row r="5984" spans="1:4" x14ac:dyDescent="0.25">
      <c r="A5984" s="1">
        <v>41779</v>
      </c>
      <c r="B5984">
        <v>1</v>
      </c>
      <c r="C5984">
        <v>4</v>
      </c>
      <c r="D5984">
        <v>14</v>
      </c>
    </row>
    <row r="5985" spans="1:4" x14ac:dyDescent="0.25">
      <c r="A5985" s="1">
        <v>41780</v>
      </c>
      <c r="B5985">
        <v>1</v>
      </c>
      <c r="C5985">
        <v>4</v>
      </c>
      <c r="D5985">
        <v>14</v>
      </c>
    </row>
    <row r="5986" spans="1:4" x14ac:dyDescent="0.25">
      <c r="A5986" s="1">
        <v>41781</v>
      </c>
      <c r="B5986">
        <v>1</v>
      </c>
      <c r="C5986">
        <v>4</v>
      </c>
      <c r="D5986">
        <v>16</v>
      </c>
    </row>
    <row r="5987" spans="1:4" x14ac:dyDescent="0.25">
      <c r="A5987" s="1">
        <v>41782</v>
      </c>
      <c r="B5987">
        <v>1</v>
      </c>
      <c r="C5987">
        <v>4</v>
      </c>
      <c r="D5987">
        <v>27</v>
      </c>
    </row>
    <row r="5988" spans="1:4" x14ac:dyDescent="0.25">
      <c r="A5988" s="1">
        <v>41783</v>
      </c>
      <c r="B5988">
        <v>1</v>
      </c>
      <c r="C5988">
        <v>4</v>
      </c>
      <c r="D5988">
        <v>24</v>
      </c>
    </row>
    <row r="5989" spans="1:4" x14ac:dyDescent="0.25">
      <c r="A5989" s="1">
        <v>41784</v>
      </c>
      <c r="B5989">
        <v>1</v>
      </c>
      <c r="C5989">
        <v>4</v>
      </c>
      <c r="D5989">
        <v>27</v>
      </c>
    </row>
    <row r="5990" spans="1:4" x14ac:dyDescent="0.25">
      <c r="A5990" s="1">
        <v>41785</v>
      </c>
      <c r="B5990">
        <v>1</v>
      </c>
      <c r="C5990">
        <v>4</v>
      </c>
      <c r="D5990">
        <v>17</v>
      </c>
    </row>
    <row r="5991" spans="1:4" x14ac:dyDescent="0.25">
      <c r="A5991" s="1">
        <v>41786</v>
      </c>
      <c r="B5991">
        <v>1</v>
      </c>
      <c r="C5991">
        <v>4</v>
      </c>
      <c r="D5991">
        <v>20</v>
      </c>
    </row>
    <row r="5992" spans="1:4" x14ac:dyDescent="0.25">
      <c r="A5992" s="1">
        <v>41787</v>
      </c>
      <c r="B5992">
        <v>1</v>
      </c>
      <c r="C5992">
        <v>4</v>
      </c>
      <c r="D5992">
        <v>22</v>
      </c>
    </row>
    <row r="5993" spans="1:4" x14ac:dyDescent="0.25">
      <c r="A5993" s="1">
        <v>41788</v>
      </c>
      <c r="B5993">
        <v>1</v>
      </c>
      <c r="C5993">
        <v>4</v>
      </c>
      <c r="D5993">
        <v>21</v>
      </c>
    </row>
    <row r="5994" spans="1:4" x14ac:dyDescent="0.25">
      <c r="A5994" s="1">
        <v>41789</v>
      </c>
      <c r="B5994">
        <v>1</v>
      </c>
      <c r="C5994">
        <v>4</v>
      </c>
      <c r="D5994">
        <v>29</v>
      </c>
    </row>
    <row r="5995" spans="1:4" x14ac:dyDescent="0.25">
      <c r="A5995" s="1">
        <v>41790</v>
      </c>
      <c r="B5995">
        <v>1</v>
      </c>
      <c r="C5995">
        <v>4</v>
      </c>
      <c r="D5995">
        <v>20</v>
      </c>
    </row>
    <row r="5996" spans="1:4" x14ac:dyDescent="0.25">
      <c r="A5996" s="1">
        <v>41791</v>
      </c>
      <c r="B5996">
        <v>1</v>
      </c>
      <c r="C5996">
        <v>4</v>
      </c>
      <c r="D5996">
        <v>25</v>
      </c>
    </row>
    <row r="5997" spans="1:4" x14ac:dyDescent="0.25">
      <c r="A5997" s="1">
        <v>41792</v>
      </c>
      <c r="B5997">
        <v>1</v>
      </c>
      <c r="C5997">
        <v>4</v>
      </c>
      <c r="D5997">
        <v>17</v>
      </c>
    </row>
    <row r="5998" spans="1:4" x14ac:dyDescent="0.25">
      <c r="A5998" s="1">
        <v>41793</v>
      </c>
      <c r="B5998">
        <v>1</v>
      </c>
      <c r="C5998">
        <v>4</v>
      </c>
      <c r="D5998">
        <v>24</v>
      </c>
    </row>
    <row r="5999" spans="1:4" x14ac:dyDescent="0.25">
      <c r="A5999" s="1">
        <v>41794</v>
      </c>
      <c r="B5999">
        <v>1</v>
      </c>
      <c r="C5999">
        <v>4</v>
      </c>
      <c r="D5999">
        <v>20</v>
      </c>
    </row>
    <row r="6000" spans="1:4" x14ac:dyDescent="0.25">
      <c r="A6000" s="1">
        <v>41795</v>
      </c>
      <c r="B6000">
        <v>1</v>
      </c>
      <c r="C6000">
        <v>4</v>
      </c>
      <c r="D6000">
        <v>15</v>
      </c>
    </row>
    <row r="6001" spans="1:4" x14ac:dyDescent="0.25">
      <c r="A6001" s="1">
        <v>41796</v>
      </c>
      <c r="B6001">
        <v>1</v>
      </c>
      <c r="C6001">
        <v>4</v>
      </c>
      <c r="D6001">
        <v>26</v>
      </c>
    </row>
    <row r="6002" spans="1:4" x14ac:dyDescent="0.25">
      <c r="A6002" s="1">
        <v>41797</v>
      </c>
      <c r="B6002">
        <v>1</v>
      </c>
      <c r="C6002">
        <v>4</v>
      </c>
      <c r="D6002">
        <v>27</v>
      </c>
    </row>
    <row r="6003" spans="1:4" x14ac:dyDescent="0.25">
      <c r="A6003" s="1">
        <v>41798</v>
      </c>
      <c r="B6003">
        <v>1</v>
      </c>
      <c r="C6003">
        <v>4</v>
      </c>
      <c r="D6003">
        <v>27</v>
      </c>
    </row>
    <row r="6004" spans="1:4" x14ac:dyDescent="0.25">
      <c r="A6004" s="1">
        <v>41799</v>
      </c>
      <c r="B6004">
        <v>1</v>
      </c>
      <c r="C6004">
        <v>4</v>
      </c>
      <c r="D6004">
        <v>25</v>
      </c>
    </row>
    <row r="6005" spans="1:4" x14ac:dyDescent="0.25">
      <c r="A6005" s="1">
        <v>41800</v>
      </c>
      <c r="B6005">
        <v>1</v>
      </c>
      <c r="C6005">
        <v>4</v>
      </c>
      <c r="D6005">
        <v>22</v>
      </c>
    </row>
    <row r="6006" spans="1:4" x14ac:dyDescent="0.25">
      <c r="A6006" s="1">
        <v>41801</v>
      </c>
      <c r="B6006">
        <v>1</v>
      </c>
      <c r="C6006">
        <v>4</v>
      </c>
      <c r="D6006">
        <v>21</v>
      </c>
    </row>
    <row r="6007" spans="1:4" x14ac:dyDescent="0.25">
      <c r="A6007" s="1">
        <v>41802</v>
      </c>
      <c r="B6007">
        <v>1</v>
      </c>
      <c r="C6007">
        <v>4</v>
      </c>
      <c r="D6007">
        <v>24</v>
      </c>
    </row>
    <row r="6008" spans="1:4" x14ac:dyDescent="0.25">
      <c r="A6008" s="1">
        <v>41803</v>
      </c>
      <c r="B6008">
        <v>1</v>
      </c>
      <c r="C6008">
        <v>4</v>
      </c>
      <c r="D6008">
        <v>22</v>
      </c>
    </row>
    <row r="6009" spans="1:4" x14ac:dyDescent="0.25">
      <c r="A6009" s="1">
        <v>41804</v>
      </c>
      <c r="B6009">
        <v>1</v>
      </c>
      <c r="C6009">
        <v>4</v>
      </c>
      <c r="D6009">
        <v>35</v>
      </c>
    </row>
    <row r="6010" spans="1:4" x14ac:dyDescent="0.25">
      <c r="A6010" s="1">
        <v>41805</v>
      </c>
      <c r="B6010">
        <v>1</v>
      </c>
      <c r="C6010">
        <v>4</v>
      </c>
      <c r="D6010">
        <v>24</v>
      </c>
    </row>
    <row r="6011" spans="1:4" x14ac:dyDescent="0.25">
      <c r="A6011" s="1">
        <v>41806</v>
      </c>
      <c r="B6011">
        <v>1</v>
      </c>
      <c r="C6011">
        <v>4</v>
      </c>
      <c r="D6011">
        <v>19</v>
      </c>
    </row>
    <row r="6012" spans="1:4" x14ac:dyDescent="0.25">
      <c r="A6012" s="1">
        <v>41807</v>
      </c>
      <c r="B6012">
        <v>1</v>
      </c>
      <c r="C6012">
        <v>4</v>
      </c>
      <c r="D6012">
        <v>25</v>
      </c>
    </row>
    <row r="6013" spans="1:4" x14ac:dyDescent="0.25">
      <c r="A6013" s="1">
        <v>41808</v>
      </c>
      <c r="B6013">
        <v>1</v>
      </c>
      <c r="C6013">
        <v>4</v>
      </c>
      <c r="D6013">
        <v>18</v>
      </c>
    </row>
    <row r="6014" spans="1:4" x14ac:dyDescent="0.25">
      <c r="A6014" s="1">
        <v>41809</v>
      </c>
      <c r="B6014">
        <v>1</v>
      </c>
      <c r="C6014">
        <v>4</v>
      </c>
      <c r="D6014">
        <v>28</v>
      </c>
    </row>
    <row r="6015" spans="1:4" x14ac:dyDescent="0.25">
      <c r="A6015" s="1">
        <v>41810</v>
      </c>
      <c r="B6015">
        <v>1</v>
      </c>
      <c r="C6015">
        <v>4</v>
      </c>
      <c r="D6015">
        <v>23</v>
      </c>
    </row>
    <row r="6016" spans="1:4" x14ac:dyDescent="0.25">
      <c r="A6016" s="1">
        <v>41811</v>
      </c>
      <c r="B6016">
        <v>1</v>
      </c>
      <c r="C6016">
        <v>4</v>
      </c>
      <c r="D6016">
        <v>24</v>
      </c>
    </row>
    <row r="6017" spans="1:4" x14ac:dyDescent="0.25">
      <c r="A6017" s="1">
        <v>41812</v>
      </c>
      <c r="B6017">
        <v>1</v>
      </c>
      <c r="C6017">
        <v>4</v>
      </c>
      <c r="D6017">
        <v>20</v>
      </c>
    </row>
    <row r="6018" spans="1:4" x14ac:dyDescent="0.25">
      <c r="A6018" s="1">
        <v>41813</v>
      </c>
      <c r="B6018">
        <v>1</v>
      </c>
      <c r="C6018">
        <v>4</v>
      </c>
      <c r="D6018">
        <v>15</v>
      </c>
    </row>
    <row r="6019" spans="1:4" x14ac:dyDescent="0.25">
      <c r="A6019" s="1">
        <v>41814</v>
      </c>
      <c r="B6019">
        <v>1</v>
      </c>
      <c r="C6019">
        <v>4</v>
      </c>
      <c r="D6019">
        <v>28</v>
      </c>
    </row>
    <row r="6020" spans="1:4" x14ac:dyDescent="0.25">
      <c r="A6020" s="1">
        <v>41815</v>
      </c>
      <c r="B6020">
        <v>1</v>
      </c>
      <c r="C6020">
        <v>4</v>
      </c>
      <c r="D6020">
        <v>25</v>
      </c>
    </row>
    <row r="6021" spans="1:4" x14ac:dyDescent="0.25">
      <c r="A6021" s="1">
        <v>41816</v>
      </c>
      <c r="B6021">
        <v>1</v>
      </c>
      <c r="C6021">
        <v>4</v>
      </c>
      <c r="D6021">
        <v>21</v>
      </c>
    </row>
    <row r="6022" spans="1:4" x14ac:dyDescent="0.25">
      <c r="A6022" s="1">
        <v>41817</v>
      </c>
      <c r="B6022">
        <v>1</v>
      </c>
      <c r="C6022">
        <v>4</v>
      </c>
      <c r="D6022">
        <v>23</v>
      </c>
    </row>
    <row r="6023" spans="1:4" x14ac:dyDescent="0.25">
      <c r="A6023" s="1">
        <v>41818</v>
      </c>
      <c r="B6023">
        <v>1</v>
      </c>
      <c r="C6023">
        <v>4</v>
      </c>
      <c r="D6023">
        <v>23</v>
      </c>
    </row>
    <row r="6024" spans="1:4" x14ac:dyDescent="0.25">
      <c r="A6024" s="1">
        <v>41819</v>
      </c>
      <c r="B6024">
        <v>1</v>
      </c>
      <c r="C6024">
        <v>4</v>
      </c>
      <c r="D6024">
        <v>29</v>
      </c>
    </row>
    <row r="6025" spans="1:4" x14ac:dyDescent="0.25">
      <c r="A6025" s="1">
        <v>41820</v>
      </c>
      <c r="B6025">
        <v>1</v>
      </c>
      <c r="C6025">
        <v>4</v>
      </c>
      <c r="D6025">
        <v>18</v>
      </c>
    </row>
    <row r="6026" spans="1:4" x14ac:dyDescent="0.25">
      <c r="A6026" s="1">
        <v>41821</v>
      </c>
      <c r="B6026">
        <v>1</v>
      </c>
      <c r="C6026">
        <v>4</v>
      </c>
      <c r="D6026">
        <v>19</v>
      </c>
    </row>
    <row r="6027" spans="1:4" x14ac:dyDescent="0.25">
      <c r="A6027" s="1">
        <v>41822</v>
      </c>
      <c r="B6027">
        <v>1</v>
      </c>
      <c r="C6027">
        <v>4</v>
      </c>
      <c r="D6027">
        <v>24</v>
      </c>
    </row>
    <row r="6028" spans="1:4" x14ac:dyDescent="0.25">
      <c r="A6028" s="1">
        <v>41823</v>
      </c>
      <c r="B6028">
        <v>1</v>
      </c>
      <c r="C6028">
        <v>4</v>
      </c>
      <c r="D6028">
        <v>21</v>
      </c>
    </row>
    <row r="6029" spans="1:4" x14ac:dyDescent="0.25">
      <c r="A6029" s="1">
        <v>41824</v>
      </c>
      <c r="B6029">
        <v>1</v>
      </c>
      <c r="C6029">
        <v>4</v>
      </c>
      <c r="D6029">
        <v>30</v>
      </c>
    </row>
    <row r="6030" spans="1:4" x14ac:dyDescent="0.25">
      <c r="A6030" s="1">
        <v>41825</v>
      </c>
      <c r="B6030">
        <v>1</v>
      </c>
      <c r="C6030">
        <v>4</v>
      </c>
      <c r="D6030">
        <v>31</v>
      </c>
    </row>
    <row r="6031" spans="1:4" x14ac:dyDescent="0.25">
      <c r="A6031" s="1">
        <v>41826</v>
      </c>
      <c r="B6031">
        <v>1</v>
      </c>
      <c r="C6031">
        <v>4</v>
      </c>
      <c r="D6031">
        <v>28</v>
      </c>
    </row>
    <row r="6032" spans="1:4" x14ac:dyDescent="0.25">
      <c r="A6032" s="1">
        <v>41827</v>
      </c>
      <c r="B6032">
        <v>1</v>
      </c>
      <c r="C6032">
        <v>4</v>
      </c>
      <c r="D6032">
        <v>19</v>
      </c>
    </row>
    <row r="6033" spans="1:4" x14ac:dyDescent="0.25">
      <c r="A6033" s="1">
        <v>41828</v>
      </c>
      <c r="B6033">
        <v>1</v>
      </c>
      <c r="C6033">
        <v>4</v>
      </c>
      <c r="D6033">
        <v>29</v>
      </c>
    </row>
    <row r="6034" spans="1:4" x14ac:dyDescent="0.25">
      <c r="A6034" s="1">
        <v>41829</v>
      </c>
      <c r="B6034">
        <v>1</v>
      </c>
      <c r="C6034">
        <v>4</v>
      </c>
      <c r="D6034">
        <v>21</v>
      </c>
    </row>
    <row r="6035" spans="1:4" x14ac:dyDescent="0.25">
      <c r="A6035" s="1">
        <v>41830</v>
      </c>
      <c r="B6035">
        <v>1</v>
      </c>
      <c r="C6035">
        <v>4</v>
      </c>
      <c r="D6035">
        <v>32</v>
      </c>
    </row>
    <row r="6036" spans="1:4" x14ac:dyDescent="0.25">
      <c r="A6036" s="1">
        <v>41831</v>
      </c>
      <c r="B6036">
        <v>1</v>
      </c>
      <c r="C6036">
        <v>4</v>
      </c>
      <c r="D6036">
        <v>29</v>
      </c>
    </row>
    <row r="6037" spans="1:4" x14ac:dyDescent="0.25">
      <c r="A6037" s="1">
        <v>41832</v>
      </c>
      <c r="B6037">
        <v>1</v>
      </c>
      <c r="C6037">
        <v>4</v>
      </c>
      <c r="D6037">
        <v>29</v>
      </c>
    </row>
    <row r="6038" spans="1:4" x14ac:dyDescent="0.25">
      <c r="A6038" s="1">
        <v>41833</v>
      </c>
      <c r="B6038">
        <v>1</v>
      </c>
      <c r="C6038">
        <v>4</v>
      </c>
      <c r="D6038">
        <v>22</v>
      </c>
    </row>
    <row r="6039" spans="1:4" x14ac:dyDescent="0.25">
      <c r="A6039" s="1">
        <v>41834</v>
      </c>
      <c r="B6039">
        <v>1</v>
      </c>
      <c r="C6039">
        <v>4</v>
      </c>
      <c r="D6039">
        <v>25</v>
      </c>
    </row>
    <row r="6040" spans="1:4" x14ac:dyDescent="0.25">
      <c r="A6040" s="1">
        <v>41835</v>
      </c>
      <c r="B6040">
        <v>1</v>
      </c>
      <c r="C6040">
        <v>4</v>
      </c>
      <c r="D6040">
        <v>22</v>
      </c>
    </row>
    <row r="6041" spans="1:4" x14ac:dyDescent="0.25">
      <c r="A6041" s="1">
        <v>41836</v>
      </c>
      <c r="B6041">
        <v>1</v>
      </c>
      <c r="C6041">
        <v>4</v>
      </c>
      <c r="D6041">
        <v>21</v>
      </c>
    </row>
    <row r="6042" spans="1:4" x14ac:dyDescent="0.25">
      <c r="A6042" s="1">
        <v>41837</v>
      </c>
      <c r="B6042">
        <v>1</v>
      </c>
      <c r="C6042">
        <v>4</v>
      </c>
      <c r="D6042">
        <v>26</v>
      </c>
    </row>
    <row r="6043" spans="1:4" x14ac:dyDescent="0.25">
      <c r="A6043" s="1">
        <v>41838</v>
      </c>
      <c r="B6043">
        <v>1</v>
      </c>
      <c r="C6043">
        <v>4</v>
      </c>
      <c r="D6043">
        <v>21</v>
      </c>
    </row>
    <row r="6044" spans="1:4" x14ac:dyDescent="0.25">
      <c r="A6044" s="1">
        <v>41839</v>
      </c>
      <c r="B6044">
        <v>1</v>
      </c>
      <c r="C6044">
        <v>4</v>
      </c>
      <c r="D6044">
        <v>32</v>
      </c>
    </row>
    <row r="6045" spans="1:4" x14ac:dyDescent="0.25">
      <c r="A6045" s="1">
        <v>41840</v>
      </c>
      <c r="B6045">
        <v>1</v>
      </c>
      <c r="C6045">
        <v>4</v>
      </c>
      <c r="D6045">
        <v>40</v>
      </c>
    </row>
    <row r="6046" spans="1:4" x14ac:dyDescent="0.25">
      <c r="A6046" s="1">
        <v>41841</v>
      </c>
      <c r="B6046">
        <v>1</v>
      </c>
      <c r="C6046">
        <v>4</v>
      </c>
      <c r="D6046">
        <v>20</v>
      </c>
    </row>
    <row r="6047" spans="1:4" x14ac:dyDescent="0.25">
      <c r="A6047" s="1">
        <v>41842</v>
      </c>
      <c r="B6047">
        <v>1</v>
      </c>
      <c r="C6047">
        <v>4</v>
      </c>
      <c r="D6047">
        <v>32</v>
      </c>
    </row>
    <row r="6048" spans="1:4" x14ac:dyDescent="0.25">
      <c r="A6048" s="1">
        <v>41843</v>
      </c>
      <c r="B6048">
        <v>1</v>
      </c>
      <c r="C6048">
        <v>4</v>
      </c>
      <c r="D6048">
        <v>26</v>
      </c>
    </row>
    <row r="6049" spans="1:4" x14ac:dyDescent="0.25">
      <c r="A6049" s="1">
        <v>41844</v>
      </c>
      <c r="B6049">
        <v>1</v>
      </c>
      <c r="C6049">
        <v>4</v>
      </c>
      <c r="D6049">
        <v>23</v>
      </c>
    </row>
    <row r="6050" spans="1:4" x14ac:dyDescent="0.25">
      <c r="A6050" s="1">
        <v>41845</v>
      </c>
      <c r="B6050">
        <v>1</v>
      </c>
      <c r="C6050">
        <v>4</v>
      </c>
      <c r="D6050">
        <v>31</v>
      </c>
    </row>
    <row r="6051" spans="1:4" x14ac:dyDescent="0.25">
      <c r="A6051" s="1">
        <v>41846</v>
      </c>
      <c r="B6051">
        <v>1</v>
      </c>
      <c r="C6051">
        <v>4</v>
      </c>
      <c r="D6051">
        <v>30</v>
      </c>
    </row>
    <row r="6052" spans="1:4" x14ac:dyDescent="0.25">
      <c r="A6052" s="1">
        <v>41847</v>
      </c>
      <c r="B6052">
        <v>1</v>
      </c>
      <c r="C6052">
        <v>4</v>
      </c>
      <c r="D6052">
        <v>29</v>
      </c>
    </row>
    <row r="6053" spans="1:4" x14ac:dyDescent="0.25">
      <c r="A6053" s="1">
        <v>41848</v>
      </c>
      <c r="B6053">
        <v>1</v>
      </c>
      <c r="C6053">
        <v>4</v>
      </c>
      <c r="D6053">
        <v>14</v>
      </c>
    </row>
    <row r="6054" spans="1:4" x14ac:dyDescent="0.25">
      <c r="A6054" s="1">
        <v>41849</v>
      </c>
      <c r="B6054">
        <v>1</v>
      </c>
      <c r="C6054">
        <v>4</v>
      </c>
      <c r="D6054">
        <v>17</v>
      </c>
    </row>
    <row r="6055" spans="1:4" x14ac:dyDescent="0.25">
      <c r="A6055" s="1">
        <v>41850</v>
      </c>
      <c r="B6055">
        <v>1</v>
      </c>
      <c r="C6055">
        <v>4</v>
      </c>
      <c r="D6055">
        <v>25</v>
      </c>
    </row>
    <row r="6056" spans="1:4" x14ac:dyDescent="0.25">
      <c r="A6056" s="1">
        <v>41851</v>
      </c>
      <c r="B6056">
        <v>1</v>
      </c>
      <c r="C6056">
        <v>4</v>
      </c>
      <c r="D6056">
        <v>23</v>
      </c>
    </row>
    <row r="6057" spans="1:4" x14ac:dyDescent="0.25">
      <c r="A6057" s="1">
        <v>41852</v>
      </c>
      <c r="B6057">
        <v>1</v>
      </c>
      <c r="C6057">
        <v>4</v>
      </c>
      <c r="D6057">
        <v>21</v>
      </c>
    </row>
    <row r="6058" spans="1:4" x14ac:dyDescent="0.25">
      <c r="A6058" s="1">
        <v>41853</v>
      </c>
      <c r="B6058">
        <v>1</v>
      </c>
      <c r="C6058">
        <v>4</v>
      </c>
      <c r="D6058">
        <v>18</v>
      </c>
    </row>
    <row r="6059" spans="1:4" x14ac:dyDescent="0.25">
      <c r="A6059" s="1">
        <v>41854</v>
      </c>
      <c r="B6059">
        <v>1</v>
      </c>
      <c r="C6059">
        <v>4</v>
      </c>
      <c r="D6059">
        <v>38</v>
      </c>
    </row>
    <row r="6060" spans="1:4" x14ac:dyDescent="0.25">
      <c r="A6060" s="1">
        <v>41855</v>
      </c>
      <c r="B6060">
        <v>1</v>
      </c>
      <c r="C6060">
        <v>4</v>
      </c>
      <c r="D6060">
        <v>20</v>
      </c>
    </row>
    <row r="6061" spans="1:4" x14ac:dyDescent="0.25">
      <c r="A6061" s="1">
        <v>41856</v>
      </c>
      <c r="B6061">
        <v>1</v>
      </c>
      <c r="C6061">
        <v>4</v>
      </c>
      <c r="D6061">
        <v>23</v>
      </c>
    </row>
    <row r="6062" spans="1:4" x14ac:dyDescent="0.25">
      <c r="A6062" s="1">
        <v>41857</v>
      </c>
      <c r="B6062">
        <v>1</v>
      </c>
      <c r="C6062">
        <v>4</v>
      </c>
      <c r="D6062">
        <v>24</v>
      </c>
    </row>
    <row r="6063" spans="1:4" x14ac:dyDescent="0.25">
      <c r="A6063" s="1">
        <v>41858</v>
      </c>
      <c r="B6063">
        <v>1</v>
      </c>
      <c r="C6063">
        <v>4</v>
      </c>
      <c r="D6063">
        <v>25</v>
      </c>
    </row>
    <row r="6064" spans="1:4" x14ac:dyDescent="0.25">
      <c r="A6064" s="1">
        <v>41859</v>
      </c>
      <c r="B6064">
        <v>1</v>
      </c>
      <c r="C6064">
        <v>4</v>
      </c>
      <c r="D6064">
        <v>17</v>
      </c>
    </row>
    <row r="6065" spans="1:4" x14ac:dyDescent="0.25">
      <c r="A6065" s="1">
        <v>41860</v>
      </c>
      <c r="B6065">
        <v>1</v>
      </c>
      <c r="C6065">
        <v>4</v>
      </c>
      <c r="D6065">
        <v>23</v>
      </c>
    </row>
    <row r="6066" spans="1:4" x14ac:dyDescent="0.25">
      <c r="A6066" s="1">
        <v>41861</v>
      </c>
      <c r="B6066">
        <v>1</v>
      </c>
      <c r="C6066">
        <v>4</v>
      </c>
      <c r="D6066">
        <v>35</v>
      </c>
    </row>
    <row r="6067" spans="1:4" x14ac:dyDescent="0.25">
      <c r="A6067" s="1">
        <v>41862</v>
      </c>
      <c r="B6067">
        <v>1</v>
      </c>
      <c r="C6067">
        <v>4</v>
      </c>
      <c r="D6067">
        <v>18</v>
      </c>
    </row>
    <row r="6068" spans="1:4" x14ac:dyDescent="0.25">
      <c r="A6068" s="1">
        <v>41863</v>
      </c>
      <c r="B6068">
        <v>1</v>
      </c>
      <c r="C6068">
        <v>4</v>
      </c>
      <c r="D6068">
        <v>27</v>
      </c>
    </row>
    <row r="6069" spans="1:4" x14ac:dyDescent="0.25">
      <c r="A6069" s="1">
        <v>41864</v>
      </c>
      <c r="B6069">
        <v>1</v>
      </c>
      <c r="C6069">
        <v>4</v>
      </c>
      <c r="D6069">
        <v>22</v>
      </c>
    </row>
    <row r="6070" spans="1:4" x14ac:dyDescent="0.25">
      <c r="A6070" s="1">
        <v>41865</v>
      </c>
      <c r="B6070">
        <v>1</v>
      </c>
      <c r="C6070">
        <v>4</v>
      </c>
      <c r="D6070">
        <v>31</v>
      </c>
    </row>
    <row r="6071" spans="1:4" x14ac:dyDescent="0.25">
      <c r="A6071" s="1">
        <v>41866</v>
      </c>
      <c r="B6071">
        <v>1</v>
      </c>
      <c r="C6071">
        <v>4</v>
      </c>
      <c r="D6071">
        <v>19</v>
      </c>
    </row>
    <row r="6072" spans="1:4" x14ac:dyDescent="0.25">
      <c r="A6072" s="1">
        <v>41867</v>
      </c>
      <c r="B6072">
        <v>1</v>
      </c>
      <c r="C6072">
        <v>4</v>
      </c>
      <c r="D6072">
        <v>23</v>
      </c>
    </row>
    <row r="6073" spans="1:4" x14ac:dyDescent="0.25">
      <c r="A6073" s="1">
        <v>41868</v>
      </c>
      <c r="B6073">
        <v>1</v>
      </c>
      <c r="C6073">
        <v>4</v>
      </c>
      <c r="D6073">
        <v>22</v>
      </c>
    </row>
    <row r="6074" spans="1:4" x14ac:dyDescent="0.25">
      <c r="A6074" s="1">
        <v>41869</v>
      </c>
      <c r="B6074">
        <v>1</v>
      </c>
      <c r="C6074">
        <v>4</v>
      </c>
      <c r="D6074">
        <v>12</v>
      </c>
    </row>
    <row r="6075" spans="1:4" x14ac:dyDescent="0.25">
      <c r="A6075" s="1">
        <v>41870</v>
      </c>
      <c r="B6075">
        <v>1</v>
      </c>
      <c r="C6075">
        <v>4</v>
      </c>
      <c r="D6075">
        <v>23</v>
      </c>
    </row>
    <row r="6076" spans="1:4" x14ac:dyDescent="0.25">
      <c r="A6076" s="1">
        <v>41871</v>
      </c>
      <c r="B6076">
        <v>1</v>
      </c>
      <c r="C6076">
        <v>4</v>
      </c>
      <c r="D6076">
        <v>27</v>
      </c>
    </row>
    <row r="6077" spans="1:4" x14ac:dyDescent="0.25">
      <c r="A6077" s="1">
        <v>41872</v>
      </c>
      <c r="B6077">
        <v>1</v>
      </c>
      <c r="C6077">
        <v>4</v>
      </c>
      <c r="D6077">
        <v>25</v>
      </c>
    </row>
    <row r="6078" spans="1:4" x14ac:dyDescent="0.25">
      <c r="A6078" s="1">
        <v>41873</v>
      </c>
      <c r="B6078">
        <v>1</v>
      </c>
      <c r="C6078">
        <v>4</v>
      </c>
      <c r="D6078">
        <v>15</v>
      </c>
    </row>
    <row r="6079" spans="1:4" x14ac:dyDescent="0.25">
      <c r="A6079" s="1">
        <v>41874</v>
      </c>
      <c r="B6079">
        <v>1</v>
      </c>
      <c r="C6079">
        <v>4</v>
      </c>
      <c r="D6079">
        <v>32</v>
      </c>
    </row>
    <row r="6080" spans="1:4" x14ac:dyDescent="0.25">
      <c r="A6080" s="1">
        <v>41875</v>
      </c>
      <c r="B6080">
        <v>1</v>
      </c>
      <c r="C6080">
        <v>4</v>
      </c>
      <c r="D6080">
        <v>26</v>
      </c>
    </row>
    <row r="6081" spans="1:4" x14ac:dyDescent="0.25">
      <c r="A6081" s="1">
        <v>41876</v>
      </c>
      <c r="B6081">
        <v>1</v>
      </c>
      <c r="C6081">
        <v>4</v>
      </c>
      <c r="D6081">
        <v>14</v>
      </c>
    </row>
    <row r="6082" spans="1:4" x14ac:dyDescent="0.25">
      <c r="A6082" s="1">
        <v>41877</v>
      </c>
      <c r="B6082">
        <v>1</v>
      </c>
      <c r="C6082">
        <v>4</v>
      </c>
      <c r="D6082">
        <v>18</v>
      </c>
    </row>
    <row r="6083" spans="1:4" x14ac:dyDescent="0.25">
      <c r="A6083" s="1">
        <v>41878</v>
      </c>
      <c r="B6083">
        <v>1</v>
      </c>
      <c r="C6083">
        <v>4</v>
      </c>
      <c r="D6083">
        <v>15</v>
      </c>
    </row>
    <row r="6084" spans="1:4" x14ac:dyDescent="0.25">
      <c r="A6084" s="1">
        <v>41879</v>
      </c>
      <c r="B6084">
        <v>1</v>
      </c>
      <c r="C6084">
        <v>4</v>
      </c>
      <c r="D6084">
        <v>22</v>
      </c>
    </row>
    <row r="6085" spans="1:4" x14ac:dyDescent="0.25">
      <c r="A6085" s="1">
        <v>41880</v>
      </c>
      <c r="B6085">
        <v>1</v>
      </c>
      <c r="C6085">
        <v>4</v>
      </c>
      <c r="D6085">
        <v>22</v>
      </c>
    </row>
    <row r="6086" spans="1:4" x14ac:dyDescent="0.25">
      <c r="A6086" s="1">
        <v>41881</v>
      </c>
      <c r="B6086">
        <v>1</v>
      </c>
      <c r="C6086">
        <v>4</v>
      </c>
      <c r="D6086">
        <v>20</v>
      </c>
    </row>
    <row r="6087" spans="1:4" x14ac:dyDescent="0.25">
      <c r="A6087" s="1">
        <v>41882</v>
      </c>
      <c r="B6087">
        <v>1</v>
      </c>
      <c r="C6087">
        <v>4</v>
      </c>
      <c r="D6087">
        <v>28</v>
      </c>
    </row>
    <row r="6088" spans="1:4" x14ac:dyDescent="0.25">
      <c r="A6088" s="1">
        <v>41883</v>
      </c>
      <c r="B6088">
        <v>1</v>
      </c>
      <c r="C6088">
        <v>4</v>
      </c>
      <c r="D6088">
        <v>16</v>
      </c>
    </row>
    <row r="6089" spans="1:4" x14ac:dyDescent="0.25">
      <c r="A6089" s="1">
        <v>41884</v>
      </c>
      <c r="B6089">
        <v>1</v>
      </c>
      <c r="C6089">
        <v>4</v>
      </c>
      <c r="D6089">
        <v>14</v>
      </c>
    </row>
    <row r="6090" spans="1:4" x14ac:dyDescent="0.25">
      <c r="A6090" s="1">
        <v>41885</v>
      </c>
      <c r="B6090">
        <v>1</v>
      </c>
      <c r="C6090">
        <v>4</v>
      </c>
      <c r="D6090">
        <v>15</v>
      </c>
    </row>
    <row r="6091" spans="1:4" x14ac:dyDescent="0.25">
      <c r="A6091" s="1">
        <v>41886</v>
      </c>
      <c r="B6091">
        <v>1</v>
      </c>
      <c r="C6091">
        <v>4</v>
      </c>
      <c r="D6091">
        <v>24</v>
      </c>
    </row>
    <row r="6092" spans="1:4" x14ac:dyDescent="0.25">
      <c r="A6092" s="1">
        <v>41887</v>
      </c>
      <c r="B6092">
        <v>1</v>
      </c>
      <c r="C6092">
        <v>4</v>
      </c>
      <c r="D6092">
        <v>26</v>
      </c>
    </row>
    <row r="6093" spans="1:4" x14ac:dyDescent="0.25">
      <c r="A6093" s="1">
        <v>41888</v>
      </c>
      <c r="B6093">
        <v>1</v>
      </c>
      <c r="C6093">
        <v>4</v>
      </c>
      <c r="D6093">
        <v>25</v>
      </c>
    </row>
    <row r="6094" spans="1:4" x14ac:dyDescent="0.25">
      <c r="A6094" s="1">
        <v>41889</v>
      </c>
      <c r="B6094">
        <v>1</v>
      </c>
      <c r="C6094">
        <v>4</v>
      </c>
      <c r="D6094">
        <v>29</v>
      </c>
    </row>
    <row r="6095" spans="1:4" x14ac:dyDescent="0.25">
      <c r="A6095" s="1">
        <v>41890</v>
      </c>
      <c r="B6095">
        <v>1</v>
      </c>
      <c r="C6095">
        <v>4</v>
      </c>
      <c r="D6095">
        <v>15</v>
      </c>
    </row>
    <row r="6096" spans="1:4" x14ac:dyDescent="0.25">
      <c r="A6096" s="1">
        <v>41891</v>
      </c>
      <c r="B6096">
        <v>1</v>
      </c>
      <c r="C6096">
        <v>4</v>
      </c>
      <c r="D6096">
        <v>16</v>
      </c>
    </row>
    <row r="6097" spans="1:4" x14ac:dyDescent="0.25">
      <c r="A6097" s="1">
        <v>41892</v>
      </c>
      <c r="B6097">
        <v>1</v>
      </c>
      <c r="C6097">
        <v>4</v>
      </c>
      <c r="D6097">
        <v>23</v>
      </c>
    </row>
    <row r="6098" spans="1:4" x14ac:dyDescent="0.25">
      <c r="A6098" s="1">
        <v>41893</v>
      </c>
      <c r="B6098">
        <v>1</v>
      </c>
      <c r="C6098">
        <v>4</v>
      </c>
      <c r="D6098">
        <v>25</v>
      </c>
    </row>
    <row r="6099" spans="1:4" x14ac:dyDescent="0.25">
      <c r="A6099" s="1">
        <v>41894</v>
      </c>
      <c r="B6099">
        <v>1</v>
      </c>
      <c r="C6099">
        <v>4</v>
      </c>
      <c r="D6099">
        <v>16</v>
      </c>
    </row>
    <row r="6100" spans="1:4" x14ac:dyDescent="0.25">
      <c r="A6100" s="1">
        <v>41895</v>
      </c>
      <c r="B6100">
        <v>1</v>
      </c>
      <c r="C6100">
        <v>4</v>
      </c>
      <c r="D6100">
        <v>30</v>
      </c>
    </row>
    <row r="6101" spans="1:4" x14ac:dyDescent="0.25">
      <c r="A6101" s="1">
        <v>41896</v>
      </c>
      <c r="B6101">
        <v>1</v>
      </c>
      <c r="C6101">
        <v>4</v>
      </c>
      <c r="D6101">
        <v>24</v>
      </c>
    </row>
    <row r="6102" spans="1:4" x14ac:dyDescent="0.25">
      <c r="A6102" s="1">
        <v>41897</v>
      </c>
      <c r="B6102">
        <v>1</v>
      </c>
      <c r="C6102">
        <v>4</v>
      </c>
      <c r="D6102">
        <v>24</v>
      </c>
    </row>
    <row r="6103" spans="1:4" x14ac:dyDescent="0.25">
      <c r="A6103" s="1">
        <v>41898</v>
      </c>
      <c r="B6103">
        <v>1</v>
      </c>
      <c r="C6103">
        <v>4</v>
      </c>
      <c r="D6103">
        <v>18</v>
      </c>
    </row>
    <row r="6104" spans="1:4" x14ac:dyDescent="0.25">
      <c r="A6104" s="1">
        <v>41899</v>
      </c>
      <c r="B6104">
        <v>1</v>
      </c>
      <c r="C6104">
        <v>4</v>
      </c>
      <c r="D6104">
        <v>16</v>
      </c>
    </row>
    <row r="6105" spans="1:4" x14ac:dyDescent="0.25">
      <c r="A6105" s="1">
        <v>41900</v>
      </c>
      <c r="B6105">
        <v>1</v>
      </c>
      <c r="C6105">
        <v>4</v>
      </c>
      <c r="D6105">
        <v>18</v>
      </c>
    </row>
    <row r="6106" spans="1:4" x14ac:dyDescent="0.25">
      <c r="A6106" s="1">
        <v>41901</v>
      </c>
      <c r="B6106">
        <v>1</v>
      </c>
      <c r="C6106">
        <v>4</v>
      </c>
      <c r="D6106">
        <v>18</v>
      </c>
    </row>
    <row r="6107" spans="1:4" x14ac:dyDescent="0.25">
      <c r="A6107" s="1">
        <v>41902</v>
      </c>
      <c r="B6107">
        <v>1</v>
      </c>
      <c r="C6107">
        <v>4</v>
      </c>
      <c r="D6107">
        <v>20</v>
      </c>
    </row>
    <row r="6108" spans="1:4" x14ac:dyDescent="0.25">
      <c r="A6108" s="1">
        <v>41903</v>
      </c>
      <c r="B6108">
        <v>1</v>
      </c>
      <c r="C6108">
        <v>4</v>
      </c>
      <c r="D6108">
        <v>26</v>
      </c>
    </row>
    <row r="6109" spans="1:4" x14ac:dyDescent="0.25">
      <c r="A6109" s="1">
        <v>41904</v>
      </c>
      <c r="B6109">
        <v>1</v>
      </c>
      <c r="C6109">
        <v>4</v>
      </c>
      <c r="D6109">
        <v>11</v>
      </c>
    </row>
    <row r="6110" spans="1:4" x14ac:dyDescent="0.25">
      <c r="A6110" s="1">
        <v>41905</v>
      </c>
      <c r="B6110">
        <v>1</v>
      </c>
      <c r="C6110">
        <v>4</v>
      </c>
      <c r="D6110">
        <v>17</v>
      </c>
    </row>
    <row r="6111" spans="1:4" x14ac:dyDescent="0.25">
      <c r="A6111" s="1">
        <v>41906</v>
      </c>
      <c r="B6111">
        <v>1</v>
      </c>
      <c r="C6111">
        <v>4</v>
      </c>
      <c r="D6111">
        <v>24</v>
      </c>
    </row>
    <row r="6112" spans="1:4" x14ac:dyDescent="0.25">
      <c r="A6112" s="1">
        <v>41907</v>
      </c>
      <c r="B6112">
        <v>1</v>
      </c>
      <c r="C6112">
        <v>4</v>
      </c>
      <c r="D6112">
        <v>18</v>
      </c>
    </row>
    <row r="6113" spans="1:4" x14ac:dyDescent="0.25">
      <c r="A6113" s="1">
        <v>41908</v>
      </c>
      <c r="B6113">
        <v>1</v>
      </c>
      <c r="C6113">
        <v>4</v>
      </c>
      <c r="D6113">
        <v>18</v>
      </c>
    </row>
    <row r="6114" spans="1:4" x14ac:dyDescent="0.25">
      <c r="A6114" s="1">
        <v>41909</v>
      </c>
      <c r="B6114">
        <v>1</v>
      </c>
      <c r="C6114">
        <v>4</v>
      </c>
      <c r="D6114">
        <v>15</v>
      </c>
    </row>
    <row r="6115" spans="1:4" x14ac:dyDescent="0.25">
      <c r="A6115" s="1">
        <v>41910</v>
      </c>
      <c r="B6115">
        <v>1</v>
      </c>
      <c r="C6115">
        <v>4</v>
      </c>
      <c r="D6115">
        <v>28</v>
      </c>
    </row>
    <row r="6116" spans="1:4" x14ac:dyDescent="0.25">
      <c r="A6116" s="1">
        <v>41911</v>
      </c>
      <c r="B6116">
        <v>1</v>
      </c>
      <c r="C6116">
        <v>4</v>
      </c>
      <c r="D6116">
        <v>19</v>
      </c>
    </row>
    <row r="6117" spans="1:4" x14ac:dyDescent="0.25">
      <c r="A6117" s="1">
        <v>41912</v>
      </c>
      <c r="B6117">
        <v>1</v>
      </c>
      <c r="C6117">
        <v>4</v>
      </c>
      <c r="D6117">
        <v>17</v>
      </c>
    </row>
    <row r="6118" spans="1:4" x14ac:dyDescent="0.25">
      <c r="A6118" s="1">
        <v>41913</v>
      </c>
      <c r="B6118">
        <v>1</v>
      </c>
      <c r="C6118">
        <v>4</v>
      </c>
      <c r="D6118">
        <v>16</v>
      </c>
    </row>
    <row r="6119" spans="1:4" x14ac:dyDescent="0.25">
      <c r="A6119" s="1">
        <v>41914</v>
      </c>
      <c r="B6119">
        <v>1</v>
      </c>
      <c r="C6119">
        <v>4</v>
      </c>
      <c r="D6119">
        <v>12</v>
      </c>
    </row>
    <row r="6120" spans="1:4" x14ac:dyDescent="0.25">
      <c r="A6120" s="1">
        <v>41915</v>
      </c>
      <c r="B6120">
        <v>1</v>
      </c>
      <c r="C6120">
        <v>4</v>
      </c>
      <c r="D6120">
        <v>12</v>
      </c>
    </row>
    <row r="6121" spans="1:4" x14ac:dyDescent="0.25">
      <c r="A6121" s="1">
        <v>41916</v>
      </c>
      <c r="B6121">
        <v>1</v>
      </c>
      <c r="C6121">
        <v>4</v>
      </c>
      <c r="D6121">
        <v>22</v>
      </c>
    </row>
    <row r="6122" spans="1:4" x14ac:dyDescent="0.25">
      <c r="A6122" s="1">
        <v>41917</v>
      </c>
      <c r="B6122">
        <v>1</v>
      </c>
      <c r="C6122">
        <v>4</v>
      </c>
      <c r="D6122">
        <v>20</v>
      </c>
    </row>
    <row r="6123" spans="1:4" x14ac:dyDescent="0.25">
      <c r="A6123" s="1">
        <v>41918</v>
      </c>
      <c r="B6123">
        <v>1</v>
      </c>
      <c r="C6123">
        <v>4</v>
      </c>
      <c r="D6123">
        <v>16</v>
      </c>
    </row>
    <row r="6124" spans="1:4" x14ac:dyDescent="0.25">
      <c r="A6124" s="1">
        <v>41919</v>
      </c>
      <c r="B6124">
        <v>1</v>
      </c>
      <c r="C6124">
        <v>4</v>
      </c>
      <c r="D6124">
        <v>13</v>
      </c>
    </row>
    <row r="6125" spans="1:4" x14ac:dyDescent="0.25">
      <c r="A6125" s="1">
        <v>41920</v>
      </c>
      <c r="B6125">
        <v>1</v>
      </c>
      <c r="C6125">
        <v>4</v>
      </c>
      <c r="D6125">
        <v>22</v>
      </c>
    </row>
    <row r="6126" spans="1:4" x14ac:dyDescent="0.25">
      <c r="A6126" s="1">
        <v>41921</v>
      </c>
      <c r="B6126">
        <v>1</v>
      </c>
      <c r="C6126">
        <v>4</v>
      </c>
      <c r="D6126">
        <v>17</v>
      </c>
    </row>
    <row r="6127" spans="1:4" x14ac:dyDescent="0.25">
      <c r="A6127" s="1">
        <v>41922</v>
      </c>
      <c r="B6127">
        <v>1</v>
      </c>
      <c r="C6127">
        <v>4</v>
      </c>
      <c r="D6127">
        <v>13</v>
      </c>
    </row>
    <row r="6128" spans="1:4" x14ac:dyDescent="0.25">
      <c r="A6128" s="1">
        <v>41923</v>
      </c>
      <c r="B6128">
        <v>1</v>
      </c>
      <c r="C6128">
        <v>4</v>
      </c>
      <c r="D6128">
        <v>18</v>
      </c>
    </row>
    <row r="6129" spans="1:4" x14ac:dyDescent="0.25">
      <c r="A6129" s="1">
        <v>41924</v>
      </c>
      <c r="B6129">
        <v>1</v>
      </c>
      <c r="C6129">
        <v>4</v>
      </c>
      <c r="D6129">
        <v>26</v>
      </c>
    </row>
    <row r="6130" spans="1:4" x14ac:dyDescent="0.25">
      <c r="A6130" s="1">
        <v>41925</v>
      </c>
      <c r="B6130">
        <v>1</v>
      </c>
      <c r="C6130">
        <v>4</v>
      </c>
      <c r="D6130">
        <v>14</v>
      </c>
    </row>
    <row r="6131" spans="1:4" x14ac:dyDescent="0.25">
      <c r="A6131" s="1">
        <v>41926</v>
      </c>
      <c r="B6131">
        <v>1</v>
      </c>
      <c r="C6131">
        <v>4</v>
      </c>
      <c r="D6131">
        <v>19</v>
      </c>
    </row>
    <row r="6132" spans="1:4" x14ac:dyDescent="0.25">
      <c r="A6132" s="1">
        <v>41927</v>
      </c>
      <c r="B6132">
        <v>1</v>
      </c>
      <c r="C6132">
        <v>4</v>
      </c>
      <c r="D6132">
        <v>23</v>
      </c>
    </row>
    <row r="6133" spans="1:4" x14ac:dyDescent="0.25">
      <c r="A6133" s="1">
        <v>41928</v>
      </c>
      <c r="B6133">
        <v>1</v>
      </c>
      <c r="C6133">
        <v>4</v>
      </c>
      <c r="D6133">
        <v>17</v>
      </c>
    </row>
    <row r="6134" spans="1:4" x14ac:dyDescent="0.25">
      <c r="A6134" s="1">
        <v>41929</v>
      </c>
      <c r="B6134">
        <v>1</v>
      </c>
      <c r="C6134">
        <v>4</v>
      </c>
      <c r="D6134">
        <v>12</v>
      </c>
    </row>
    <row r="6135" spans="1:4" x14ac:dyDescent="0.25">
      <c r="A6135" s="1">
        <v>41930</v>
      </c>
      <c r="B6135">
        <v>1</v>
      </c>
      <c r="C6135">
        <v>4</v>
      </c>
      <c r="D6135">
        <v>25</v>
      </c>
    </row>
    <row r="6136" spans="1:4" x14ac:dyDescent="0.25">
      <c r="A6136" s="1">
        <v>41931</v>
      </c>
      <c r="B6136">
        <v>1</v>
      </c>
      <c r="C6136">
        <v>4</v>
      </c>
      <c r="D6136">
        <v>26</v>
      </c>
    </row>
    <row r="6137" spans="1:4" x14ac:dyDescent="0.25">
      <c r="A6137" s="1">
        <v>41932</v>
      </c>
      <c r="B6137">
        <v>1</v>
      </c>
      <c r="C6137">
        <v>4</v>
      </c>
      <c r="D6137">
        <v>21</v>
      </c>
    </row>
    <row r="6138" spans="1:4" x14ac:dyDescent="0.25">
      <c r="A6138" s="1">
        <v>41933</v>
      </c>
      <c r="B6138">
        <v>1</v>
      </c>
      <c r="C6138">
        <v>4</v>
      </c>
      <c r="D6138">
        <v>11</v>
      </c>
    </row>
    <row r="6139" spans="1:4" x14ac:dyDescent="0.25">
      <c r="A6139" s="1">
        <v>41934</v>
      </c>
      <c r="B6139">
        <v>1</v>
      </c>
      <c r="C6139">
        <v>4</v>
      </c>
      <c r="D6139">
        <v>12</v>
      </c>
    </row>
    <row r="6140" spans="1:4" x14ac:dyDescent="0.25">
      <c r="A6140" s="1">
        <v>41935</v>
      </c>
      <c r="B6140">
        <v>1</v>
      </c>
      <c r="C6140">
        <v>4</v>
      </c>
      <c r="D6140">
        <v>15</v>
      </c>
    </row>
    <row r="6141" spans="1:4" x14ac:dyDescent="0.25">
      <c r="A6141" s="1">
        <v>41936</v>
      </c>
      <c r="B6141">
        <v>1</v>
      </c>
      <c r="C6141">
        <v>4</v>
      </c>
      <c r="D6141">
        <v>18</v>
      </c>
    </row>
    <row r="6142" spans="1:4" x14ac:dyDescent="0.25">
      <c r="A6142" s="1">
        <v>41937</v>
      </c>
      <c r="B6142">
        <v>1</v>
      </c>
      <c r="C6142">
        <v>4</v>
      </c>
      <c r="D6142">
        <v>18</v>
      </c>
    </row>
    <row r="6143" spans="1:4" x14ac:dyDescent="0.25">
      <c r="A6143" s="1">
        <v>41938</v>
      </c>
      <c r="B6143">
        <v>1</v>
      </c>
      <c r="C6143">
        <v>4</v>
      </c>
      <c r="D6143">
        <v>13</v>
      </c>
    </row>
    <row r="6144" spans="1:4" x14ac:dyDescent="0.25">
      <c r="A6144" s="1">
        <v>41939</v>
      </c>
      <c r="B6144">
        <v>1</v>
      </c>
      <c r="C6144">
        <v>4</v>
      </c>
      <c r="D6144">
        <v>18</v>
      </c>
    </row>
    <row r="6145" spans="1:4" x14ac:dyDescent="0.25">
      <c r="A6145" s="1">
        <v>41940</v>
      </c>
      <c r="B6145">
        <v>1</v>
      </c>
      <c r="C6145">
        <v>4</v>
      </c>
      <c r="D6145">
        <v>20</v>
      </c>
    </row>
    <row r="6146" spans="1:4" x14ac:dyDescent="0.25">
      <c r="A6146" s="1">
        <v>41941</v>
      </c>
      <c r="B6146">
        <v>1</v>
      </c>
      <c r="C6146">
        <v>4</v>
      </c>
      <c r="D6146">
        <v>16</v>
      </c>
    </row>
    <row r="6147" spans="1:4" x14ac:dyDescent="0.25">
      <c r="A6147" s="1">
        <v>41942</v>
      </c>
      <c r="B6147">
        <v>1</v>
      </c>
      <c r="C6147">
        <v>4</v>
      </c>
      <c r="D6147">
        <v>12</v>
      </c>
    </row>
    <row r="6148" spans="1:4" x14ac:dyDescent="0.25">
      <c r="A6148" s="1">
        <v>41943</v>
      </c>
      <c r="B6148">
        <v>1</v>
      </c>
      <c r="C6148">
        <v>4</v>
      </c>
      <c r="D6148">
        <v>24</v>
      </c>
    </row>
    <row r="6149" spans="1:4" x14ac:dyDescent="0.25">
      <c r="A6149" s="1">
        <v>41944</v>
      </c>
      <c r="B6149">
        <v>1</v>
      </c>
      <c r="C6149">
        <v>4</v>
      </c>
      <c r="D6149">
        <v>18</v>
      </c>
    </row>
    <row r="6150" spans="1:4" x14ac:dyDescent="0.25">
      <c r="A6150" s="1">
        <v>41945</v>
      </c>
      <c r="B6150">
        <v>1</v>
      </c>
      <c r="C6150">
        <v>4</v>
      </c>
      <c r="D6150">
        <v>20</v>
      </c>
    </row>
    <row r="6151" spans="1:4" x14ac:dyDescent="0.25">
      <c r="A6151" s="1">
        <v>41946</v>
      </c>
      <c r="B6151">
        <v>1</v>
      </c>
      <c r="C6151">
        <v>4</v>
      </c>
      <c r="D6151">
        <v>17</v>
      </c>
    </row>
    <row r="6152" spans="1:4" x14ac:dyDescent="0.25">
      <c r="A6152" s="1">
        <v>41947</v>
      </c>
      <c r="B6152">
        <v>1</v>
      </c>
      <c r="C6152">
        <v>4</v>
      </c>
      <c r="D6152">
        <v>17</v>
      </c>
    </row>
    <row r="6153" spans="1:4" x14ac:dyDescent="0.25">
      <c r="A6153" s="1">
        <v>41948</v>
      </c>
      <c r="B6153">
        <v>1</v>
      </c>
      <c r="C6153">
        <v>4</v>
      </c>
      <c r="D6153">
        <v>16</v>
      </c>
    </row>
    <row r="6154" spans="1:4" x14ac:dyDescent="0.25">
      <c r="A6154" s="1">
        <v>41949</v>
      </c>
      <c r="B6154">
        <v>1</v>
      </c>
      <c r="C6154">
        <v>4</v>
      </c>
      <c r="D6154">
        <v>19</v>
      </c>
    </row>
    <row r="6155" spans="1:4" x14ac:dyDescent="0.25">
      <c r="A6155" s="1">
        <v>41950</v>
      </c>
      <c r="B6155">
        <v>1</v>
      </c>
      <c r="C6155">
        <v>4</v>
      </c>
      <c r="D6155">
        <v>23</v>
      </c>
    </row>
    <row r="6156" spans="1:4" x14ac:dyDescent="0.25">
      <c r="A6156" s="1">
        <v>41951</v>
      </c>
      <c r="B6156">
        <v>1</v>
      </c>
      <c r="C6156">
        <v>4</v>
      </c>
      <c r="D6156">
        <v>24</v>
      </c>
    </row>
    <row r="6157" spans="1:4" x14ac:dyDescent="0.25">
      <c r="A6157" s="1">
        <v>41952</v>
      </c>
      <c r="B6157">
        <v>1</v>
      </c>
      <c r="C6157">
        <v>4</v>
      </c>
      <c r="D6157">
        <v>33</v>
      </c>
    </row>
    <row r="6158" spans="1:4" x14ac:dyDescent="0.25">
      <c r="A6158" s="1">
        <v>41953</v>
      </c>
      <c r="B6158">
        <v>1</v>
      </c>
      <c r="C6158">
        <v>4</v>
      </c>
      <c r="D6158">
        <v>24</v>
      </c>
    </row>
    <row r="6159" spans="1:4" x14ac:dyDescent="0.25">
      <c r="A6159" s="1">
        <v>41954</v>
      </c>
      <c r="B6159">
        <v>1</v>
      </c>
      <c r="C6159">
        <v>4</v>
      </c>
      <c r="D6159">
        <v>23</v>
      </c>
    </row>
    <row r="6160" spans="1:4" x14ac:dyDescent="0.25">
      <c r="A6160" s="1">
        <v>41955</v>
      </c>
      <c r="B6160">
        <v>1</v>
      </c>
      <c r="C6160">
        <v>4</v>
      </c>
      <c r="D6160">
        <v>24</v>
      </c>
    </row>
    <row r="6161" spans="1:4" x14ac:dyDescent="0.25">
      <c r="A6161" s="1">
        <v>41956</v>
      </c>
      <c r="B6161">
        <v>1</v>
      </c>
      <c r="C6161">
        <v>4</v>
      </c>
      <c r="D6161">
        <v>26</v>
      </c>
    </row>
    <row r="6162" spans="1:4" x14ac:dyDescent="0.25">
      <c r="A6162" s="1">
        <v>41957</v>
      </c>
      <c r="B6162">
        <v>1</v>
      </c>
      <c r="C6162">
        <v>4</v>
      </c>
      <c r="D6162">
        <v>25</v>
      </c>
    </row>
    <row r="6163" spans="1:4" x14ac:dyDescent="0.25">
      <c r="A6163" s="1">
        <v>41958</v>
      </c>
      <c r="B6163">
        <v>1</v>
      </c>
      <c r="C6163">
        <v>4</v>
      </c>
      <c r="D6163">
        <v>24</v>
      </c>
    </row>
    <row r="6164" spans="1:4" x14ac:dyDescent="0.25">
      <c r="A6164" s="1">
        <v>41959</v>
      </c>
      <c r="B6164">
        <v>1</v>
      </c>
      <c r="C6164">
        <v>4</v>
      </c>
      <c r="D6164">
        <v>28</v>
      </c>
    </row>
    <row r="6165" spans="1:4" x14ac:dyDescent="0.25">
      <c r="A6165" s="1">
        <v>41960</v>
      </c>
      <c r="B6165">
        <v>1</v>
      </c>
      <c r="C6165">
        <v>4</v>
      </c>
      <c r="D6165">
        <v>12</v>
      </c>
    </row>
    <row r="6166" spans="1:4" x14ac:dyDescent="0.25">
      <c r="A6166" s="1">
        <v>41961</v>
      </c>
      <c r="B6166">
        <v>1</v>
      </c>
      <c r="C6166">
        <v>4</v>
      </c>
      <c r="D6166">
        <v>19</v>
      </c>
    </row>
    <row r="6167" spans="1:4" x14ac:dyDescent="0.25">
      <c r="A6167" s="1">
        <v>41962</v>
      </c>
      <c r="B6167">
        <v>1</v>
      </c>
      <c r="C6167">
        <v>4</v>
      </c>
      <c r="D6167">
        <v>13</v>
      </c>
    </row>
    <row r="6168" spans="1:4" x14ac:dyDescent="0.25">
      <c r="A6168" s="1">
        <v>41963</v>
      </c>
      <c r="B6168">
        <v>1</v>
      </c>
      <c r="C6168">
        <v>4</v>
      </c>
      <c r="D6168">
        <v>26</v>
      </c>
    </row>
    <row r="6169" spans="1:4" x14ac:dyDescent="0.25">
      <c r="A6169" s="1">
        <v>41964</v>
      </c>
      <c r="B6169">
        <v>1</v>
      </c>
      <c r="C6169">
        <v>4</v>
      </c>
      <c r="D6169">
        <v>25</v>
      </c>
    </row>
    <row r="6170" spans="1:4" x14ac:dyDescent="0.25">
      <c r="A6170" s="1">
        <v>41965</v>
      </c>
      <c r="B6170">
        <v>1</v>
      </c>
      <c r="C6170">
        <v>4</v>
      </c>
      <c r="D6170">
        <v>16</v>
      </c>
    </row>
    <row r="6171" spans="1:4" x14ac:dyDescent="0.25">
      <c r="A6171" s="1">
        <v>41966</v>
      </c>
      <c r="B6171">
        <v>1</v>
      </c>
      <c r="C6171">
        <v>4</v>
      </c>
      <c r="D6171">
        <v>29</v>
      </c>
    </row>
    <row r="6172" spans="1:4" x14ac:dyDescent="0.25">
      <c r="A6172" s="1">
        <v>41967</v>
      </c>
      <c r="B6172">
        <v>1</v>
      </c>
      <c r="C6172">
        <v>4</v>
      </c>
      <c r="D6172">
        <v>19</v>
      </c>
    </row>
    <row r="6173" spans="1:4" x14ac:dyDescent="0.25">
      <c r="A6173" s="1">
        <v>41968</v>
      </c>
      <c r="B6173">
        <v>1</v>
      </c>
      <c r="C6173">
        <v>4</v>
      </c>
      <c r="D6173">
        <v>18</v>
      </c>
    </row>
    <row r="6174" spans="1:4" x14ac:dyDescent="0.25">
      <c r="A6174" s="1">
        <v>41969</v>
      </c>
      <c r="B6174">
        <v>1</v>
      </c>
      <c r="C6174">
        <v>4</v>
      </c>
      <c r="D6174">
        <v>16</v>
      </c>
    </row>
    <row r="6175" spans="1:4" x14ac:dyDescent="0.25">
      <c r="A6175" s="1">
        <v>41970</v>
      </c>
      <c r="B6175">
        <v>1</v>
      </c>
      <c r="C6175">
        <v>4</v>
      </c>
      <c r="D6175">
        <v>21</v>
      </c>
    </row>
    <row r="6176" spans="1:4" x14ac:dyDescent="0.25">
      <c r="A6176" s="1">
        <v>41971</v>
      </c>
      <c r="B6176">
        <v>1</v>
      </c>
      <c r="C6176">
        <v>4</v>
      </c>
      <c r="D6176">
        <v>21</v>
      </c>
    </row>
    <row r="6177" spans="1:4" x14ac:dyDescent="0.25">
      <c r="A6177" s="1">
        <v>41972</v>
      </c>
      <c r="B6177">
        <v>1</v>
      </c>
      <c r="C6177">
        <v>4</v>
      </c>
      <c r="D6177">
        <v>24</v>
      </c>
    </row>
    <row r="6178" spans="1:4" x14ac:dyDescent="0.25">
      <c r="A6178" s="1">
        <v>41973</v>
      </c>
      <c r="B6178">
        <v>1</v>
      </c>
      <c r="C6178">
        <v>4</v>
      </c>
      <c r="D6178">
        <v>20</v>
      </c>
    </row>
    <row r="6179" spans="1:4" x14ac:dyDescent="0.25">
      <c r="A6179" s="1">
        <v>41974</v>
      </c>
      <c r="B6179">
        <v>1</v>
      </c>
      <c r="C6179">
        <v>4</v>
      </c>
      <c r="D6179">
        <v>13</v>
      </c>
    </row>
    <row r="6180" spans="1:4" x14ac:dyDescent="0.25">
      <c r="A6180" s="1">
        <v>41975</v>
      </c>
      <c r="B6180">
        <v>1</v>
      </c>
      <c r="C6180">
        <v>4</v>
      </c>
      <c r="D6180">
        <v>18</v>
      </c>
    </row>
    <row r="6181" spans="1:4" x14ac:dyDescent="0.25">
      <c r="A6181" s="1">
        <v>41976</v>
      </c>
      <c r="B6181">
        <v>1</v>
      </c>
      <c r="C6181">
        <v>4</v>
      </c>
      <c r="D6181">
        <v>12</v>
      </c>
    </row>
    <row r="6182" spans="1:4" x14ac:dyDescent="0.25">
      <c r="A6182" s="1">
        <v>41977</v>
      </c>
      <c r="B6182">
        <v>1</v>
      </c>
      <c r="C6182">
        <v>4</v>
      </c>
      <c r="D6182">
        <v>17</v>
      </c>
    </row>
    <row r="6183" spans="1:4" x14ac:dyDescent="0.25">
      <c r="A6183" s="1">
        <v>41978</v>
      </c>
      <c r="B6183">
        <v>1</v>
      </c>
      <c r="C6183">
        <v>4</v>
      </c>
      <c r="D6183">
        <v>17</v>
      </c>
    </row>
    <row r="6184" spans="1:4" x14ac:dyDescent="0.25">
      <c r="A6184" s="1">
        <v>41979</v>
      </c>
      <c r="B6184">
        <v>1</v>
      </c>
      <c r="C6184">
        <v>4</v>
      </c>
      <c r="D6184">
        <v>21</v>
      </c>
    </row>
    <row r="6185" spans="1:4" x14ac:dyDescent="0.25">
      <c r="A6185" s="1">
        <v>41980</v>
      </c>
      <c r="B6185">
        <v>1</v>
      </c>
      <c r="C6185">
        <v>4</v>
      </c>
      <c r="D6185">
        <v>15</v>
      </c>
    </row>
    <row r="6186" spans="1:4" x14ac:dyDescent="0.25">
      <c r="A6186" s="1">
        <v>41981</v>
      </c>
      <c r="B6186">
        <v>1</v>
      </c>
      <c r="C6186">
        <v>4</v>
      </c>
      <c r="D6186">
        <v>14</v>
      </c>
    </row>
    <row r="6187" spans="1:4" x14ac:dyDescent="0.25">
      <c r="A6187" s="1">
        <v>41982</v>
      </c>
      <c r="B6187">
        <v>1</v>
      </c>
      <c r="C6187">
        <v>4</v>
      </c>
      <c r="D6187">
        <v>12</v>
      </c>
    </row>
    <row r="6188" spans="1:4" x14ac:dyDescent="0.25">
      <c r="A6188" s="1">
        <v>41983</v>
      </c>
      <c r="B6188">
        <v>1</v>
      </c>
      <c r="C6188">
        <v>4</v>
      </c>
      <c r="D6188">
        <v>23</v>
      </c>
    </row>
    <row r="6189" spans="1:4" x14ac:dyDescent="0.25">
      <c r="A6189" s="1">
        <v>41984</v>
      </c>
      <c r="B6189">
        <v>1</v>
      </c>
      <c r="C6189">
        <v>4</v>
      </c>
      <c r="D6189">
        <v>16</v>
      </c>
    </row>
    <row r="6190" spans="1:4" x14ac:dyDescent="0.25">
      <c r="A6190" s="1">
        <v>41985</v>
      </c>
      <c r="B6190">
        <v>1</v>
      </c>
      <c r="C6190">
        <v>4</v>
      </c>
      <c r="D6190">
        <v>21</v>
      </c>
    </row>
    <row r="6191" spans="1:4" x14ac:dyDescent="0.25">
      <c r="A6191" s="1">
        <v>41986</v>
      </c>
      <c r="B6191">
        <v>1</v>
      </c>
      <c r="C6191">
        <v>4</v>
      </c>
      <c r="D6191">
        <v>12</v>
      </c>
    </row>
    <row r="6192" spans="1:4" x14ac:dyDescent="0.25">
      <c r="A6192" s="1">
        <v>41987</v>
      </c>
      <c r="B6192">
        <v>1</v>
      </c>
      <c r="C6192">
        <v>4</v>
      </c>
      <c r="D6192">
        <v>17</v>
      </c>
    </row>
    <row r="6193" spans="1:4" x14ac:dyDescent="0.25">
      <c r="A6193" s="1">
        <v>41988</v>
      </c>
      <c r="B6193">
        <v>1</v>
      </c>
      <c r="C6193">
        <v>4</v>
      </c>
      <c r="D6193">
        <v>8</v>
      </c>
    </row>
    <row r="6194" spans="1:4" x14ac:dyDescent="0.25">
      <c r="A6194" s="1">
        <v>41989</v>
      </c>
      <c r="B6194">
        <v>1</v>
      </c>
      <c r="C6194">
        <v>4</v>
      </c>
      <c r="D6194">
        <v>16</v>
      </c>
    </row>
    <row r="6195" spans="1:4" x14ac:dyDescent="0.25">
      <c r="A6195" s="1">
        <v>41990</v>
      </c>
      <c r="B6195">
        <v>1</v>
      </c>
      <c r="C6195">
        <v>4</v>
      </c>
      <c r="D6195">
        <v>13</v>
      </c>
    </row>
    <row r="6196" spans="1:4" x14ac:dyDescent="0.25">
      <c r="A6196" s="1">
        <v>41991</v>
      </c>
      <c r="B6196">
        <v>1</v>
      </c>
      <c r="C6196">
        <v>4</v>
      </c>
      <c r="D6196">
        <v>17</v>
      </c>
    </row>
    <row r="6197" spans="1:4" x14ac:dyDescent="0.25">
      <c r="A6197" s="1">
        <v>41992</v>
      </c>
      <c r="B6197">
        <v>1</v>
      </c>
      <c r="C6197">
        <v>4</v>
      </c>
      <c r="D6197">
        <v>14</v>
      </c>
    </row>
    <row r="6198" spans="1:4" x14ac:dyDescent="0.25">
      <c r="A6198" s="1">
        <v>41993</v>
      </c>
      <c r="B6198">
        <v>1</v>
      </c>
      <c r="C6198">
        <v>4</v>
      </c>
      <c r="D6198">
        <v>19</v>
      </c>
    </row>
    <row r="6199" spans="1:4" x14ac:dyDescent="0.25">
      <c r="A6199" s="1">
        <v>41994</v>
      </c>
      <c r="B6199">
        <v>1</v>
      </c>
      <c r="C6199">
        <v>4</v>
      </c>
      <c r="D6199">
        <v>13</v>
      </c>
    </row>
    <row r="6200" spans="1:4" x14ac:dyDescent="0.25">
      <c r="A6200" s="1">
        <v>41995</v>
      </c>
      <c r="B6200">
        <v>1</v>
      </c>
      <c r="C6200">
        <v>4</v>
      </c>
      <c r="D6200">
        <v>15</v>
      </c>
    </row>
    <row r="6201" spans="1:4" x14ac:dyDescent="0.25">
      <c r="A6201" s="1">
        <v>41996</v>
      </c>
      <c r="B6201">
        <v>1</v>
      </c>
      <c r="C6201">
        <v>4</v>
      </c>
      <c r="D6201">
        <v>19</v>
      </c>
    </row>
    <row r="6202" spans="1:4" x14ac:dyDescent="0.25">
      <c r="A6202" s="1">
        <v>41997</v>
      </c>
      <c r="B6202">
        <v>1</v>
      </c>
      <c r="C6202">
        <v>4</v>
      </c>
      <c r="D6202">
        <v>21</v>
      </c>
    </row>
    <row r="6203" spans="1:4" x14ac:dyDescent="0.25">
      <c r="A6203" s="1">
        <v>41998</v>
      </c>
      <c r="B6203">
        <v>1</v>
      </c>
      <c r="C6203">
        <v>4</v>
      </c>
      <c r="D6203">
        <v>10</v>
      </c>
    </row>
    <row r="6204" spans="1:4" x14ac:dyDescent="0.25">
      <c r="A6204" s="1">
        <v>41999</v>
      </c>
      <c r="B6204">
        <v>1</v>
      </c>
      <c r="C6204">
        <v>4</v>
      </c>
      <c r="D6204">
        <v>13</v>
      </c>
    </row>
    <row r="6205" spans="1:4" x14ac:dyDescent="0.25">
      <c r="A6205" s="1">
        <v>42000</v>
      </c>
      <c r="B6205">
        <v>1</v>
      </c>
      <c r="C6205">
        <v>4</v>
      </c>
      <c r="D6205">
        <v>15</v>
      </c>
    </row>
    <row r="6206" spans="1:4" x14ac:dyDescent="0.25">
      <c r="A6206" s="1">
        <v>42001</v>
      </c>
      <c r="B6206">
        <v>1</v>
      </c>
      <c r="C6206">
        <v>4</v>
      </c>
      <c r="D6206">
        <v>20</v>
      </c>
    </row>
    <row r="6207" spans="1:4" x14ac:dyDescent="0.25">
      <c r="A6207" s="1">
        <v>42002</v>
      </c>
      <c r="B6207">
        <v>1</v>
      </c>
      <c r="C6207">
        <v>4</v>
      </c>
      <c r="D6207">
        <v>7</v>
      </c>
    </row>
    <row r="6208" spans="1:4" x14ac:dyDescent="0.25">
      <c r="A6208" s="1">
        <v>42003</v>
      </c>
      <c r="B6208">
        <v>1</v>
      </c>
      <c r="C6208">
        <v>4</v>
      </c>
      <c r="D6208">
        <v>12</v>
      </c>
    </row>
    <row r="6209" spans="1:4" x14ac:dyDescent="0.25">
      <c r="A6209" s="1">
        <v>42004</v>
      </c>
      <c r="B6209">
        <v>1</v>
      </c>
      <c r="C6209">
        <v>4</v>
      </c>
      <c r="D6209">
        <v>14</v>
      </c>
    </row>
    <row r="6210" spans="1:4" x14ac:dyDescent="0.25">
      <c r="A6210" s="1">
        <v>42005</v>
      </c>
      <c r="B6210">
        <v>1</v>
      </c>
      <c r="C6210">
        <v>4</v>
      </c>
      <c r="D6210">
        <v>15</v>
      </c>
    </row>
    <row r="6211" spans="1:4" x14ac:dyDescent="0.25">
      <c r="A6211" s="1">
        <v>42006</v>
      </c>
      <c r="B6211">
        <v>1</v>
      </c>
      <c r="C6211">
        <v>4</v>
      </c>
      <c r="D6211">
        <v>20</v>
      </c>
    </row>
    <row r="6212" spans="1:4" x14ac:dyDescent="0.25">
      <c r="A6212" s="1">
        <v>42007</v>
      </c>
      <c r="B6212">
        <v>1</v>
      </c>
      <c r="C6212">
        <v>4</v>
      </c>
      <c r="D6212">
        <v>19</v>
      </c>
    </row>
    <row r="6213" spans="1:4" x14ac:dyDescent="0.25">
      <c r="A6213" s="1">
        <v>42008</v>
      </c>
      <c r="B6213">
        <v>1</v>
      </c>
      <c r="C6213">
        <v>4</v>
      </c>
      <c r="D6213">
        <v>23</v>
      </c>
    </row>
    <row r="6214" spans="1:4" x14ac:dyDescent="0.25">
      <c r="A6214" s="1">
        <v>42009</v>
      </c>
      <c r="B6214">
        <v>1</v>
      </c>
      <c r="C6214">
        <v>4</v>
      </c>
      <c r="D6214">
        <v>10</v>
      </c>
    </row>
    <row r="6215" spans="1:4" x14ac:dyDescent="0.25">
      <c r="A6215" s="1">
        <v>42010</v>
      </c>
      <c r="B6215">
        <v>1</v>
      </c>
      <c r="C6215">
        <v>4</v>
      </c>
      <c r="D6215">
        <v>13</v>
      </c>
    </row>
    <row r="6216" spans="1:4" x14ac:dyDescent="0.25">
      <c r="A6216" s="1">
        <v>42011</v>
      </c>
      <c r="B6216">
        <v>1</v>
      </c>
      <c r="C6216">
        <v>4</v>
      </c>
      <c r="D6216">
        <v>21</v>
      </c>
    </row>
    <row r="6217" spans="1:4" x14ac:dyDescent="0.25">
      <c r="A6217" s="1">
        <v>42012</v>
      </c>
      <c r="B6217">
        <v>1</v>
      </c>
      <c r="C6217">
        <v>4</v>
      </c>
      <c r="D6217">
        <v>16</v>
      </c>
    </row>
    <row r="6218" spans="1:4" x14ac:dyDescent="0.25">
      <c r="A6218" s="1">
        <v>42013</v>
      </c>
      <c r="B6218">
        <v>1</v>
      </c>
      <c r="C6218">
        <v>4</v>
      </c>
      <c r="D6218">
        <v>14</v>
      </c>
    </row>
    <row r="6219" spans="1:4" x14ac:dyDescent="0.25">
      <c r="A6219" s="1">
        <v>42014</v>
      </c>
      <c r="B6219">
        <v>1</v>
      </c>
      <c r="C6219">
        <v>4</v>
      </c>
      <c r="D6219">
        <v>28</v>
      </c>
    </row>
    <row r="6220" spans="1:4" x14ac:dyDescent="0.25">
      <c r="A6220" s="1">
        <v>42015</v>
      </c>
      <c r="B6220">
        <v>1</v>
      </c>
      <c r="C6220">
        <v>4</v>
      </c>
      <c r="D6220">
        <v>13</v>
      </c>
    </row>
    <row r="6221" spans="1:4" x14ac:dyDescent="0.25">
      <c r="A6221" s="1">
        <v>42016</v>
      </c>
      <c r="B6221">
        <v>1</v>
      </c>
      <c r="C6221">
        <v>4</v>
      </c>
      <c r="D6221">
        <v>15</v>
      </c>
    </row>
    <row r="6222" spans="1:4" x14ac:dyDescent="0.25">
      <c r="A6222" s="1">
        <v>42017</v>
      </c>
      <c r="B6222">
        <v>1</v>
      </c>
      <c r="C6222">
        <v>4</v>
      </c>
      <c r="D6222">
        <v>6</v>
      </c>
    </row>
    <row r="6223" spans="1:4" x14ac:dyDescent="0.25">
      <c r="A6223" s="1">
        <v>42018</v>
      </c>
      <c r="B6223">
        <v>1</v>
      </c>
      <c r="C6223">
        <v>4</v>
      </c>
      <c r="D6223">
        <v>14</v>
      </c>
    </row>
    <row r="6224" spans="1:4" x14ac:dyDescent="0.25">
      <c r="A6224" s="1">
        <v>42019</v>
      </c>
      <c r="B6224">
        <v>1</v>
      </c>
      <c r="C6224">
        <v>4</v>
      </c>
      <c r="D6224">
        <v>14</v>
      </c>
    </row>
    <row r="6225" spans="1:4" x14ac:dyDescent="0.25">
      <c r="A6225" s="1">
        <v>42020</v>
      </c>
      <c r="B6225">
        <v>1</v>
      </c>
      <c r="C6225">
        <v>4</v>
      </c>
      <c r="D6225">
        <v>11</v>
      </c>
    </row>
    <row r="6226" spans="1:4" x14ac:dyDescent="0.25">
      <c r="A6226" s="1">
        <v>42021</v>
      </c>
      <c r="B6226">
        <v>1</v>
      </c>
      <c r="C6226">
        <v>4</v>
      </c>
      <c r="D6226">
        <v>19</v>
      </c>
    </row>
    <row r="6227" spans="1:4" x14ac:dyDescent="0.25">
      <c r="A6227" s="1">
        <v>42022</v>
      </c>
      <c r="B6227">
        <v>1</v>
      </c>
      <c r="C6227">
        <v>4</v>
      </c>
      <c r="D6227">
        <v>18</v>
      </c>
    </row>
    <row r="6228" spans="1:4" x14ac:dyDescent="0.25">
      <c r="A6228" s="1">
        <v>42023</v>
      </c>
      <c r="B6228">
        <v>1</v>
      </c>
      <c r="C6228">
        <v>4</v>
      </c>
      <c r="D6228">
        <v>15</v>
      </c>
    </row>
    <row r="6229" spans="1:4" x14ac:dyDescent="0.25">
      <c r="A6229" s="1">
        <v>42024</v>
      </c>
      <c r="B6229">
        <v>1</v>
      </c>
      <c r="C6229">
        <v>4</v>
      </c>
      <c r="D6229">
        <v>9</v>
      </c>
    </row>
    <row r="6230" spans="1:4" x14ac:dyDescent="0.25">
      <c r="A6230" s="1">
        <v>42025</v>
      </c>
      <c r="B6230">
        <v>1</v>
      </c>
      <c r="C6230">
        <v>4</v>
      </c>
      <c r="D6230">
        <v>13</v>
      </c>
    </row>
    <row r="6231" spans="1:4" x14ac:dyDescent="0.25">
      <c r="A6231" s="1">
        <v>42026</v>
      </c>
      <c r="B6231">
        <v>1</v>
      </c>
      <c r="C6231">
        <v>4</v>
      </c>
      <c r="D6231">
        <v>6</v>
      </c>
    </row>
    <row r="6232" spans="1:4" x14ac:dyDescent="0.25">
      <c r="A6232" s="1">
        <v>42027</v>
      </c>
      <c r="B6232">
        <v>1</v>
      </c>
      <c r="C6232">
        <v>4</v>
      </c>
      <c r="D6232">
        <v>10</v>
      </c>
    </row>
    <row r="6233" spans="1:4" x14ac:dyDescent="0.25">
      <c r="A6233" s="1">
        <v>42028</v>
      </c>
      <c r="B6233">
        <v>1</v>
      </c>
      <c r="C6233">
        <v>4</v>
      </c>
      <c r="D6233">
        <v>13</v>
      </c>
    </row>
    <row r="6234" spans="1:4" x14ac:dyDescent="0.25">
      <c r="A6234" s="1">
        <v>42029</v>
      </c>
      <c r="B6234">
        <v>1</v>
      </c>
      <c r="C6234">
        <v>4</v>
      </c>
      <c r="D6234">
        <v>18</v>
      </c>
    </row>
    <row r="6235" spans="1:4" x14ac:dyDescent="0.25">
      <c r="A6235" s="1">
        <v>42030</v>
      </c>
      <c r="B6235">
        <v>1</v>
      </c>
      <c r="C6235">
        <v>4</v>
      </c>
      <c r="D6235">
        <v>9</v>
      </c>
    </row>
    <row r="6236" spans="1:4" x14ac:dyDescent="0.25">
      <c r="A6236" s="1">
        <v>42031</v>
      </c>
      <c r="B6236">
        <v>1</v>
      </c>
      <c r="C6236">
        <v>4</v>
      </c>
      <c r="D6236">
        <v>11</v>
      </c>
    </row>
    <row r="6237" spans="1:4" x14ac:dyDescent="0.25">
      <c r="A6237" s="1">
        <v>42032</v>
      </c>
      <c r="B6237">
        <v>1</v>
      </c>
      <c r="C6237">
        <v>4</v>
      </c>
      <c r="D6237">
        <v>14</v>
      </c>
    </row>
    <row r="6238" spans="1:4" x14ac:dyDescent="0.25">
      <c r="A6238" s="1">
        <v>42033</v>
      </c>
      <c r="B6238">
        <v>1</v>
      </c>
      <c r="C6238">
        <v>4</v>
      </c>
      <c r="D6238">
        <v>15</v>
      </c>
    </row>
    <row r="6239" spans="1:4" x14ac:dyDescent="0.25">
      <c r="A6239" s="1">
        <v>42034</v>
      </c>
      <c r="B6239">
        <v>1</v>
      </c>
      <c r="C6239">
        <v>4</v>
      </c>
      <c r="D6239">
        <v>18</v>
      </c>
    </row>
    <row r="6240" spans="1:4" x14ac:dyDescent="0.25">
      <c r="A6240" s="1">
        <v>42035</v>
      </c>
      <c r="B6240">
        <v>1</v>
      </c>
      <c r="C6240">
        <v>4</v>
      </c>
      <c r="D6240">
        <v>14</v>
      </c>
    </row>
    <row r="6241" spans="1:4" x14ac:dyDescent="0.25">
      <c r="A6241" s="1">
        <v>42036</v>
      </c>
      <c r="B6241">
        <v>1</v>
      </c>
      <c r="C6241">
        <v>4</v>
      </c>
      <c r="D6241">
        <v>15</v>
      </c>
    </row>
    <row r="6242" spans="1:4" x14ac:dyDescent="0.25">
      <c r="A6242" s="1">
        <v>42037</v>
      </c>
      <c r="B6242">
        <v>1</v>
      </c>
      <c r="C6242">
        <v>4</v>
      </c>
      <c r="D6242">
        <v>9</v>
      </c>
    </row>
    <row r="6243" spans="1:4" x14ac:dyDescent="0.25">
      <c r="A6243" s="1">
        <v>42038</v>
      </c>
      <c r="B6243">
        <v>1</v>
      </c>
      <c r="C6243">
        <v>4</v>
      </c>
      <c r="D6243">
        <v>17</v>
      </c>
    </row>
    <row r="6244" spans="1:4" x14ac:dyDescent="0.25">
      <c r="A6244" s="1">
        <v>42039</v>
      </c>
      <c r="B6244">
        <v>1</v>
      </c>
      <c r="C6244">
        <v>4</v>
      </c>
      <c r="D6244">
        <v>13</v>
      </c>
    </row>
    <row r="6245" spans="1:4" x14ac:dyDescent="0.25">
      <c r="A6245" s="1">
        <v>42040</v>
      </c>
      <c r="B6245">
        <v>1</v>
      </c>
      <c r="C6245">
        <v>4</v>
      </c>
      <c r="D6245">
        <v>14</v>
      </c>
    </row>
    <row r="6246" spans="1:4" x14ac:dyDescent="0.25">
      <c r="A6246" s="1">
        <v>42041</v>
      </c>
      <c r="B6246">
        <v>1</v>
      </c>
      <c r="C6246">
        <v>4</v>
      </c>
      <c r="D6246">
        <v>13</v>
      </c>
    </row>
    <row r="6247" spans="1:4" x14ac:dyDescent="0.25">
      <c r="A6247" s="1">
        <v>42042</v>
      </c>
      <c r="B6247">
        <v>1</v>
      </c>
      <c r="C6247">
        <v>4</v>
      </c>
      <c r="D6247">
        <v>13</v>
      </c>
    </row>
    <row r="6248" spans="1:4" x14ac:dyDescent="0.25">
      <c r="A6248" s="1">
        <v>42043</v>
      </c>
      <c r="B6248">
        <v>1</v>
      </c>
      <c r="C6248">
        <v>4</v>
      </c>
      <c r="D6248">
        <v>23</v>
      </c>
    </row>
    <row r="6249" spans="1:4" x14ac:dyDescent="0.25">
      <c r="A6249" s="1">
        <v>42044</v>
      </c>
      <c r="B6249">
        <v>1</v>
      </c>
      <c r="C6249">
        <v>4</v>
      </c>
      <c r="D6249">
        <v>5</v>
      </c>
    </row>
    <row r="6250" spans="1:4" x14ac:dyDescent="0.25">
      <c r="A6250" s="1">
        <v>42045</v>
      </c>
      <c r="B6250">
        <v>1</v>
      </c>
      <c r="C6250">
        <v>4</v>
      </c>
      <c r="D6250">
        <v>15</v>
      </c>
    </row>
    <row r="6251" spans="1:4" x14ac:dyDescent="0.25">
      <c r="A6251" s="1">
        <v>42046</v>
      </c>
      <c r="B6251">
        <v>1</v>
      </c>
      <c r="C6251">
        <v>4</v>
      </c>
      <c r="D6251">
        <v>15</v>
      </c>
    </row>
    <row r="6252" spans="1:4" x14ac:dyDescent="0.25">
      <c r="A6252" s="1">
        <v>42047</v>
      </c>
      <c r="B6252">
        <v>1</v>
      </c>
      <c r="C6252">
        <v>4</v>
      </c>
      <c r="D6252">
        <v>17</v>
      </c>
    </row>
    <row r="6253" spans="1:4" x14ac:dyDescent="0.25">
      <c r="A6253" s="1">
        <v>42048</v>
      </c>
      <c r="B6253">
        <v>1</v>
      </c>
      <c r="C6253">
        <v>4</v>
      </c>
      <c r="D6253">
        <v>13</v>
      </c>
    </row>
    <row r="6254" spans="1:4" x14ac:dyDescent="0.25">
      <c r="A6254" s="1">
        <v>42049</v>
      </c>
      <c r="B6254">
        <v>1</v>
      </c>
      <c r="C6254">
        <v>4</v>
      </c>
      <c r="D6254">
        <v>15</v>
      </c>
    </row>
    <row r="6255" spans="1:4" x14ac:dyDescent="0.25">
      <c r="A6255" s="1">
        <v>42050</v>
      </c>
      <c r="B6255">
        <v>1</v>
      </c>
      <c r="C6255">
        <v>4</v>
      </c>
      <c r="D6255">
        <v>20</v>
      </c>
    </row>
    <row r="6256" spans="1:4" x14ac:dyDescent="0.25">
      <c r="A6256" s="1">
        <v>42051</v>
      </c>
      <c r="B6256">
        <v>1</v>
      </c>
      <c r="C6256">
        <v>4</v>
      </c>
      <c r="D6256">
        <v>17</v>
      </c>
    </row>
    <row r="6257" spans="1:4" x14ac:dyDescent="0.25">
      <c r="A6257" s="1">
        <v>42052</v>
      </c>
      <c r="B6257">
        <v>1</v>
      </c>
      <c r="C6257">
        <v>4</v>
      </c>
      <c r="D6257">
        <v>15</v>
      </c>
    </row>
    <row r="6258" spans="1:4" x14ac:dyDescent="0.25">
      <c r="A6258" s="1">
        <v>42053</v>
      </c>
      <c r="B6258">
        <v>1</v>
      </c>
      <c r="C6258">
        <v>4</v>
      </c>
      <c r="D6258">
        <v>6</v>
      </c>
    </row>
    <row r="6259" spans="1:4" x14ac:dyDescent="0.25">
      <c r="A6259" s="1">
        <v>42054</v>
      </c>
      <c r="B6259">
        <v>1</v>
      </c>
      <c r="C6259">
        <v>4</v>
      </c>
      <c r="D6259">
        <v>20</v>
      </c>
    </row>
    <row r="6260" spans="1:4" x14ac:dyDescent="0.25">
      <c r="A6260" s="1">
        <v>42055</v>
      </c>
      <c r="B6260">
        <v>1</v>
      </c>
      <c r="C6260">
        <v>4</v>
      </c>
      <c r="D6260">
        <v>19</v>
      </c>
    </row>
    <row r="6261" spans="1:4" x14ac:dyDescent="0.25">
      <c r="A6261" s="1">
        <v>42056</v>
      </c>
      <c r="B6261">
        <v>1</v>
      </c>
      <c r="C6261">
        <v>4</v>
      </c>
      <c r="D6261">
        <v>12</v>
      </c>
    </row>
    <row r="6262" spans="1:4" x14ac:dyDescent="0.25">
      <c r="A6262" s="1">
        <v>42057</v>
      </c>
      <c r="B6262">
        <v>1</v>
      </c>
      <c r="C6262">
        <v>4</v>
      </c>
      <c r="D6262">
        <v>13</v>
      </c>
    </row>
    <row r="6263" spans="1:4" x14ac:dyDescent="0.25">
      <c r="A6263" s="1">
        <v>42058</v>
      </c>
      <c r="B6263">
        <v>1</v>
      </c>
      <c r="C6263">
        <v>4</v>
      </c>
      <c r="D6263">
        <v>9</v>
      </c>
    </row>
    <row r="6264" spans="1:4" x14ac:dyDescent="0.25">
      <c r="A6264" s="1">
        <v>42059</v>
      </c>
      <c r="B6264">
        <v>1</v>
      </c>
      <c r="C6264">
        <v>4</v>
      </c>
      <c r="D6264">
        <v>14</v>
      </c>
    </row>
    <row r="6265" spans="1:4" x14ac:dyDescent="0.25">
      <c r="A6265" s="1">
        <v>42060</v>
      </c>
      <c r="B6265">
        <v>1</v>
      </c>
      <c r="C6265">
        <v>4</v>
      </c>
      <c r="D6265">
        <v>11</v>
      </c>
    </row>
    <row r="6266" spans="1:4" x14ac:dyDescent="0.25">
      <c r="A6266" s="1">
        <v>42061</v>
      </c>
      <c r="B6266">
        <v>1</v>
      </c>
      <c r="C6266">
        <v>4</v>
      </c>
      <c r="D6266">
        <v>11</v>
      </c>
    </row>
    <row r="6267" spans="1:4" x14ac:dyDescent="0.25">
      <c r="A6267" s="1">
        <v>42062</v>
      </c>
      <c r="B6267">
        <v>1</v>
      </c>
      <c r="C6267">
        <v>4</v>
      </c>
      <c r="D6267">
        <v>21</v>
      </c>
    </row>
    <row r="6268" spans="1:4" x14ac:dyDescent="0.25">
      <c r="A6268" s="1">
        <v>42063</v>
      </c>
      <c r="B6268">
        <v>1</v>
      </c>
      <c r="C6268">
        <v>4</v>
      </c>
      <c r="D6268">
        <v>22</v>
      </c>
    </row>
    <row r="6269" spans="1:4" x14ac:dyDescent="0.25">
      <c r="A6269" s="1">
        <v>42064</v>
      </c>
      <c r="B6269">
        <v>1</v>
      </c>
      <c r="C6269">
        <v>4</v>
      </c>
      <c r="D6269">
        <v>23</v>
      </c>
    </row>
    <row r="6270" spans="1:4" x14ac:dyDescent="0.25">
      <c r="A6270" s="1">
        <v>42065</v>
      </c>
      <c r="B6270">
        <v>1</v>
      </c>
      <c r="C6270">
        <v>4</v>
      </c>
      <c r="D6270">
        <v>10</v>
      </c>
    </row>
    <row r="6271" spans="1:4" x14ac:dyDescent="0.25">
      <c r="A6271" s="1">
        <v>42066</v>
      </c>
      <c r="B6271">
        <v>1</v>
      </c>
      <c r="C6271">
        <v>4</v>
      </c>
      <c r="D6271">
        <v>25</v>
      </c>
    </row>
    <row r="6272" spans="1:4" x14ac:dyDescent="0.25">
      <c r="A6272" s="1">
        <v>42067</v>
      </c>
      <c r="B6272">
        <v>1</v>
      </c>
      <c r="C6272">
        <v>4</v>
      </c>
      <c r="D6272">
        <v>18</v>
      </c>
    </row>
    <row r="6273" spans="1:4" x14ac:dyDescent="0.25">
      <c r="A6273" s="1">
        <v>42068</v>
      </c>
      <c r="B6273">
        <v>1</v>
      </c>
      <c r="C6273">
        <v>4</v>
      </c>
      <c r="D6273">
        <v>19</v>
      </c>
    </row>
    <row r="6274" spans="1:4" x14ac:dyDescent="0.25">
      <c r="A6274" s="1">
        <v>42069</v>
      </c>
      <c r="B6274">
        <v>1</v>
      </c>
      <c r="C6274">
        <v>4</v>
      </c>
      <c r="D6274">
        <v>7</v>
      </c>
    </row>
    <row r="6275" spans="1:4" x14ac:dyDescent="0.25">
      <c r="A6275" s="1">
        <v>42070</v>
      </c>
      <c r="B6275">
        <v>1</v>
      </c>
      <c r="C6275">
        <v>4</v>
      </c>
      <c r="D6275">
        <v>21</v>
      </c>
    </row>
    <row r="6276" spans="1:4" x14ac:dyDescent="0.25">
      <c r="A6276" s="1">
        <v>42071</v>
      </c>
      <c r="B6276">
        <v>1</v>
      </c>
      <c r="C6276">
        <v>4</v>
      </c>
      <c r="D6276">
        <v>25</v>
      </c>
    </row>
    <row r="6277" spans="1:4" x14ac:dyDescent="0.25">
      <c r="A6277" s="1">
        <v>42072</v>
      </c>
      <c r="B6277">
        <v>1</v>
      </c>
      <c r="C6277">
        <v>4</v>
      </c>
      <c r="D6277">
        <v>17</v>
      </c>
    </row>
    <row r="6278" spans="1:4" x14ac:dyDescent="0.25">
      <c r="A6278" s="1">
        <v>42073</v>
      </c>
      <c r="B6278">
        <v>1</v>
      </c>
      <c r="C6278">
        <v>4</v>
      </c>
      <c r="D6278">
        <v>13</v>
      </c>
    </row>
    <row r="6279" spans="1:4" x14ac:dyDescent="0.25">
      <c r="A6279" s="1">
        <v>42074</v>
      </c>
      <c r="B6279">
        <v>1</v>
      </c>
      <c r="C6279">
        <v>4</v>
      </c>
      <c r="D6279">
        <v>14</v>
      </c>
    </row>
    <row r="6280" spans="1:4" x14ac:dyDescent="0.25">
      <c r="A6280" s="1">
        <v>42075</v>
      </c>
      <c r="B6280">
        <v>1</v>
      </c>
      <c r="C6280">
        <v>4</v>
      </c>
      <c r="D6280">
        <v>18</v>
      </c>
    </row>
    <row r="6281" spans="1:4" x14ac:dyDescent="0.25">
      <c r="A6281" s="1">
        <v>42076</v>
      </c>
      <c r="B6281">
        <v>1</v>
      </c>
      <c r="C6281">
        <v>4</v>
      </c>
      <c r="D6281">
        <v>12</v>
      </c>
    </row>
    <row r="6282" spans="1:4" x14ac:dyDescent="0.25">
      <c r="A6282" s="1">
        <v>42077</v>
      </c>
      <c r="B6282">
        <v>1</v>
      </c>
      <c r="C6282">
        <v>4</v>
      </c>
      <c r="D6282">
        <v>25</v>
      </c>
    </row>
    <row r="6283" spans="1:4" x14ac:dyDescent="0.25">
      <c r="A6283" s="1">
        <v>42078</v>
      </c>
      <c r="B6283">
        <v>1</v>
      </c>
      <c r="C6283">
        <v>4</v>
      </c>
      <c r="D6283">
        <v>20</v>
      </c>
    </row>
    <row r="6284" spans="1:4" x14ac:dyDescent="0.25">
      <c r="A6284" s="1">
        <v>42079</v>
      </c>
      <c r="B6284">
        <v>1</v>
      </c>
      <c r="C6284">
        <v>4</v>
      </c>
      <c r="D6284">
        <v>17</v>
      </c>
    </row>
    <row r="6285" spans="1:4" x14ac:dyDescent="0.25">
      <c r="A6285" s="1">
        <v>42080</v>
      </c>
      <c r="B6285">
        <v>1</v>
      </c>
      <c r="C6285">
        <v>4</v>
      </c>
      <c r="D6285">
        <v>18</v>
      </c>
    </row>
    <row r="6286" spans="1:4" x14ac:dyDescent="0.25">
      <c r="A6286" s="1">
        <v>42081</v>
      </c>
      <c r="B6286">
        <v>1</v>
      </c>
      <c r="C6286">
        <v>4</v>
      </c>
      <c r="D6286">
        <v>17</v>
      </c>
    </row>
    <row r="6287" spans="1:4" x14ac:dyDescent="0.25">
      <c r="A6287" s="1">
        <v>42082</v>
      </c>
      <c r="B6287">
        <v>1</v>
      </c>
      <c r="C6287">
        <v>4</v>
      </c>
      <c r="D6287">
        <v>21</v>
      </c>
    </row>
    <row r="6288" spans="1:4" x14ac:dyDescent="0.25">
      <c r="A6288" s="1">
        <v>42083</v>
      </c>
      <c r="B6288">
        <v>1</v>
      </c>
      <c r="C6288">
        <v>4</v>
      </c>
      <c r="D6288">
        <v>15</v>
      </c>
    </row>
    <row r="6289" spans="1:4" x14ac:dyDescent="0.25">
      <c r="A6289" s="1">
        <v>42084</v>
      </c>
      <c r="B6289">
        <v>1</v>
      </c>
      <c r="C6289">
        <v>4</v>
      </c>
      <c r="D6289">
        <v>20</v>
      </c>
    </row>
    <row r="6290" spans="1:4" x14ac:dyDescent="0.25">
      <c r="A6290" s="1">
        <v>42085</v>
      </c>
      <c r="B6290">
        <v>1</v>
      </c>
      <c r="C6290">
        <v>4</v>
      </c>
      <c r="D6290">
        <v>13</v>
      </c>
    </row>
    <row r="6291" spans="1:4" x14ac:dyDescent="0.25">
      <c r="A6291" s="1">
        <v>42086</v>
      </c>
      <c r="B6291">
        <v>1</v>
      </c>
      <c r="C6291">
        <v>4</v>
      </c>
      <c r="D6291">
        <v>12</v>
      </c>
    </row>
    <row r="6292" spans="1:4" x14ac:dyDescent="0.25">
      <c r="A6292" s="1">
        <v>42087</v>
      </c>
      <c r="B6292">
        <v>1</v>
      </c>
      <c r="C6292">
        <v>4</v>
      </c>
      <c r="D6292">
        <v>15</v>
      </c>
    </row>
    <row r="6293" spans="1:4" x14ac:dyDescent="0.25">
      <c r="A6293" s="1">
        <v>42088</v>
      </c>
      <c r="B6293">
        <v>1</v>
      </c>
      <c r="C6293">
        <v>4</v>
      </c>
      <c r="D6293">
        <v>13</v>
      </c>
    </row>
    <row r="6294" spans="1:4" x14ac:dyDescent="0.25">
      <c r="A6294" s="1">
        <v>42089</v>
      </c>
      <c r="B6294">
        <v>1</v>
      </c>
      <c r="C6294">
        <v>4</v>
      </c>
      <c r="D6294">
        <v>17</v>
      </c>
    </row>
    <row r="6295" spans="1:4" x14ac:dyDescent="0.25">
      <c r="A6295" s="1">
        <v>42090</v>
      </c>
      <c r="B6295">
        <v>1</v>
      </c>
      <c r="C6295">
        <v>4</v>
      </c>
      <c r="D6295">
        <v>18</v>
      </c>
    </row>
    <row r="6296" spans="1:4" x14ac:dyDescent="0.25">
      <c r="A6296" s="1">
        <v>42091</v>
      </c>
      <c r="B6296">
        <v>1</v>
      </c>
      <c r="C6296">
        <v>4</v>
      </c>
      <c r="D6296">
        <v>19</v>
      </c>
    </row>
    <row r="6297" spans="1:4" x14ac:dyDescent="0.25">
      <c r="A6297" s="1">
        <v>42092</v>
      </c>
      <c r="B6297">
        <v>1</v>
      </c>
      <c r="C6297">
        <v>4</v>
      </c>
      <c r="D6297">
        <v>26</v>
      </c>
    </row>
    <row r="6298" spans="1:4" x14ac:dyDescent="0.25">
      <c r="A6298" s="1">
        <v>42093</v>
      </c>
      <c r="B6298">
        <v>1</v>
      </c>
      <c r="C6298">
        <v>4</v>
      </c>
      <c r="D6298">
        <v>20</v>
      </c>
    </row>
    <row r="6299" spans="1:4" x14ac:dyDescent="0.25">
      <c r="A6299" s="1">
        <v>42094</v>
      </c>
      <c r="B6299">
        <v>1</v>
      </c>
      <c r="C6299">
        <v>4</v>
      </c>
      <c r="D6299">
        <v>24</v>
      </c>
    </row>
    <row r="6300" spans="1:4" x14ac:dyDescent="0.25">
      <c r="A6300" s="1">
        <v>42095</v>
      </c>
      <c r="B6300">
        <v>1</v>
      </c>
      <c r="C6300">
        <v>4</v>
      </c>
      <c r="D6300">
        <v>12</v>
      </c>
    </row>
    <row r="6301" spans="1:4" x14ac:dyDescent="0.25">
      <c r="A6301" s="1">
        <v>42096</v>
      </c>
      <c r="B6301">
        <v>1</v>
      </c>
      <c r="C6301">
        <v>4</v>
      </c>
      <c r="D6301">
        <v>21</v>
      </c>
    </row>
    <row r="6302" spans="1:4" x14ac:dyDescent="0.25">
      <c r="A6302" s="1">
        <v>42097</v>
      </c>
      <c r="B6302">
        <v>1</v>
      </c>
      <c r="C6302">
        <v>4</v>
      </c>
      <c r="D6302">
        <v>26</v>
      </c>
    </row>
    <row r="6303" spans="1:4" x14ac:dyDescent="0.25">
      <c r="A6303" s="1">
        <v>42098</v>
      </c>
      <c r="B6303">
        <v>1</v>
      </c>
      <c r="C6303">
        <v>4</v>
      </c>
      <c r="D6303">
        <v>30</v>
      </c>
    </row>
    <row r="6304" spans="1:4" x14ac:dyDescent="0.25">
      <c r="A6304" s="1">
        <v>42099</v>
      </c>
      <c r="B6304">
        <v>1</v>
      </c>
      <c r="C6304">
        <v>4</v>
      </c>
      <c r="D6304">
        <v>32</v>
      </c>
    </row>
    <row r="6305" spans="1:4" x14ac:dyDescent="0.25">
      <c r="A6305" s="1">
        <v>42100</v>
      </c>
      <c r="B6305">
        <v>1</v>
      </c>
      <c r="C6305">
        <v>4</v>
      </c>
      <c r="D6305">
        <v>12</v>
      </c>
    </row>
    <row r="6306" spans="1:4" x14ac:dyDescent="0.25">
      <c r="A6306" s="1">
        <v>42101</v>
      </c>
      <c r="B6306">
        <v>1</v>
      </c>
      <c r="C6306">
        <v>4</v>
      </c>
      <c r="D6306">
        <v>28</v>
      </c>
    </row>
    <row r="6307" spans="1:4" x14ac:dyDescent="0.25">
      <c r="A6307" s="1">
        <v>42102</v>
      </c>
      <c r="B6307">
        <v>1</v>
      </c>
      <c r="C6307">
        <v>4</v>
      </c>
      <c r="D6307">
        <v>23</v>
      </c>
    </row>
    <row r="6308" spans="1:4" x14ac:dyDescent="0.25">
      <c r="A6308" s="1">
        <v>42103</v>
      </c>
      <c r="B6308">
        <v>1</v>
      </c>
      <c r="C6308">
        <v>4</v>
      </c>
      <c r="D6308">
        <v>24</v>
      </c>
    </row>
    <row r="6309" spans="1:4" x14ac:dyDescent="0.25">
      <c r="A6309" s="1">
        <v>42104</v>
      </c>
      <c r="B6309">
        <v>1</v>
      </c>
      <c r="C6309">
        <v>4</v>
      </c>
      <c r="D6309">
        <v>20</v>
      </c>
    </row>
    <row r="6310" spans="1:4" x14ac:dyDescent="0.25">
      <c r="A6310" s="1">
        <v>42105</v>
      </c>
      <c r="B6310">
        <v>1</v>
      </c>
      <c r="C6310">
        <v>4</v>
      </c>
      <c r="D6310">
        <v>27</v>
      </c>
    </row>
    <row r="6311" spans="1:4" x14ac:dyDescent="0.25">
      <c r="A6311" s="1">
        <v>42106</v>
      </c>
      <c r="B6311">
        <v>1</v>
      </c>
      <c r="C6311">
        <v>4</v>
      </c>
      <c r="D6311">
        <v>19</v>
      </c>
    </row>
    <row r="6312" spans="1:4" x14ac:dyDescent="0.25">
      <c r="A6312" s="1">
        <v>42107</v>
      </c>
      <c r="B6312">
        <v>1</v>
      </c>
      <c r="C6312">
        <v>4</v>
      </c>
      <c r="D6312">
        <v>15</v>
      </c>
    </row>
    <row r="6313" spans="1:4" x14ac:dyDescent="0.25">
      <c r="A6313" s="1">
        <v>42108</v>
      </c>
      <c r="B6313">
        <v>1</v>
      </c>
      <c r="C6313">
        <v>4</v>
      </c>
      <c r="D6313">
        <v>21</v>
      </c>
    </row>
    <row r="6314" spans="1:4" x14ac:dyDescent="0.25">
      <c r="A6314" s="1">
        <v>42109</v>
      </c>
      <c r="B6314">
        <v>1</v>
      </c>
      <c r="C6314">
        <v>4</v>
      </c>
      <c r="D6314">
        <v>19</v>
      </c>
    </row>
    <row r="6315" spans="1:4" x14ac:dyDescent="0.25">
      <c r="A6315" s="1">
        <v>42110</v>
      </c>
      <c r="B6315">
        <v>1</v>
      </c>
      <c r="C6315">
        <v>4</v>
      </c>
      <c r="D6315">
        <v>26</v>
      </c>
    </row>
    <row r="6316" spans="1:4" x14ac:dyDescent="0.25">
      <c r="A6316" s="1">
        <v>42111</v>
      </c>
      <c r="B6316">
        <v>1</v>
      </c>
      <c r="C6316">
        <v>4</v>
      </c>
      <c r="D6316">
        <v>22</v>
      </c>
    </row>
    <row r="6317" spans="1:4" x14ac:dyDescent="0.25">
      <c r="A6317" s="1">
        <v>42112</v>
      </c>
      <c r="B6317">
        <v>1</v>
      </c>
      <c r="C6317">
        <v>4</v>
      </c>
      <c r="D6317">
        <v>18</v>
      </c>
    </row>
    <row r="6318" spans="1:4" x14ac:dyDescent="0.25">
      <c r="A6318" s="1">
        <v>42113</v>
      </c>
      <c r="B6318">
        <v>1</v>
      </c>
      <c r="C6318">
        <v>4</v>
      </c>
      <c r="D6318">
        <v>27</v>
      </c>
    </row>
    <row r="6319" spans="1:4" x14ac:dyDescent="0.25">
      <c r="A6319" s="1">
        <v>42114</v>
      </c>
      <c r="B6319">
        <v>1</v>
      </c>
      <c r="C6319">
        <v>4</v>
      </c>
      <c r="D6319">
        <v>13</v>
      </c>
    </row>
    <row r="6320" spans="1:4" x14ac:dyDescent="0.25">
      <c r="A6320" s="1">
        <v>42115</v>
      </c>
      <c r="B6320">
        <v>1</v>
      </c>
      <c r="C6320">
        <v>4</v>
      </c>
      <c r="D6320">
        <v>21</v>
      </c>
    </row>
    <row r="6321" spans="1:4" x14ac:dyDescent="0.25">
      <c r="A6321" s="1">
        <v>42116</v>
      </c>
      <c r="B6321">
        <v>1</v>
      </c>
      <c r="C6321">
        <v>4</v>
      </c>
      <c r="D6321">
        <v>21</v>
      </c>
    </row>
    <row r="6322" spans="1:4" x14ac:dyDescent="0.25">
      <c r="A6322" s="1">
        <v>42117</v>
      </c>
      <c r="B6322">
        <v>1</v>
      </c>
      <c r="C6322">
        <v>4</v>
      </c>
      <c r="D6322">
        <v>27</v>
      </c>
    </row>
    <row r="6323" spans="1:4" x14ac:dyDescent="0.25">
      <c r="A6323" s="1">
        <v>42118</v>
      </c>
      <c r="B6323">
        <v>1</v>
      </c>
      <c r="C6323">
        <v>4</v>
      </c>
      <c r="D6323">
        <v>25</v>
      </c>
    </row>
    <row r="6324" spans="1:4" x14ac:dyDescent="0.25">
      <c r="A6324" s="1">
        <v>42119</v>
      </c>
      <c r="B6324">
        <v>1</v>
      </c>
      <c r="C6324">
        <v>4</v>
      </c>
      <c r="D6324">
        <v>25</v>
      </c>
    </row>
    <row r="6325" spans="1:4" x14ac:dyDescent="0.25">
      <c r="A6325" s="1">
        <v>42120</v>
      </c>
      <c r="B6325">
        <v>1</v>
      </c>
      <c r="C6325">
        <v>4</v>
      </c>
      <c r="D6325">
        <v>26</v>
      </c>
    </row>
    <row r="6326" spans="1:4" x14ac:dyDescent="0.25">
      <c r="A6326" s="1">
        <v>42121</v>
      </c>
      <c r="B6326">
        <v>1</v>
      </c>
      <c r="C6326">
        <v>4</v>
      </c>
      <c r="D6326">
        <v>16</v>
      </c>
    </row>
    <row r="6327" spans="1:4" x14ac:dyDescent="0.25">
      <c r="A6327" s="1">
        <v>42122</v>
      </c>
      <c r="B6327">
        <v>1</v>
      </c>
      <c r="C6327">
        <v>4</v>
      </c>
      <c r="D6327">
        <v>24</v>
      </c>
    </row>
    <row r="6328" spans="1:4" x14ac:dyDescent="0.25">
      <c r="A6328" s="1">
        <v>42123</v>
      </c>
      <c r="B6328">
        <v>1</v>
      </c>
      <c r="C6328">
        <v>4</v>
      </c>
      <c r="D6328">
        <v>20</v>
      </c>
    </row>
    <row r="6329" spans="1:4" x14ac:dyDescent="0.25">
      <c r="A6329" s="1">
        <v>42124</v>
      </c>
      <c r="B6329">
        <v>1</v>
      </c>
      <c r="C6329">
        <v>4</v>
      </c>
      <c r="D6329">
        <v>26</v>
      </c>
    </row>
    <row r="6330" spans="1:4" x14ac:dyDescent="0.25">
      <c r="A6330" s="1">
        <v>42125</v>
      </c>
      <c r="B6330">
        <v>1</v>
      </c>
      <c r="C6330">
        <v>4</v>
      </c>
      <c r="D6330">
        <v>26</v>
      </c>
    </row>
    <row r="6331" spans="1:4" x14ac:dyDescent="0.25">
      <c r="A6331" s="1">
        <v>42126</v>
      </c>
      <c r="B6331">
        <v>1</v>
      </c>
      <c r="C6331">
        <v>4</v>
      </c>
      <c r="D6331">
        <v>24</v>
      </c>
    </row>
    <row r="6332" spans="1:4" x14ac:dyDescent="0.25">
      <c r="A6332" s="1">
        <v>42127</v>
      </c>
      <c r="B6332">
        <v>1</v>
      </c>
      <c r="C6332">
        <v>4</v>
      </c>
      <c r="D6332">
        <v>21</v>
      </c>
    </row>
    <row r="6333" spans="1:4" x14ac:dyDescent="0.25">
      <c r="A6333" s="1">
        <v>42128</v>
      </c>
      <c r="B6333">
        <v>1</v>
      </c>
      <c r="C6333">
        <v>4</v>
      </c>
      <c r="D6333">
        <v>21</v>
      </c>
    </row>
    <row r="6334" spans="1:4" x14ac:dyDescent="0.25">
      <c r="A6334" s="1">
        <v>42129</v>
      </c>
      <c r="B6334">
        <v>1</v>
      </c>
      <c r="C6334">
        <v>4</v>
      </c>
      <c r="D6334">
        <v>16</v>
      </c>
    </row>
    <row r="6335" spans="1:4" x14ac:dyDescent="0.25">
      <c r="A6335" s="1">
        <v>42130</v>
      </c>
      <c r="B6335">
        <v>1</v>
      </c>
      <c r="C6335">
        <v>4</v>
      </c>
      <c r="D6335">
        <v>14</v>
      </c>
    </row>
    <row r="6336" spans="1:4" x14ac:dyDescent="0.25">
      <c r="A6336" s="1">
        <v>42131</v>
      </c>
      <c r="B6336">
        <v>1</v>
      </c>
      <c r="C6336">
        <v>4</v>
      </c>
      <c r="D6336">
        <v>18</v>
      </c>
    </row>
    <row r="6337" spans="1:4" x14ac:dyDescent="0.25">
      <c r="A6337" s="1">
        <v>42132</v>
      </c>
      <c r="B6337">
        <v>1</v>
      </c>
      <c r="C6337">
        <v>4</v>
      </c>
      <c r="D6337">
        <v>32</v>
      </c>
    </row>
    <row r="6338" spans="1:4" x14ac:dyDescent="0.25">
      <c r="A6338" s="1">
        <v>42133</v>
      </c>
      <c r="B6338">
        <v>1</v>
      </c>
      <c r="C6338">
        <v>4</v>
      </c>
      <c r="D6338">
        <v>30</v>
      </c>
    </row>
    <row r="6339" spans="1:4" x14ac:dyDescent="0.25">
      <c r="A6339" s="1">
        <v>42134</v>
      </c>
      <c r="B6339">
        <v>1</v>
      </c>
      <c r="C6339">
        <v>4</v>
      </c>
      <c r="D6339">
        <v>25</v>
      </c>
    </row>
    <row r="6340" spans="1:4" x14ac:dyDescent="0.25">
      <c r="A6340" s="1">
        <v>42135</v>
      </c>
      <c r="B6340">
        <v>1</v>
      </c>
      <c r="C6340">
        <v>4</v>
      </c>
      <c r="D6340">
        <v>15</v>
      </c>
    </row>
    <row r="6341" spans="1:4" x14ac:dyDescent="0.25">
      <c r="A6341" s="1">
        <v>42136</v>
      </c>
      <c r="B6341">
        <v>1</v>
      </c>
      <c r="C6341">
        <v>4</v>
      </c>
      <c r="D6341">
        <v>20</v>
      </c>
    </row>
    <row r="6342" spans="1:4" x14ac:dyDescent="0.25">
      <c r="A6342" s="1">
        <v>42137</v>
      </c>
      <c r="B6342">
        <v>1</v>
      </c>
      <c r="C6342">
        <v>4</v>
      </c>
      <c r="D6342">
        <v>18</v>
      </c>
    </row>
    <row r="6343" spans="1:4" x14ac:dyDescent="0.25">
      <c r="A6343" s="1">
        <v>42138</v>
      </c>
      <c r="B6343">
        <v>1</v>
      </c>
      <c r="C6343">
        <v>4</v>
      </c>
      <c r="D6343">
        <v>22</v>
      </c>
    </row>
    <row r="6344" spans="1:4" x14ac:dyDescent="0.25">
      <c r="A6344" s="1">
        <v>42139</v>
      </c>
      <c r="B6344">
        <v>1</v>
      </c>
      <c r="C6344">
        <v>4</v>
      </c>
      <c r="D6344">
        <v>34</v>
      </c>
    </row>
    <row r="6345" spans="1:4" x14ac:dyDescent="0.25">
      <c r="A6345" s="1">
        <v>42140</v>
      </c>
      <c r="B6345">
        <v>1</v>
      </c>
      <c r="C6345">
        <v>4</v>
      </c>
      <c r="D6345">
        <v>21</v>
      </c>
    </row>
    <row r="6346" spans="1:4" x14ac:dyDescent="0.25">
      <c r="A6346" s="1">
        <v>42141</v>
      </c>
      <c r="B6346">
        <v>1</v>
      </c>
      <c r="C6346">
        <v>4</v>
      </c>
      <c r="D6346">
        <v>34</v>
      </c>
    </row>
    <row r="6347" spans="1:4" x14ac:dyDescent="0.25">
      <c r="A6347" s="1">
        <v>42142</v>
      </c>
      <c r="B6347">
        <v>1</v>
      </c>
      <c r="C6347">
        <v>4</v>
      </c>
      <c r="D6347">
        <v>24</v>
      </c>
    </row>
    <row r="6348" spans="1:4" x14ac:dyDescent="0.25">
      <c r="A6348" s="1">
        <v>42143</v>
      </c>
      <c r="B6348">
        <v>1</v>
      </c>
      <c r="C6348">
        <v>4</v>
      </c>
      <c r="D6348">
        <v>22</v>
      </c>
    </row>
    <row r="6349" spans="1:4" x14ac:dyDescent="0.25">
      <c r="A6349" s="1">
        <v>42144</v>
      </c>
      <c r="B6349">
        <v>1</v>
      </c>
      <c r="C6349">
        <v>4</v>
      </c>
      <c r="D6349">
        <v>19</v>
      </c>
    </row>
    <row r="6350" spans="1:4" x14ac:dyDescent="0.25">
      <c r="A6350" s="1">
        <v>42145</v>
      </c>
      <c r="B6350">
        <v>1</v>
      </c>
      <c r="C6350">
        <v>4</v>
      </c>
      <c r="D6350">
        <v>23</v>
      </c>
    </row>
    <row r="6351" spans="1:4" x14ac:dyDescent="0.25">
      <c r="A6351" s="1">
        <v>42146</v>
      </c>
      <c r="B6351">
        <v>1</v>
      </c>
      <c r="C6351">
        <v>4</v>
      </c>
      <c r="D6351">
        <v>29</v>
      </c>
    </row>
    <row r="6352" spans="1:4" x14ac:dyDescent="0.25">
      <c r="A6352" s="1">
        <v>42147</v>
      </c>
      <c r="B6352">
        <v>1</v>
      </c>
      <c r="C6352">
        <v>4</v>
      </c>
      <c r="D6352">
        <v>28</v>
      </c>
    </row>
    <row r="6353" spans="1:4" x14ac:dyDescent="0.25">
      <c r="A6353" s="1">
        <v>42148</v>
      </c>
      <c r="B6353">
        <v>1</v>
      </c>
      <c r="C6353">
        <v>4</v>
      </c>
      <c r="D6353">
        <v>28</v>
      </c>
    </row>
    <row r="6354" spans="1:4" x14ac:dyDescent="0.25">
      <c r="A6354" s="1">
        <v>42149</v>
      </c>
      <c r="B6354">
        <v>1</v>
      </c>
      <c r="C6354">
        <v>4</v>
      </c>
      <c r="D6354">
        <v>15</v>
      </c>
    </row>
    <row r="6355" spans="1:4" x14ac:dyDescent="0.25">
      <c r="A6355" s="1">
        <v>42150</v>
      </c>
      <c r="B6355">
        <v>1</v>
      </c>
      <c r="C6355">
        <v>4</v>
      </c>
      <c r="D6355">
        <v>16</v>
      </c>
    </row>
    <row r="6356" spans="1:4" x14ac:dyDescent="0.25">
      <c r="A6356" s="1">
        <v>42151</v>
      </c>
      <c r="B6356">
        <v>1</v>
      </c>
      <c r="C6356">
        <v>4</v>
      </c>
      <c r="D6356">
        <v>24</v>
      </c>
    </row>
    <row r="6357" spans="1:4" x14ac:dyDescent="0.25">
      <c r="A6357" s="1">
        <v>42152</v>
      </c>
      <c r="B6357">
        <v>1</v>
      </c>
      <c r="C6357">
        <v>4</v>
      </c>
      <c r="D6357">
        <v>21</v>
      </c>
    </row>
    <row r="6358" spans="1:4" x14ac:dyDescent="0.25">
      <c r="A6358" s="1">
        <v>42153</v>
      </c>
      <c r="B6358">
        <v>1</v>
      </c>
      <c r="C6358">
        <v>4</v>
      </c>
      <c r="D6358">
        <v>32</v>
      </c>
    </row>
    <row r="6359" spans="1:4" x14ac:dyDescent="0.25">
      <c r="A6359" s="1">
        <v>42154</v>
      </c>
      <c r="B6359">
        <v>1</v>
      </c>
      <c r="C6359">
        <v>4</v>
      </c>
      <c r="D6359">
        <v>31</v>
      </c>
    </row>
    <row r="6360" spans="1:4" x14ac:dyDescent="0.25">
      <c r="A6360" s="1">
        <v>42155</v>
      </c>
      <c r="B6360">
        <v>1</v>
      </c>
      <c r="C6360">
        <v>4</v>
      </c>
      <c r="D6360">
        <v>29</v>
      </c>
    </row>
    <row r="6361" spans="1:4" x14ac:dyDescent="0.25">
      <c r="A6361" s="1">
        <v>42156</v>
      </c>
      <c r="B6361">
        <v>1</v>
      </c>
      <c r="C6361">
        <v>4</v>
      </c>
      <c r="D6361">
        <v>16</v>
      </c>
    </row>
    <row r="6362" spans="1:4" x14ac:dyDescent="0.25">
      <c r="A6362" s="1">
        <v>42157</v>
      </c>
      <c r="B6362">
        <v>1</v>
      </c>
      <c r="C6362">
        <v>4</v>
      </c>
      <c r="D6362">
        <v>25</v>
      </c>
    </row>
    <row r="6363" spans="1:4" x14ac:dyDescent="0.25">
      <c r="A6363" s="1">
        <v>42158</v>
      </c>
      <c r="B6363">
        <v>1</v>
      </c>
      <c r="C6363">
        <v>4</v>
      </c>
      <c r="D6363">
        <v>24</v>
      </c>
    </row>
    <row r="6364" spans="1:4" x14ac:dyDescent="0.25">
      <c r="A6364" s="1">
        <v>42159</v>
      </c>
      <c r="B6364">
        <v>1</v>
      </c>
      <c r="C6364">
        <v>4</v>
      </c>
      <c r="D6364">
        <v>25</v>
      </c>
    </row>
    <row r="6365" spans="1:4" x14ac:dyDescent="0.25">
      <c r="A6365" s="1">
        <v>42160</v>
      </c>
      <c r="B6365">
        <v>1</v>
      </c>
      <c r="C6365">
        <v>4</v>
      </c>
      <c r="D6365">
        <v>33</v>
      </c>
    </row>
    <row r="6366" spans="1:4" x14ac:dyDescent="0.25">
      <c r="A6366" s="1">
        <v>42161</v>
      </c>
      <c r="B6366">
        <v>1</v>
      </c>
      <c r="C6366">
        <v>4</v>
      </c>
      <c r="D6366">
        <v>26</v>
      </c>
    </row>
    <row r="6367" spans="1:4" x14ac:dyDescent="0.25">
      <c r="A6367" s="1">
        <v>42162</v>
      </c>
      <c r="B6367">
        <v>1</v>
      </c>
      <c r="C6367">
        <v>4</v>
      </c>
      <c r="D6367">
        <v>31</v>
      </c>
    </row>
    <row r="6368" spans="1:4" x14ac:dyDescent="0.25">
      <c r="A6368" s="1">
        <v>42163</v>
      </c>
      <c r="B6368">
        <v>1</v>
      </c>
      <c r="C6368">
        <v>4</v>
      </c>
      <c r="D6368">
        <v>12</v>
      </c>
    </row>
    <row r="6369" spans="1:4" x14ac:dyDescent="0.25">
      <c r="A6369" s="1">
        <v>42164</v>
      </c>
      <c r="B6369">
        <v>1</v>
      </c>
      <c r="C6369">
        <v>4</v>
      </c>
      <c r="D6369">
        <v>30</v>
      </c>
    </row>
    <row r="6370" spans="1:4" x14ac:dyDescent="0.25">
      <c r="A6370" s="1">
        <v>42165</v>
      </c>
      <c r="B6370">
        <v>1</v>
      </c>
      <c r="C6370">
        <v>4</v>
      </c>
      <c r="D6370">
        <v>17</v>
      </c>
    </row>
    <row r="6371" spans="1:4" x14ac:dyDescent="0.25">
      <c r="A6371" s="1">
        <v>42166</v>
      </c>
      <c r="B6371">
        <v>1</v>
      </c>
      <c r="C6371">
        <v>4</v>
      </c>
      <c r="D6371">
        <v>23</v>
      </c>
    </row>
    <row r="6372" spans="1:4" x14ac:dyDescent="0.25">
      <c r="A6372" s="1">
        <v>42167</v>
      </c>
      <c r="B6372">
        <v>1</v>
      </c>
      <c r="C6372">
        <v>4</v>
      </c>
      <c r="D6372">
        <v>16</v>
      </c>
    </row>
    <row r="6373" spans="1:4" x14ac:dyDescent="0.25">
      <c r="A6373" s="1">
        <v>42168</v>
      </c>
      <c r="B6373">
        <v>1</v>
      </c>
      <c r="C6373">
        <v>4</v>
      </c>
      <c r="D6373">
        <v>27</v>
      </c>
    </row>
    <row r="6374" spans="1:4" x14ac:dyDescent="0.25">
      <c r="A6374" s="1">
        <v>42169</v>
      </c>
      <c r="B6374">
        <v>1</v>
      </c>
      <c r="C6374">
        <v>4</v>
      </c>
      <c r="D6374">
        <v>32</v>
      </c>
    </row>
    <row r="6375" spans="1:4" x14ac:dyDescent="0.25">
      <c r="A6375" s="1">
        <v>42170</v>
      </c>
      <c r="B6375">
        <v>1</v>
      </c>
      <c r="C6375">
        <v>4</v>
      </c>
      <c r="D6375">
        <v>21</v>
      </c>
    </row>
    <row r="6376" spans="1:4" x14ac:dyDescent="0.25">
      <c r="A6376" s="1">
        <v>42171</v>
      </c>
      <c r="B6376">
        <v>1</v>
      </c>
      <c r="C6376">
        <v>4</v>
      </c>
      <c r="D6376">
        <v>16</v>
      </c>
    </row>
    <row r="6377" spans="1:4" x14ac:dyDescent="0.25">
      <c r="A6377" s="1">
        <v>42172</v>
      </c>
      <c r="B6377">
        <v>1</v>
      </c>
      <c r="C6377">
        <v>4</v>
      </c>
      <c r="D6377">
        <v>23</v>
      </c>
    </row>
    <row r="6378" spans="1:4" x14ac:dyDescent="0.25">
      <c r="A6378" s="1">
        <v>42173</v>
      </c>
      <c r="B6378">
        <v>1</v>
      </c>
      <c r="C6378">
        <v>4</v>
      </c>
      <c r="D6378">
        <v>21</v>
      </c>
    </row>
    <row r="6379" spans="1:4" x14ac:dyDescent="0.25">
      <c r="A6379" s="1">
        <v>42174</v>
      </c>
      <c r="B6379">
        <v>1</v>
      </c>
      <c r="C6379">
        <v>4</v>
      </c>
      <c r="D6379">
        <v>26</v>
      </c>
    </row>
    <row r="6380" spans="1:4" x14ac:dyDescent="0.25">
      <c r="A6380" s="1">
        <v>42175</v>
      </c>
      <c r="B6380">
        <v>1</v>
      </c>
      <c r="C6380">
        <v>4</v>
      </c>
      <c r="D6380">
        <v>24</v>
      </c>
    </row>
    <row r="6381" spans="1:4" x14ac:dyDescent="0.25">
      <c r="A6381" s="1">
        <v>42176</v>
      </c>
      <c r="B6381">
        <v>1</v>
      </c>
      <c r="C6381">
        <v>4</v>
      </c>
      <c r="D6381">
        <v>26</v>
      </c>
    </row>
    <row r="6382" spans="1:4" x14ac:dyDescent="0.25">
      <c r="A6382" s="1">
        <v>42177</v>
      </c>
      <c r="B6382">
        <v>1</v>
      </c>
      <c r="C6382">
        <v>4</v>
      </c>
      <c r="D6382">
        <v>14</v>
      </c>
    </row>
    <row r="6383" spans="1:4" x14ac:dyDescent="0.25">
      <c r="A6383" s="1">
        <v>42178</v>
      </c>
      <c r="B6383">
        <v>1</v>
      </c>
      <c r="C6383">
        <v>4</v>
      </c>
      <c r="D6383">
        <v>19</v>
      </c>
    </row>
    <row r="6384" spans="1:4" x14ac:dyDescent="0.25">
      <c r="A6384" s="1">
        <v>42179</v>
      </c>
      <c r="B6384">
        <v>1</v>
      </c>
      <c r="C6384">
        <v>4</v>
      </c>
      <c r="D6384">
        <v>21</v>
      </c>
    </row>
    <row r="6385" spans="1:4" x14ac:dyDescent="0.25">
      <c r="A6385" s="1">
        <v>42180</v>
      </c>
      <c r="B6385">
        <v>1</v>
      </c>
      <c r="C6385">
        <v>4</v>
      </c>
      <c r="D6385">
        <v>24</v>
      </c>
    </row>
    <row r="6386" spans="1:4" x14ac:dyDescent="0.25">
      <c r="A6386" s="1">
        <v>42181</v>
      </c>
      <c r="B6386">
        <v>1</v>
      </c>
      <c r="C6386">
        <v>4</v>
      </c>
      <c r="D6386">
        <v>21</v>
      </c>
    </row>
    <row r="6387" spans="1:4" x14ac:dyDescent="0.25">
      <c r="A6387" s="1">
        <v>42182</v>
      </c>
      <c r="B6387">
        <v>1</v>
      </c>
      <c r="C6387">
        <v>4</v>
      </c>
      <c r="D6387">
        <v>29</v>
      </c>
    </row>
    <row r="6388" spans="1:4" x14ac:dyDescent="0.25">
      <c r="A6388" s="1">
        <v>42183</v>
      </c>
      <c r="B6388">
        <v>1</v>
      </c>
      <c r="C6388">
        <v>4</v>
      </c>
      <c r="D6388">
        <v>27</v>
      </c>
    </row>
    <row r="6389" spans="1:4" x14ac:dyDescent="0.25">
      <c r="A6389" s="1">
        <v>42184</v>
      </c>
      <c r="B6389">
        <v>1</v>
      </c>
      <c r="C6389">
        <v>4</v>
      </c>
      <c r="D6389">
        <v>12</v>
      </c>
    </row>
    <row r="6390" spans="1:4" x14ac:dyDescent="0.25">
      <c r="A6390" s="1">
        <v>42185</v>
      </c>
      <c r="B6390">
        <v>1</v>
      </c>
      <c r="C6390">
        <v>4</v>
      </c>
      <c r="D6390">
        <v>25</v>
      </c>
    </row>
    <row r="6391" spans="1:4" x14ac:dyDescent="0.25">
      <c r="A6391" s="1">
        <v>42186</v>
      </c>
      <c r="B6391">
        <v>1</v>
      </c>
      <c r="C6391">
        <v>4</v>
      </c>
      <c r="D6391">
        <v>30</v>
      </c>
    </row>
    <row r="6392" spans="1:4" x14ac:dyDescent="0.25">
      <c r="A6392" s="1">
        <v>42187</v>
      </c>
      <c r="B6392">
        <v>1</v>
      </c>
      <c r="C6392">
        <v>4</v>
      </c>
      <c r="D6392">
        <v>24</v>
      </c>
    </row>
    <row r="6393" spans="1:4" x14ac:dyDescent="0.25">
      <c r="A6393" s="1">
        <v>42188</v>
      </c>
      <c r="B6393">
        <v>1</v>
      </c>
      <c r="C6393">
        <v>4</v>
      </c>
      <c r="D6393">
        <v>30</v>
      </c>
    </row>
    <row r="6394" spans="1:4" x14ac:dyDescent="0.25">
      <c r="A6394" s="1">
        <v>42189</v>
      </c>
      <c r="B6394">
        <v>1</v>
      </c>
      <c r="C6394">
        <v>4</v>
      </c>
      <c r="D6394">
        <v>32</v>
      </c>
    </row>
    <row r="6395" spans="1:4" x14ac:dyDescent="0.25">
      <c r="A6395" s="1">
        <v>42190</v>
      </c>
      <c r="B6395">
        <v>1</v>
      </c>
      <c r="C6395">
        <v>4</v>
      </c>
      <c r="D6395">
        <v>37</v>
      </c>
    </row>
    <row r="6396" spans="1:4" x14ac:dyDescent="0.25">
      <c r="A6396" s="1">
        <v>42191</v>
      </c>
      <c r="B6396">
        <v>1</v>
      </c>
      <c r="C6396">
        <v>4</v>
      </c>
      <c r="D6396">
        <v>17</v>
      </c>
    </row>
    <row r="6397" spans="1:4" x14ac:dyDescent="0.25">
      <c r="A6397" s="1">
        <v>42192</v>
      </c>
      <c r="B6397">
        <v>1</v>
      </c>
      <c r="C6397">
        <v>4</v>
      </c>
      <c r="D6397">
        <v>18</v>
      </c>
    </row>
    <row r="6398" spans="1:4" x14ac:dyDescent="0.25">
      <c r="A6398" s="1">
        <v>42193</v>
      </c>
      <c r="B6398">
        <v>1</v>
      </c>
      <c r="C6398">
        <v>4</v>
      </c>
      <c r="D6398">
        <v>29</v>
      </c>
    </row>
    <row r="6399" spans="1:4" x14ac:dyDescent="0.25">
      <c r="A6399" s="1">
        <v>42194</v>
      </c>
      <c r="B6399">
        <v>1</v>
      </c>
      <c r="C6399">
        <v>4</v>
      </c>
      <c r="D6399">
        <v>20</v>
      </c>
    </row>
    <row r="6400" spans="1:4" x14ac:dyDescent="0.25">
      <c r="A6400" s="1">
        <v>42195</v>
      </c>
      <c r="B6400">
        <v>1</v>
      </c>
      <c r="C6400">
        <v>4</v>
      </c>
      <c r="D6400">
        <v>22</v>
      </c>
    </row>
    <row r="6401" spans="1:4" x14ac:dyDescent="0.25">
      <c r="A6401" s="1">
        <v>42196</v>
      </c>
      <c r="B6401">
        <v>1</v>
      </c>
      <c r="C6401">
        <v>4</v>
      </c>
      <c r="D6401">
        <v>39</v>
      </c>
    </row>
    <row r="6402" spans="1:4" x14ac:dyDescent="0.25">
      <c r="A6402" s="1">
        <v>42197</v>
      </c>
      <c r="B6402">
        <v>1</v>
      </c>
      <c r="C6402">
        <v>4</v>
      </c>
      <c r="D6402">
        <v>16</v>
      </c>
    </row>
    <row r="6403" spans="1:4" x14ac:dyDescent="0.25">
      <c r="A6403" s="1">
        <v>42198</v>
      </c>
      <c r="B6403">
        <v>1</v>
      </c>
      <c r="C6403">
        <v>4</v>
      </c>
      <c r="D6403">
        <v>21</v>
      </c>
    </row>
    <row r="6404" spans="1:4" x14ac:dyDescent="0.25">
      <c r="A6404" s="1">
        <v>42199</v>
      </c>
      <c r="B6404">
        <v>1</v>
      </c>
      <c r="C6404">
        <v>4</v>
      </c>
      <c r="D6404">
        <v>35</v>
      </c>
    </row>
    <row r="6405" spans="1:4" x14ac:dyDescent="0.25">
      <c r="A6405" s="1">
        <v>42200</v>
      </c>
      <c r="B6405">
        <v>1</v>
      </c>
      <c r="C6405">
        <v>4</v>
      </c>
      <c r="D6405">
        <v>16</v>
      </c>
    </row>
    <row r="6406" spans="1:4" x14ac:dyDescent="0.25">
      <c r="A6406" s="1">
        <v>42201</v>
      </c>
      <c r="B6406">
        <v>1</v>
      </c>
      <c r="C6406">
        <v>4</v>
      </c>
      <c r="D6406">
        <v>32</v>
      </c>
    </row>
    <row r="6407" spans="1:4" x14ac:dyDescent="0.25">
      <c r="A6407" s="1">
        <v>42202</v>
      </c>
      <c r="B6407">
        <v>1</v>
      </c>
      <c r="C6407">
        <v>4</v>
      </c>
      <c r="D6407">
        <v>23</v>
      </c>
    </row>
    <row r="6408" spans="1:4" x14ac:dyDescent="0.25">
      <c r="A6408" s="1">
        <v>42203</v>
      </c>
      <c r="B6408">
        <v>1</v>
      </c>
      <c r="C6408">
        <v>4</v>
      </c>
      <c r="D6408">
        <v>18</v>
      </c>
    </row>
    <row r="6409" spans="1:4" x14ac:dyDescent="0.25">
      <c r="A6409" s="1">
        <v>42204</v>
      </c>
      <c r="B6409">
        <v>1</v>
      </c>
      <c r="C6409">
        <v>4</v>
      </c>
      <c r="D6409">
        <v>29</v>
      </c>
    </row>
    <row r="6410" spans="1:4" x14ac:dyDescent="0.25">
      <c r="A6410" s="1">
        <v>42205</v>
      </c>
      <c r="B6410">
        <v>1</v>
      </c>
      <c r="C6410">
        <v>4</v>
      </c>
      <c r="D6410">
        <v>18</v>
      </c>
    </row>
    <row r="6411" spans="1:4" x14ac:dyDescent="0.25">
      <c r="A6411" s="1">
        <v>42206</v>
      </c>
      <c r="B6411">
        <v>1</v>
      </c>
      <c r="C6411">
        <v>4</v>
      </c>
      <c r="D6411">
        <v>19</v>
      </c>
    </row>
    <row r="6412" spans="1:4" x14ac:dyDescent="0.25">
      <c r="A6412" s="1">
        <v>42207</v>
      </c>
      <c r="B6412">
        <v>1</v>
      </c>
      <c r="C6412">
        <v>4</v>
      </c>
      <c r="D6412">
        <v>22</v>
      </c>
    </row>
    <row r="6413" spans="1:4" x14ac:dyDescent="0.25">
      <c r="A6413" s="1">
        <v>42208</v>
      </c>
      <c r="B6413">
        <v>1</v>
      </c>
      <c r="C6413">
        <v>4</v>
      </c>
      <c r="D6413">
        <v>26</v>
      </c>
    </row>
    <row r="6414" spans="1:4" x14ac:dyDescent="0.25">
      <c r="A6414" s="1">
        <v>42209</v>
      </c>
      <c r="B6414">
        <v>1</v>
      </c>
      <c r="C6414">
        <v>4</v>
      </c>
      <c r="D6414">
        <v>26</v>
      </c>
    </row>
    <row r="6415" spans="1:4" x14ac:dyDescent="0.25">
      <c r="A6415" s="1">
        <v>42210</v>
      </c>
      <c r="B6415">
        <v>1</v>
      </c>
      <c r="C6415">
        <v>4</v>
      </c>
      <c r="D6415">
        <v>25</v>
      </c>
    </row>
    <row r="6416" spans="1:4" x14ac:dyDescent="0.25">
      <c r="A6416" s="1">
        <v>42211</v>
      </c>
      <c r="B6416">
        <v>1</v>
      </c>
      <c r="C6416">
        <v>4</v>
      </c>
      <c r="D6416">
        <v>29</v>
      </c>
    </row>
    <row r="6417" spans="1:4" x14ac:dyDescent="0.25">
      <c r="A6417" s="1">
        <v>42212</v>
      </c>
      <c r="B6417">
        <v>1</v>
      </c>
      <c r="C6417">
        <v>4</v>
      </c>
      <c r="D6417">
        <v>14</v>
      </c>
    </row>
    <row r="6418" spans="1:4" x14ac:dyDescent="0.25">
      <c r="A6418" s="1">
        <v>42213</v>
      </c>
      <c r="B6418">
        <v>1</v>
      </c>
      <c r="C6418">
        <v>4</v>
      </c>
      <c r="D6418">
        <v>30</v>
      </c>
    </row>
    <row r="6419" spans="1:4" x14ac:dyDescent="0.25">
      <c r="A6419" s="1">
        <v>42214</v>
      </c>
      <c r="B6419">
        <v>1</v>
      </c>
      <c r="C6419">
        <v>4</v>
      </c>
      <c r="D6419">
        <v>29</v>
      </c>
    </row>
    <row r="6420" spans="1:4" x14ac:dyDescent="0.25">
      <c r="A6420" s="1">
        <v>42215</v>
      </c>
      <c r="B6420">
        <v>1</v>
      </c>
      <c r="C6420">
        <v>4</v>
      </c>
      <c r="D6420">
        <v>30</v>
      </c>
    </row>
    <row r="6421" spans="1:4" x14ac:dyDescent="0.25">
      <c r="A6421" s="1">
        <v>42216</v>
      </c>
      <c r="B6421">
        <v>1</v>
      </c>
      <c r="C6421">
        <v>4</v>
      </c>
      <c r="D6421">
        <v>27</v>
      </c>
    </row>
    <row r="6422" spans="1:4" x14ac:dyDescent="0.25">
      <c r="A6422" s="1">
        <v>42217</v>
      </c>
      <c r="B6422">
        <v>1</v>
      </c>
      <c r="C6422">
        <v>4</v>
      </c>
      <c r="D6422">
        <v>21</v>
      </c>
    </row>
    <row r="6423" spans="1:4" x14ac:dyDescent="0.25">
      <c r="A6423" s="1">
        <v>42218</v>
      </c>
      <c r="B6423">
        <v>1</v>
      </c>
      <c r="C6423">
        <v>4</v>
      </c>
      <c r="D6423">
        <v>24</v>
      </c>
    </row>
    <row r="6424" spans="1:4" x14ac:dyDescent="0.25">
      <c r="A6424" s="1">
        <v>42219</v>
      </c>
      <c r="B6424">
        <v>1</v>
      </c>
      <c r="C6424">
        <v>4</v>
      </c>
      <c r="D6424">
        <v>17</v>
      </c>
    </row>
    <row r="6425" spans="1:4" x14ac:dyDescent="0.25">
      <c r="A6425" s="1">
        <v>42220</v>
      </c>
      <c r="B6425">
        <v>1</v>
      </c>
      <c r="C6425">
        <v>4</v>
      </c>
      <c r="D6425">
        <v>19</v>
      </c>
    </row>
    <row r="6426" spans="1:4" x14ac:dyDescent="0.25">
      <c r="A6426" s="1">
        <v>42221</v>
      </c>
      <c r="B6426">
        <v>1</v>
      </c>
      <c r="C6426">
        <v>4</v>
      </c>
      <c r="D6426">
        <v>27</v>
      </c>
    </row>
    <row r="6427" spans="1:4" x14ac:dyDescent="0.25">
      <c r="A6427" s="1">
        <v>42222</v>
      </c>
      <c r="B6427">
        <v>1</v>
      </c>
      <c r="C6427">
        <v>4</v>
      </c>
      <c r="D6427">
        <v>19</v>
      </c>
    </row>
    <row r="6428" spans="1:4" x14ac:dyDescent="0.25">
      <c r="A6428" s="1">
        <v>42223</v>
      </c>
      <c r="B6428">
        <v>1</v>
      </c>
      <c r="C6428">
        <v>4</v>
      </c>
      <c r="D6428">
        <v>21</v>
      </c>
    </row>
    <row r="6429" spans="1:4" x14ac:dyDescent="0.25">
      <c r="A6429" s="1">
        <v>42224</v>
      </c>
      <c r="B6429">
        <v>1</v>
      </c>
      <c r="C6429">
        <v>4</v>
      </c>
      <c r="D6429">
        <v>19</v>
      </c>
    </row>
    <row r="6430" spans="1:4" x14ac:dyDescent="0.25">
      <c r="A6430" s="1">
        <v>42225</v>
      </c>
      <c r="B6430">
        <v>1</v>
      </c>
      <c r="C6430">
        <v>4</v>
      </c>
      <c r="D6430">
        <v>24</v>
      </c>
    </row>
    <row r="6431" spans="1:4" x14ac:dyDescent="0.25">
      <c r="A6431" s="1">
        <v>42226</v>
      </c>
      <c r="B6431">
        <v>1</v>
      </c>
      <c r="C6431">
        <v>4</v>
      </c>
      <c r="D6431">
        <v>17</v>
      </c>
    </row>
    <row r="6432" spans="1:4" x14ac:dyDescent="0.25">
      <c r="A6432" s="1">
        <v>42227</v>
      </c>
      <c r="B6432">
        <v>1</v>
      </c>
      <c r="C6432">
        <v>4</v>
      </c>
      <c r="D6432">
        <v>19</v>
      </c>
    </row>
    <row r="6433" spans="1:4" x14ac:dyDescent="0.25">
      <c r="A6433" s="1">
        <v>42228</v>
      </c>
      <c r="B6433">
        <v>1</v>
      </c>
      <c r="C6433">
        <v>4</v>
      </c>
      <c r="D6433">
        <v>21</v>
      </c>
    </row>
    <row r="6434" spans="1:4" x14ac:dyDescent="0.25">
      <c r="A6434" s="1">
        <v>42229</v>
      </c>
      <c r="B6434">
        <v>1</v>
      </c>
      <c r="C6434">
        <v>4</v>
      </c>
      <c r="D6434">
        <v>34</v>
      </c>
    </row>
    <row r="6435" spans="1:4" x14ac:dyDescent="0.25">
      <c r="A6435" s="1">
        <v>42230</v>
      </c>
      <c r="B6435">
        <v>1</v>
      </c>
      <c r="C6435">
        <v>4</v>
      </c>
      <c r="D6435">
        <v>16</v>
      </c>
    </row>
    <row r="6436" spans="1:4" x14ac:dyDescent="0.25">
      <c r="A6436" s="1">
        <v>42231</v>
      </c>
      <c r="B6436">
        <v>1</v>
      </c>
      <c r="C6436">
        <v>4</v>
      </c>
      <c r="D6436">
        <v>27</v>
      </c>
    </row>
    <row r="6437" spans="1:4" x14ac:dyDescent="0.25">
      <c r="A6437" s="1">
        <v>42232</v>
      </c>
      <c r="B6437">
        <v>1</v>
      </c>
      <c r="C6437">
        <v>4</v>
      </c>
      <c r="D6437">
        <v>32</v>
      </c>
    </row>
    <row r="6438" spans="1:4" x14ac:dyDescent="0.25">
      <c r="A6438" s="1">
        <v>42233</v>
      </c>
      <c r="B6438">
        <v>1</v>
      </c>
      <c r="C6438">
        <v>4</v>
      </c>
      <c r="D6438">
        <v>26</v>
      </c>
    </row>
    <row r="6439" spans="1:4" x14ac:dyDescent="0.25">
      <c r="A6439" s="1">
        <v>42234</v>
      </c>
      <c r="B6439">
        <v>1</v>
      </c>
      <c r="C6439">
        <v>4</v>
      </c>
      <c r="D6439">
        <v>32</v>
      </c>
    </row>
    <row r="6440" spans="1:4" x14ac:dyDescent="0.25">
      <c r="A6440" s="1">
        <v>42235</v>
      </c>
      <c r="B6440">
        <v>1</v>
      </c>
      <c r="C6440">
        <v>4</v>
      </c>
      <c r="D6440">
        <v>18</v>
      </c>
    </row>
    <row r="6441" spans="1:4" x14ac:dyDescent="0.25">
      <c r="A6441" s="1">
        <v>42236</v>
      </c>
      <c r="B6441">
        <v>1</v>
      </c>
      <c r="C6441">
        <v>4</v>
      </c>
      <c r="D6441">
        <v>13</v>
      </c>
    </row>
    <row r="6442" spans="1:4" x14ac:dyDescent="0.25">
      <c r="A6442" s="1">
        <v>42237</v>
      </c>
      <c r="B6442">
        <v>1</v>
      </c>
      <c r="C6442">
        <v>4</v>
      </c>
      <c r="D6442">
        <v>27</v>
      </c>
    </row>
    <row r="6443" spans="1:4" x14ac:dyDescent="0.25">
      <c r="A6443" s="1">
        <v>42238</v>
      </c>
      <c r="B6443">
        <v>1</v>
      </c>
      <c r="C6443">
        <v>4</v>
      </c>
      <c r="D6443">
        <v>27</v>
      </c>
    </row>
    <row r="6444" spans="1:4" x14ac:dyDescent="0.25">
      <c r="A6444" s="1">
        <v>42239</v>
      </c>
      <c r="B6444">
        <v>1</v>
      </c>
      <c r="C6444">
        <v>4</v>
      </c>
      <c r="D6444">
        <v>30</v>
      </c>
    </row>
    <row r="6445" spans="1:4" x14ac:dyDescent="0.25">
      <c r="A6445" s="1">
        <v>42240</v>
      </c>
      <c r="B6445">
        <v>1</v>
      </c>
      <c r="C6445">
        <v>4</v>
      </c>
      <c r="D6445">
        <v>15</v>
      </c>
    </row>
    <row r="6446" spans="1:4" x14ac:dyDescent="0.25">
      <c r="A6446" s="1">
        <v>42241</v>
      </c>
      <c r="B6446">
        <v>1</v>
      </c>
      <c r="C6446">
        <v>4</v>
      </c>
      <c r="D6446">
        <v>17</v>
      </c>
    </row>
    <row r="6447" spans="1:4" x14ac:dyDescent="0.25">
      <c r="A6447" s="1">
        <v>42242</v>
      </c>
      <c r="B6447">
        <v>1</v>
      </c>
      <c r="C6447">
        <v>4</v>
      </c>
      <c r="D6447">
        <v>16</v>
      </c>
    </row>
    <row r="6448" spans="1:4" x14ac:dyDescent="0.25">
      <c r="A6448" s="1">
        <v>42243</v>
      </c>
      <c r="B6448">
        <v>1</v>
      </c>
      <c r="C6448">
        <v>4</v>
      </c>
      <c r="D6448">
        <v>22</v>
      </c>
    </row>
    <row r="6449" spans="1:4" x14ac:dyDescent="0.25">
      <c r="A6449" s="1">
        <v>42244</v>
      </c>
      <c r="B6449">
        <v>1</v>
      </c>
      <c r="C6449">
        <v>4</v>
      </c>
      <c r="D6449">
        <v>23</v>
      </c>
    </row>
    <row r="6450" spans="1:4" x14ac:dyDescent="0.25">
      <c r="A6450" s="1">
        <v>42245</v>
      </c>
      <c r="B6450">
        <v>1</v>
      </c>
      <c r="C6450">
        <v>4</v>
      </c>
      <c r="D6450">
        <v>23</v>
      </c>
    </row>
    <row r="6451" spans="1:4" x14ac:dyDescent="0.25">
      <c r="A6451" s="1">
        <v>42246</v>
      </c>
      <c r="B6451">
        <v>1</v>
      </c>
      <c r="C6451">
        <v>4</v>
      </c>
      <c r="D6451">
        <v>25</v>
      </c>
    </row>
    <row r="6452" spans="1:4" x14ac:dyDescent="0.25">
      <c r="A6452" s="1">
        <v>42247</v>
      </c>
      <c r="B6452">
        <v>1</v>
      </c>
      <c r="C6452">
        <v>4</v>
      </c>
      <c r="D6452">
        <v>20</v>
      </c>
    </row>
    <row r="6453" spans="1:4" x14ac:dyDescent="0.25">
      <c r="A6453" s="1">
        <v>42248</v>
      </c>
      <c r="B6453">
        <v>1</v>
      </c>
      <c r="C6453">
        <v>4</v>
      </c>
      <c r="D6453">
        <v>18</v>
      </c>
    </row>
    <row r="6454" spans="1:4" x14ac:dyDescent="0.25">
      <c r="A6454" s="1">
        <v>42249</v>
      </c>
      <c r="B6454">
        <v>1</v>
      </c>
      <c r="C6454">
        <v>4</v>
      </c>
      <c r="D6454">
        <v>14</v>
      </c>
    </row>
    <row r="6455" spans="1:4" x14ac:dyDescent="0.25">
      <c r="A6455" s="1">
        <v>42250</v>
      </c>
      <c r="B6455">
        <v>1</v>
      </c>
      <c r="C6455">
        <v>4</v>
      </c>
      <c r="D6455">
        <v>24</v>
      </c>
    </row>
    <row r="6456" spans="1:4" x14ac:dyDescent="0.25">
      <c r="A6456" s="1">
        <v>42251</v>
      </c>
      <c r="B6456">
        <v>1</v>
      </c>
      <c r="C6456">
        <v>4</v>
      </c>
      <c r="D6456">
        <v>20</v>
      </c>
    </row>
    <row r="6457" spans="1:4" x14ac:dyDescent="0.25">
      <c r="A6457" s="1">
        <v>42252</v>
      </c>
      <c r="B6457">
        <v>1</v>
      </c>
      <c r="C6457">
        <v>4</v>
      </c>
      <c r="D6457">
        <v>21</v>
      </c>
    </row>
    <row r="6458" spans="1:4" x14ac:dyDescent="0.25">
      <c r="A6458" s="1">
        <v>42253</v>
      </c>
      <c r="B6458">
        <v>1</v>
      </c>
      <c r="C6458">
        <v>4</v>
      </c>
      <c r="D6458">
        <v>30</v>
      </c>
    </row>
    <row r="6459" spans="1:4" x14ac:dyDescent="0.25">
      <c r="A6459" s="1">
        <v>42254</v>
      </c>
      <c r="B6459">
        <v>1</v>
      </c>
      <c r="C6459">
        <v>4</v>
      </c>
      <c r="D6459">
        <v>16</v>
      </c>
    </row>
    <row r="6460" spans="1:4" x14ac:dyDescent="0.25">
      <c r="A6460" s="1">
        <v>42255</v>
      </c>
      <c r="B6460">
        <v>1</v>
      </c>
      <c r="C6460">
        <v>4</v>
      </c>
      <c r="D6460">
        <v>16</v>
      </c>
    </row>
    <row r="6461" spans="1:4" x14ac:dyDescent="0.25">
      <c r="A6461" s="1">
        <v>42256</v>
      </c>
      <c r="B6461">
        <v>1</v>
      </c>
      <c r="C6461">
        <v>4</v>
      </c>
      <c r="D6461">
        <v>24</v>
      </c>
    </row>
    <row r="6462" spans="1:4" x14ac:dyDescent="0.25">
      <c r="A6462" s="1">
        <v>42257</v>
      </c>
      <c r="B6462">
        <v>1</v>
      </c>
      <c r="C6462">
        <v>4</v>
      </c>
      <c r="D6462">
        <v>20</v>
      </c>
    </row>
    <row r="6463" spans="1:4" x14ac:dyDescent="0.25">
      <c r="A6463" s="1">
        <v>42258</v>
      </c>
      <c r="B6463">
        <v>1</v>
      </c>
      <c r="C6463">
        <v>4</v>
      </c>
      <c r="D6463">
        <v>25</v>
      </c>
    </row>
    <row r="6464" spans="1:4" x14ac:dyDescent="0.25">
      <c r="A6464" s="1">
        <v>42259</v>
      </c>
      <c r="B6464">
        <v>1</v>
      </c>
      <c r="C6464">
        <v>4</v>
      </c>
      <c r="D6464">
        <v>34</v>
      </c>
    </row>
    <row r="6465" spans="1:4" x14ac:dyDescent="0.25">
      <c r="A6465" s="1">
        <v>42260</v>
      </c>
      <c r="B6465">
        <v>1</v>
      </c>
      <c r="C6465">
        <v>4</v>
      </c>
      <c r="D6465">
        <v>23</v>
      </c>
    </row>
    <row r="6466" spans="1:4" x14ac:dyDescent="0.25">
      <c r="A6466" s="1">
        <v>42261</v>
      </c>
      <c r="B6466">
        <v>1</v>
      </c>
      <c r="C6466">
        <v>4</v>
      </c>
      <c r="D6466">
        <v>16</v>
      </c>
    </row>
    <row r="6467" spans="1:4" x14ac:dyDescent="0.25">
      <c r="A6467" s="1">
        <v>42262</v>
      </c>
      <c r="B6467">
        <v>1</v>
      </c>
      <c r="C6467">
        <v>4</v>
      </c>
      <c r="D6467">
        <v>25</v>
      </c>
    </row>
    <row r="6468" spans="1:4" x14ac:dyDescent="0.25">
      <c r="A6468" s="1">
        <v>42263</v>
      </c>
      <c r="B6468">
        <v>1</v>
      </c>
      <c r="C6468">
        <v>4</v>
      </c>
      <c r="D6468">
        <v>26</v>
      </c>
    </row>
    <row r="6469" spans="1:4" x14ac:dyDescent="0.25">
      <c r="A6469" s="1">
        <v>42264</v>
      </c>
      <c r="B6469">
        <v>1</v>
      </c>
      <c r="C6469">
        <v>4</v>
      </c>
      <c r="D6469">
        <v>25</v>
      </c>
    </row>
    <row r="6470" spans="1:4" x14ac:dyDescent="0.25">
      <c r="A6470" s="1">
        <v>42265</v>
      </c>
      <c r="B6470">
        <v>1</v>
      </c>
      <c r="C6470">
        <v>4</v>
      </c>
      <c r="D6470">
        <v>17</v>
      </c>
    </row>
    <row r="6471" spans="1:4" x14ac:dyDescent="0.25">
      <c r="A6471" s="1">
        <v>42266</v>
      </c>
      <c r="B6471">
        <v>1</v>
      </c>
      <c r="C6471">
        <v>4</v>
      </c>
      <c r="D6471">
        <v>31</v>
      </c>
    </row>
    <row r="6472" spans="1:4" x14ac:dyDescent="0.25">
      <c r="A6472" s="1">
        <v>42267</v>
      </c>
      <c r="B6472">
        <v>1</v>
      </c>
      <c r="C6472">
        <v>4</v>
      </c>
      <c r="D6472">
        <v>27</v>
      </c>
    </row>
    <row r="6473" spans="1:4" x14ac:dyDescent="0.25">
      <c r="A6473" s="1">
        <v>42268</v>
      </c>
      <c r="B6473">
        <v>1</v>
      </c>
      <c r="C6473">
        <v>4</v>
      </c>
      <c r="D6473">
        <v>20</v>
      </c>
    </row>
    <row r="6474" spans="1:4" x14ac:dyDescent="0.25">
      <c r="A6474" s="1">
        <v>42269</v>
      </c>
      <c r="B6474">
        <v>1</v>
      </c>
      <c r="C6474">
        <v>4</v>
      </c>
      <c r="D6474">
        <v>16</v>
      </c>
    </row>
    <row r="6475" spans="1:4" x14ac:dyDescent="0.25">
      <c r="A6475" s="1">
        <v>42270</v>
      </c>
      <c r="B6475">
        <v>1</v>
      </c>
      <c r="C6475">
        <v>4</v>
      </c>
      <c r="D6475">
        <v>20</v>
      </c>
    </row>
    <row r="6476" spans="1:4" x14ac:dyDescent="0.25">
      <c r="A6476" s="1">
        <v>42271</v>
      </c>
      <c r="B6476">
        <v>1</v>
      </c>
      <c r="C6476">
        <v>4</v>
      </c>
      <c r="D6476">
        <v>29</v>
      </c>
    </row>
    <row r="6477" spans="1:4" x14ac:dyDescent="0.25">
      <c r="A6477" s="1">
        <v>42272</v>
      </c>
      <c r="B6477">
        <v>1</v>
      </c>
      <c r="C6477">
        <v>4</v>
      </c>
      <c r="D6477">
        <v>13</v>
      </c>
    </row>
    <row r="6478" spans="1:4" x14ac:dyDescent="0.25">
      <c r="A6478" s="1">
        <v>42273</v>
      </c>
      <c r="B6478">
        <v>1</v>
      </c>
      <c r="C6478">
        <v>4</v>
      </c>
      <c r="D6478">
        <v>23</v>
      </c>
    </row>
    <row r="6479" spans="1:4" x14ac:dyDescent="0.25">
      <c r="A6479" s="1">
        <v>42274</v>
      </c>
      <c r="B6479">
        <v>1</v>
      </c>
      <c r="C6479">
        <v>4</v>
      </c>
      <c r="D6479">
        <v>16</v>
      </c>
    </row>
    <row r="6480" spans="1:4" x14ac:dyDescent="0.25">
      <c r="A6480" s="1">
        <v>42275</v>
      </c>
      <c r="B6480">
        <v>1</v>
      </c>
      <c r="C6480">
        <v>4</v>
      </c>
      <c r="D6480">
        <v>25</v>
      </c>
    </row>
    <row r="6481" spans="1:4" x14ac:dyDescent="0.25">
      <c r="A6481" s="1">
        <v>42276</v>
      </c>
      <c r="B6481">
        <v>1</v>
      </c>
      <c r="C6481">
        <v>4</v>
      </c>
      <c r="D6481">
        <v>17</v>
      </c>
    </row>
    <row r="6482" spans="1:4" x14ac:dyDescent="0.25">
      <c r="A6482" s="1">
        <v>42277</v>
      </c>
      <c r="B6482">
        <v>1</v>
      </c>
      <c r="C6482">
        <v>4</v>
      </c>
      <c r="D6482">
        <v>19</v>
      </c>
    </row>
    <row r="6483" spans="1:4" x14ac:dyDescent="0.25">
      <c r="A6483" s="1">
        <v>42278</v>
      </c>
      <c r="B6483">
        <v>1</v>
      </c>
      <c r="C6483">
        <v>4</v>
      </c>
      <c r="D6483">
        <v>21</v>
      </c>
    </row>
    <row r="6484" spans="1:4" x14ac:dyDescent="0.25">
      <c r="A6484" s="1">
        <v>42279</v>
      </c>
      <c r="B6484">
        <v>1</v>
      </c>
      <c r="C6484">
        <v>4</v>
      </c>
      <c r="D6484">
        <v>25</v>
      </c>
    </row>
    <row r="6485" spans="1:4" x14ac:dyDescent="0.25">
      <c r="A6485" s="1">
        <v>42280</v>
      </c>
      <c r="B6485">
        <v>1</v>
      </c>
      <c r="C6485">
        <v>4</v>
      </c>
      <c r="D6485">
        <v>22</v>
      </c>
    </row>
    <row r="6486" spans="1:4" x14ac:dyDescent="0.25">
      <c r="A6486" s="1">
        <v>42281</v>
      </c>
      <c r="B6486">
        <v>1</v>
      </c>
      <c r="C6486">
        <v>4</v>
      </c>
      <c r="D6486">
        <v>28</v>
      </c>
    </row>
    <row r="6487" spans="1:4" x14ac:dyDescent="0.25">
      <c r="A6487" s="1">
        <v>42282</v>
      </c>
      <c r="B6487">
        <v>1</v>
      </c>
      <c r="C6487">
        <v>4</v>
      </c>
      <c r="D6487">
        <v>9</v>
      </c>
    </row>
    <row r="6488" spans="1:4" x14ac:dyDescent="0.25">
      <c r="A6488" s="1">
        <v>42283</v>
      </c>
      <c r="B6488">
        <v>1</v>
      </c>
      <c r="C6488">
        <v>4</v>
      </c>
      <c r="D6488">
        <v>15</v>
      </c>
    </row>
    <row r="6489" spans="1:4" x14ac:dyDescent="0.25">
      <c r="A6489" s="1">
        <v>42284</v>
      </c>
      <c r="B6489">
        <v>1</v>
      </c>
      <c r="C6489">
        <v>4</v>
      </c>
      <c r="D6489">
        <v>23</v>
      </c>
    </row>
    <row r="6490" spans="1:4" x14ac:dyDescent="0.25">
      <c r="A6490" s="1">
        <v>42285</v>
      </c>
      <c r="B6490">
        <v>1</v>
      </c>
      <c r="C6490">
        <v>4</v>
      </c>
      <c r="D6490">
        <v>15</v>
      </c>
    </row>
    <row r="6491" spans="1:4" x14ac:dyDescent="0.25">
      <c r="A6491" s="1">
        <v>42286</v>
      </c>
      <c r="B6491">
        <v>1</v>
      </c>
      <c r="C6491">
        <v>4</v>
      </c>
      <c r="D6491">
        <v>16</v>
      </c>
    </row>
    <row r="6492" spans="1:4" x14ac:dyDescent="0.25">
      <c r="A6492" s="1">
        <v>42287</v>
      </c>
      <c r="B6492">
        <v>1</v>
      </c>
      <c r="C6492">
        <v>4</v>
      </c>
      <c r="D6492">
        <v>17</v>
      </c>
    </row>
    <row r="6493" spans="1:4" x14ac:dyDescent="0.25">
      <c r="A6493" s="1">
        <v>42288</v>
      </c>
      <c r="B6493">
        <v>1</v>
      </c>
      <c r="C6493">
        <v>4</v>
      </c>
      <c r="D6493">
        <v>26</v>
      </c>
    </row>
    <row r="6494" spans="1:4" x14ac:dyDescent="0.25">
      <c r="A6494" s="1">
        <v>42289</v>
      </c>
      <c r="B6494">
        <v>1</v>
      </c>
      <c r="C6494">
        <v>4</v>
      </c>
      <c r="D6494">
        <v>8</v>
      </c>
    </row>
    <row r="6495" spans="1:4" x14ac:dyDescent="0.25">
      <c r="A6495" s="1">
        <v>42290</v>
      </c>
      <c r="B6495">
        <v>1</v>
      </c>
      <c r="C6495">
        <v>4</v>
      </c>
      <c r="D6495">
        <v>18</v>
      </c>
    </row>
    <row r="6496" spans="1:4" x14ac:dyDescent="0.25">
      <c r="A6496" s="1">
        <v>42291</v>
      </c>
      <c r="B6496">
        <v>1</v>
      </c>
      <c r="C6496">
        <v>4</v>
      </c>
      <c r="D6496">
        <v>17</v>
      </c>
    </row>
    <row r="6497" spans="1:4" x14ac:dyDescent="0.25">
      <c r="A6497" s="1">
        <v>42292</v>
      </c>
      <c r="B6497">
        <v>1</v>
      </c>
      <c r="C6497">
        <v>4</v>
      </c>
      <c r="D6497">
        <v>20</v>
      </c>
    </row>
    <row r="6498" spans="1:4" x14ac:dyDescent="0.25">
      <c r="A6498" s="1">
        <v>42293</v>
      </c>
      <c r="B6498">
        <v>1</v>
      </c>
      <c r="C6498">
        <v>4</v>
      </c>
      <c r="D6498">
        <v>24</v>
      </c>
    </row>
    <row r="6499" spans="1:4" x14ac:dyDescent="0.25">
      <c r="A6499" s="1">
        <v>42294</v>
      </c>
      <c r="B6499">
        <v>1</v>
      </c>
      <c r="C6499">
        <v>4</v>
      </c>
      <c r="D6499">
        <v>16</v>
      </c>
    </row>
    <row r="6500" spans="1:4" x14ac:dyDescent="0.25">
      <c r="A6500" s="1">
        <v>42295</v>
      </c>
      <c r="B6500">
        <v>1</v>
      </c>
      <c r="C6500">
        <v>4</v>
      </c>
      <c r="D6500">
        <v>19</v>
      </c>
    </row>
    <row r="6501" spans="1:4" x14ac:dyDescent="0.25">
      <c r="A6501" s="1">
        <v>42296</v>
      </c>
      <c r="B6501">
        <v>1</v>
      </c>
      <c r="C6501">
        <v>4</v>
      </c>
      <c r="D6501">
        <v>16</v>
      </c>
    </row>
    <row r="6502" spans="1:4" x14ac:dyDescent="0.25">
      <c r="A6502" s="1">
        <v>42297</v>
      </c>
      <c r="B6502">
        <v>1</v>
      </c>
      <c r="C6502">
        <v>4</v>
      </c>
      <c r="D6502">
        <v>23</v>
      </c>
    </row>
    <row r="6503" spans="1:4" x14ac:dyDescent="0.25">
      <c r="A6503" s="1">
        <v>42298</v>
      </c>
      <c r="B6503">
        <v>1</v>
      </c>
      <c r="C6503">
        <v>4</v>
      </c>
      <c r="D6503">
        <v>21</v>
      </c>
    </row>
    <row r="6504" spans="1:4" x14ac:dyDescent="0.25">
      <c r="A6504" s="1">
        <v>42299</v>
      </c>
      <c r="B6504">
        <v>1</v>
      </c>
      <c r="C6504">
        <v>4</v>
      </c>
      <c r="D6504">
        <v>27</v>
      </c>
    </row>
    <row r="6505" spans="1:4" x14ac:dyDescent="0.25">
      <c r="A6505" s="1">
        <v>42300</v>
      </c>
      <c r="B6505">
        <v>1</v>
      </c>
      <c r="C6505">
        <v>4</v>
      </c>
      <c r="D6505">
        <v>27</v>
      </c>
    </row>
    <row r="6506" spans="1:4" x14ac:dyDescent="0.25">
      <c r="A6506" s="1">
        <v>42301</v>
      </c>
      <c r="B6506">
        <v>1</v>
      </c>
      <c r="C6506">
        <v>4</v>
      </c>
      <c r="D6506">
        <v>14</v>
      </c>
    </row>
    <row r="6507" spans="1:4" x14ac:dyDescent="0.25">
      <c r="A6507" s="1">
        <v>42302</v>
      </c>
      <c r="B6507">
        <v>1</v>
      </c>
      <c r="C6507">
        <v>4</v>
      </c>
      <c r="D6507">
        <v>36</v>
      </c>
    </row>
    <row r="6508" spans="1:4" x14ac:dyDescent="0.25">
      <c r="A6508" s="1">
        <v>42303</v>
      </c>
      <c r="B6508">
        <v>1</v>
      </c>
      <c r="C6508">
        <v>4</v>
      </c>
      <c r="D6508">
        <v>11</v>
      </c>
    </row>
    <row r="6509" spans="1:4" x14ac:dyDescent="0.25">
      <c r="A6509" s="1">
        <v>42304</v>
      </c>
      <c r="B6509">
        <v>1</v>
      </c>
      <c r="C6509">
        <v>4</v>
      </c>
      <c r="D6509">
        <v>20</v>
      </c>
    </row>
    <row r="6510" spans="1:4" x14ac:dyDescent="0.25">
      <c r="A6510" s="1">
        <v>42305</v>
      </c>
      <c r="B6510">
        <v>1</v>
      </c>
      <c r="C6510">
        <v>4</v>
      </c>
      <c r="D6510">
        <v>20</v>
      </c>
    </row>
    <row r="6511" spans="1:4" x14ac:dyDescent="0.25">
      <c r="A6511" s="1">
        <v>42306</v>
      </c>
      <c r="B6511">
        <v>1</v>
      </c>
      <c r="C6511">
        <v>4</v>
      </c>
      <c r="D6511">
        <v>18</v>
      </c>
    </row>
    <row r="6512" spans="1:4" x14ac:dyDescent="0.25">
      <c r="A6512" s="1">
        <v>42307</v>
      </c>
      <c r="B6512">
        <v>1</v>
      </c>
      <c r="C6512">
        <v>4</v>
      </c>
      <c r="D6512">
        <v>17</v>
      </c>
    </row>
    <row r="6513" spans="1:4" x14ac:dyDescent="0.25">
      <c r="A6513" s="1">
        <v>42308</v>
      </c>
      <c r="B6513">
        <v>1</v>
      </c>
      <c r="C6513">
        <v>4</v>
      </c>
      <c r="D6513">
        <v>15</v>
      </c>
    </row>
    <row r="6514" spans="1:4" x14ac:dyDescent="0.25">
      <c r="A6514" s="1">
        <v>42309</v>
      </c>
      <c r="B6514">
        <v>1</v>
      </c>
      <c r="C6514">
        <v>4</v>
      </c>
      <c r="D6514">
        <v>23</v>
      </c>
    </row>
    <row r="6515" spans="1:4" x14ac:dyDescent="0.25">
      <c r="A6515" s="1">
        <v>42310</v>
      </c>
      <c r="B6515">
        <v>1</v>
      </c>
      <c r="C6515">
        <v>4</v>
      </c>
      <c r="D6515">
        <v>16</v>
      </c>
    </row>
    <row r="6516" spans="1:4" x14ac:dyDescent="0.25">
      <c r="A6516" s="1">
        <v>42311</v>
      </c>
      <c r="B6516">
        <v>1</v>
      </c>
      <c r="C6516">
        <v>4</v>
      </c>
      <c r="D6516">
        <v>19</v>
      </c>
    </row>
    <row r="6517" spans="1:4" x14ac:dyDescent="0.25">
      <c r="A6517" s="1">
        <v>42312</v>
      </c>
      <c r="B6517">
        <v>1</v>
      </c>
      <c r="C6517">
        <v>4</v>
      </c>
      <c r="D6517">
        <v>26</v>
      </c>
    </row>
    <row r="6518" spans="1:4" x14ac:dyDescent="0.25">
      <c r="A6518" s="1">
        <v>42313</v>
      </c>
      <c r="B6518">
        <v>1</v>
      </c>
      <c r="C6518">
        <v>4</v>
      </c>
      <c r="D6518">
        <v>21</v>
      </c>
    </row>
    <row r="6519" spans="1:4" x14ac:dyDescent="0.25">
      <c r="A6519" s="1">
        <v>42314</v>
      </c>
      <c r="B6519">
        <v>1</v>
      </c>
      <c r="C6519">
        <v>4</v>
      </c>
      <c r="D6519">
        <v>17</v>
      </c>
    </row>
    <row r="6520" spans="1:4" x14ac:dyDescent="0.25">
      <c r="A6520" s="1">
        <v>42315</v>
      </c>
      <c r="B6520">
        <v>1</v>
      </c>
      <c r="C6520">
        <v>4</v>
      </c>
      <c r="D6520">
        <v>17</v>
      </c>
    </row>
    <row r="6521" spans="1:4" x14ac:dyDescent="0.25">
      <c r="A6521" s="1">
        <v>42316</v>
      </c>
      <c r="B6521">
        <v>1</v>
      </c>
      <c r="C6521">
        <v>4</v>
      </c>
      <c r="D6521">
        <v>22</v>
      </c>
    </row>
    <row r="6522" spans="1:4" x14ac:dyDescent="0.25">
      <c r="A6522" s="1">
        <v>42317</v>
      </c>
      <c r="B6522">
        <v>1</v>
      </c>
      <c r="C6522">
        <v>4</v>
      </c>
      <c r="D6522">
        <v>19</v>
      </c>
    </row>
    <row r="6523" spans="1:4" x14ac:dyDescent="0.25">
      <c r="A6523" s="1">
        <v>42318</v>
      </c>
      <c r="B6523">
        <v>1</v>
      </c>
      <c r="C6523">
        <v>4</v>
      </c>
      <c r="D6523">
        <v>16</v>
      </c>
    </row>
    <row r="6524" spans="1:4" x14ac:dyDescent="0.25">
      <c r="A6524" s="1">
        <v>42319</v>
      </c>
      <c r="B6524">
        <v>1</v>
      </c>
      <c r="C6524">
        <v>4</v>
      </c>
      <c r="D6524">
        <v>21</v>
      </c>
    </row>
    <row r="6525" spans="1:4" x14ac:dyDescent="0.25">
      <c r="A6525" s="1">
        <v>42320</v>
      </c>
      <c r="B6525">
        <v>1</v>
      </c>
      <c r="C6525">
        <v>4</v>
      </c>
      <c r="D6525">
        <v>21</v>
      </c>
    </row>
    <row r="6526" spans="1:4" x14ac:dyDescent="0.25">
      <c r="A6526" s="1">
        <v>42321</v>
      </c>
      <c r="B6526">
        <v>1</v>
      </c>
      <c r="C6526">
        <v>4</v>
      </c>
      <c r="D6526">
        <v>16</v>
      </c>
    </row>
    <row r="6527" spans="1:4" x14ac:dyDescent="0.25">
      <c r="A6527" s="1">
        <v>42322</v>
      </c>
      <c r="B6527">
        <v>1</v>
      </c>
      <c r="C6527">
        <v>4</v>
      </c>
      <c r="D6527">
        <v>23</v>
      </c>
    </row>
    <row r="6528" spans="1:4" x14ac:dyDescent="0.25">
      <c r="A6528" s="1">
        <v>42323</v>
      </c>
      <c r="B6528">
        <v>1</v>
      </c>
      <c r="C6528">
        <v>4</v>
      </c>
      <c r="D6528">
        <v>27</v>
      </c>
    </row>
    <row r="6529" spans="1:4" x14ac:dyDescent="0.25">
      <c r="A6529" s="1">
        <v>42324</v>
      </c>
      <c r="B6529">
        <v>1</v>
      </c>
      <c r="C6529">
        <v>4</v>
      </c>
      <c r="D6529">
        <v>14</v>
      </c>
    </row>
    <row r="6530" spans="1:4" x14ac:dyDescent="0.25">
      <c r="A6530" s="1">
        <v>42325</v>
      </c>
      <c r="B6530">
        <v>1</v>
      </c>
      <c r="C6530">
        <v>4</v>
      </c>
      <c r="D6530">
        <v>19</v>
      </c>
    </row>
    <row r="6531" spans="1:4" x14ac:dyDescent="0.25">
      <c r="A6531" s="1">
        <v>42326</v>
      </c>
      <c r="B6531">
        <v>1</v>
      </c>
      <c r="C6531">
        <v>4</v>
      </c>
      <c r="D6531">
        <v>9</v>
      </c>
    </row>
    <row r="6532" spans="1:4" x14ac:dyDescent="0.25">
      <c r="A6532" s="1">
        <v>42327</v>
      </c>
      <c r="B6532">
        <v>1</v>
      </c>
      <c r="C6532">
        <v>4</v>
      </c>
      <c r="D6532">
        <v>15</v>
      </c>
    </row>
    <row r="6533" spans="1:4" x14ac:dyDescent="0.25">
      <c r="A6533" s="1">
        <v>42328</v>
      </c>
      <c r="B6533">
        <v>1</v>
      </c>
      <c r="C6533">
        <v>4</v>
      </c>
      <c r="D6533">
        <v>16</v>
      </c>
    </row>
    <row r="6534" spans="1:4" x14ac:dyDescent="0.25">
      <c r="A6534" s="1">
        <v>42329</v>
      </c>
      <c r="B6534">
        <v>1</v>
      </c>
      <c r="C6534">
        <v>4</v>
      </c>
      <c r="D6534">
        <v>17</v>
      </c>
    </row>
    <row r="6535" spans="1:4" x14ac:dyDescent="0.25">
      <c r="A6535" s="1">
        <v>42330</v>
      </c>
      <c r="B6535">
        <v>1</v>
      </c>
      <c r="C6535">
        <v>4</v>
      </c>
      <c r="D6535">
        <v>28</v>
      </c>
    </row>
    <row r="6536" spans="1:4" x14ac:dyDescent="0.25">
      <c r="A6536" s="1">
        <v>42331</v>
      </c>
      <c r="B6536">
        <v>1</v>
      </c>
      <c r="C6536">
        <v>4</v>
      </c>
      <c r="D6536">
        <v>16</v>
      </c>
    </row>
    <row r="6537" spans="1:4" x14ac:dyDescent="0.25">
      <c r="A6537" s="1">
        <v>42332</v>
      </c>
      <c r="B6537">
        <v>1</v>
      </c>
      <c r="C6537">
        <v>4</v>
      </c>
      <c r="D6537">
        <v>23</v>
      </c>
    </row>
    <row r="6538" spans="1:4" x14ac:dyDescent="0.25">
      <c r="A6538" s="1">
        <v>42333</v>
      </c>
      <c r="B6538">
        <v>1</v>
      </c>
      <c r="C6538">
        <v>4</v>
      </c>
      <c r="D6538">
        <v>23</v>
      </c>
    </row>
    <row r="6539" spans="1:4" x14ac:dyDescent="0.25">
      <c r="A6539" s="1">
        <v>42334</v>
      </c>
      <c r="B6539">
        <v>1</v>
      </c>
      <c r="C6539">
        <v>4</v>
      </c>
      <c r="D6539">
        <v>18</v>
      </c>
    </row>
    <row r="6540" spans="1:4" x14ac:dyDescent="0.25">
      <c r="A6540" s="1">
        <v>42335</v>
      </c>
      <c r="B6540">
        <v>1</v>
      </c>
      <c r="C6540">
        <v>4</v>
      </c>
      <c r="D6540">
        <v>28</v>
      </c>
    </row>
    <row r="6541" spans="1:4" x14ac:dyDescent="0.25">
      <c r="A6541" s="1">
        <v>42336</v>
      </c>
      <c r="B6541">
        <v>1</v>
      </c>
      <c r="C6541">
        <v>4</v>
      </c>
      <c r="D6541">
        <v>31</v>
      </c>
    </row>
    <row r="6542" spans="1:4" x14ac:dyDescent="0.25">
      <c r="A6542" s="1">
        <v>42337</v>
      </c>
      <c r="B6542">
        <v>1</v>
      </c>
      <c r="C6542">
        <v>4</v>
      </c>
      <c r="D6542">
        <v>24</v>
      </c>
    </row>
    <row r="6543" spans="1:4" x14ac:dyDescent="0.25">
      <c r="A6543" s="1">
        <v>42338</v>
      </c>
      <c r="B6543">
        <v>1</v>
      </c>
      <c r="C6543">
        <v>4</v>
      </c>
      <c r="D6543">
        <v>20</v>
      </c>
    </row>
    <row r="6544" spans="1:4" x14ac:dyDescent="0.25">
      <c r="A6544" s="1">
        <v>42339</v>
      </c>
      <c r="B6544">
        <v>1</v>
      </c>
      <c r="C6544">
        <v>4</v>
      </c>
      <c r="D6544">
        <v>18</v>
      </c>
    </row>
    <row r="6545" spans="1:4" x14ac:dyDescent="0.25">
      <c r="A6545" s="1">
        <v>42340</v>
      </c>
      <c r="B6545">
        <v>1</v>
      </c>
      <c r="C6545">
        <v>4</v>
      </c>
      <c r="D6545">
        <v>17</v>
      </c>
    </row>
    <row r="6546" spans="1:4" x14ac:dyDescent="0.25">
      <c r="A6546" s="1">
        <v>42341</v>
      </c>
      <c r="B6546">
        <v>1</v>
      </c>
      <c r="C6546">
        <v>4</v>
      </c>
      <c r="D6546">
        <v>12</v>
      </c>
    </row>
    <row r="6547" spans="1:4" x14ac:dyDescent="0.25">
      <c r="A6547" s="1">
        <v>42342</v>
      </c>
      <c r="B6547">
        <v>1</v>
      </c>
      <c r="C6547">
        <v>4</v>
      </c>
      <c r="D6547">
        <v>16</v>
      </c>
    </row>
    <row r="6548" spans="1:4" x14ac:dyDescent="0.25">
      <c r="A6548" s="1">
        <v>42343</v>
      </c>
      <c r="B6548">
        <v>1</v>
      </c>
      <c r="C6548">
        <v>4</v>
      </c>
      <c r="D6548">
        <v>25</v>
      </c>
    </row>
    <row r="6549" spans="1:4" x14ac:dyDescent="0.25">
      <c r="A6549" s="1">
        <v>42344</v>
      </c>
      <c r="B6549">
        <v>1</v>
      </c>
      <c r="C6549">
        <v>4</v>
      </c>
      <c r="D6549">
        <v>16</v>
      </c>
    </row>
    <row r="6550" spans="1:4" x14ac:dyDescent="0.25">
      <c r="A6550" s="1">
        <v>42345</v>
      </c>
      <c r="B6550">
        <v>1</v>
      </c>
      <c r="C6550">
        <v>4</v>
      </c>
      <c r="D6550">
        <v>9</v>
      </c>
    </row>
    <row r="6551" spans="1:4" x14ac:dyDescent="0.25">
      <c r="A6551" s="1">
        <v>42346</v>
      </c>
      <c r="B6551">
        <v>1</v>
      </c>
      <c r="C6551">
        <v>4</v>
      </c>
      <c r="D6551">
        <v>11</v>
      </c>
    </row>
    <row r="6552" spans="1:4" x14ac:dyDescent="0.25">
      <c r="A6552" s="1">
        <v>42347</v>
      </c>
      <c r="B6552">
        <v>1</v>
      </c>
      <c r="C6552">
        <v>4</v>
      </c>
      <c r="D6552">
        <v>13</v>
      </c>
    </row>
    <row r="6553" spans="1:4" x14ac:dyDescent="0.25">
      <c r="A6553" s="1">
        <v>42348</v>
      </c>
      <c r="B6553">
        <v>1</v>
      </c>
      <c r="C6553">
        <v>4</v>
      </c>
      <c r="D6553">
        <v>23</v>
      </c>
    </row>
    <row r="6554" spans="1:4" x14ac:dyDescent="0.25">
      <c r="A6554" s="1">
        <v>42349</v>
      </c>
      <c r="B6554">
        <v>1</v>
      </c>
      <c r="C6554">
        <v>4</v>
      </c>
      <c r="D6554">
        <v>7</v>
      </c>
    </row>
    <row r="6555" spans="1:4" x14ac:dyDescent="0.25">
      <c r="A6555" s="1">
        <v>42350</v>
      </c>
      <c r="B6555">
        <v>1</v>
      </c>
      <c r="C6555">
        <v>4</v>
      </c>
      <c r="D6555">
        <v>18</v>
      </c>
    </row>
    <row r="6556" spans="1:4" x14ac:dyDescent="0.25">
      <c r="A6556" s="1">
        <v>42351</v>
      </c>
      <c r="B6556">
        <v>1</v>
      </c>
      <c r="C6556">
        <v>4</v>
      </c>
      <c r="D6556">
        <v>16</v>
      </c>
    </row>
    <row r="6557" spans="1:4" x14ac:dyDescent="0.25">
      <c r="A6557" s="1">
        <v>42352</v>
      </c>
      <c r="B6557">
        <v>1</v>
      </c>
      <c r="C6557">
        <v>4</v>
      </c>
      <c r="D6557">
        <v>12</v>
      </c>
    </row>
    <row r="6558" spans="1:4" x14ac:dyDescent="0.25">
      <c r="A6558" s="1">
        <v>42353</v>
      </c>
      <c r="B6558">
        <v>1</v>
      </c>
      <c r="C6558">
        <v>4</v>
      </c>
      <c r="D6558">
        <v>11</v>
      </c>
    </row>
    <row r="6559" spans="1:4" x14ac:dyDescent="0.25">
      <c r="A6559" s="1">
        <v>42354</v>
      </c>
      <c r="B6559">
        <v>1</v>
      </c>
      <c r="C6559">
        <v>4</v>
      </c>
      <c r="D6559">
        <v>17</v>
      </c>
    </row>
    <row r="6560" spans="1:4" x14ac:dyDescent="0.25">
      <c r="A6560" s="1">
        <v>42355</v>
      </c>
      <c r="B6560">
        <v>1</v>
      </c>
      <c r="C6560">
        <v>4</v>
      </c>
      <c r="D6560">
        <v>16</v>
      </c>
    </row>
    <row r="6561" spans="1:4" x14ac:dyDescent="0.25">
      <c r="A6561" s="1">
        <v>42356</v>
      </c>
      <c r="B6561">
        <v>1</v>
      </c>
      <c r="C6561">
        <v>4</v>
      </c>
      <c r="D6561">
        <v>24</v>
      </c>
    </row>
    <row r="6562" spans="1:4" x14ac:dyDescent="0.25">
      <c r="A6562" s="1">
        <v>42357</v>
      </c>
      <c r="B6562">
        <v>1</v>
      </c>
      <c r="C6562">
        <v>4</v>
      </c>
      <c r="D6562">
        <v>10</v>
      </c>
    </row>
    <row r="6563" spans="1:4" x14ac:dyDescent="0.25">
      <c r="A6563" s="1">
        <v>42358</v>
      </c>
      <c r="B6563">
        <v>1</v>
      </c>
      <c r="C6563">
        <v>4</v>
      </c>
      <c r="D6563">
        <v>14</v>
      </c>
    </row>
    <row r="6564" spans="1:4" x14ac:dyDescent="0.25">
      <c r="A6564" s="1">
        <v>42359</v>
      </c>
      <c r="B6564">
        <v>1</v>
      </c>
      <c r="C6564">
        <v>4</v>
      </c>
      <c r="D6564">
        <v>11</v>
      </c>
    </row>
    <row r="6565" spans="1:4" x14ac:dyDescent="0.25">
      <c r="A6565" s="1">
        <v>42360</v>
      </c>
      <c r="B6565">
        <v>1</v>
      </c>
      <c r="C6565">
        <v>4</v>
      </c>
      <c r="D6565">
        <v>12</v>
      </c>
    </row>
    <row r="6566" spans="1:4" x14ac:dyDescent="0.25">
      <c r="A6566" s="1">
        <v>42361</v>
      </c>
      <c r="B6566">
        <v>1</v>
      </c>
      <c r="C6566">
        <v>4</v>
      </c>
      <c r="D6566">
        <v>11</v>
      </c>
    </row>
    <row r="6567" spans="1:4" x14ac:dyDescent="0.25">
      <c r="A6567" s="1">
        <v>42362</v>
      </c>
      <c r="B6567">
        <v>1</v>
      </c>
      <c r="C6567">
        <v>4</v>
      </c>
      <c r="D6567">
        <v>16</v>
      </c>
    </row>
    <row r="6568" spans="1:4" x14ac:dyDescent="0.25">
      <c r="A6568" s="1">
        <v>42363</v>
      </c>
      <c r="B6568">
        <v>1</v>
      </c>
      <c r="C6568">
        <v>4</v>
      </c>
      <c r="D6568">
        <v>17</v>
      </c>
    </row>
    <row r="6569" spans="1:4" x14ac:dyDescent="0.25">
      <c r="A6569" s="1">
        <v>42364</v>
      </c>
      <c r="B6569">
        <v>1</v>
      </c>
      <c r="C6569">
        <v>4</v>
      </c>
      <c r="D6569">
        <v>14</v>
      </c>
    </row>
    <row r="6570" spans="1:4" x14ac:dyDescent="0.25">
      <c r="A6570" s="1">
        <v>42365</v>
      </c>
      <c r="B6570">
        <v>1</v>
      </c>
      <c r="C6570">
        <v>4</v>
      </c>
      <c r="D6570">
        <v>18</v>
      </c>
    </row>
    <row r="6571" spans="1:4" x14ac:dyDescent="0.25">
      <c r="A6571" s="1">
        <v>42366</v>
      </c>
      <c r="B6571">
        <v>1</v>
      </c>
      <c r="C6571">
        <v>4</v>
      </c>
      <c r="D6571">
        <v>5</v>
      </c>
    </row>
    <row r="6572" spans="1:4" x14ac:dyDescent="0.25">
      <c r="A6572" s="1">
        <v>42367</v>
      </c>
      <c r="B6572">
        <v>1</v>
      </c>
      <c r="C6572">
        <v>4</v>
      </c>
      <c r="D6572">
        <v>15</v>
      </c>
    </row>
    <row r="6573" spans="1:4" x14ac:dyDescent="0.25">
      <c r="A6573" s="1">
        <v>42368</v>
      </c>
      <c r="B6573">
        <v>1</v>
      </c>
      <c r="C6573">
        <v>4</v>
      </c>
      <c r="D6573">
        <v>15</v>
      </c>
    </row>
    <row r="6574" spans="1:4" x14ac:dyDescent="0.25">
      <c r="A6574" s="1">
        <v>42369</v>
      </c>
      <c r="B6574">
        <v>1</v>
      </c>
      <c r="C6574">
        <v>4</v>
      </c>
      <c r="D6574">
        <v>22</v>
      </c>
    </row>
    <row r="6575" spans="1:4" x14ac:dyDescent="0.25">
      <c r="A6575" s="1">
        <v>42370</v>
      </c>
      <c r="B6575">
        <v>1</v>
      </c>
      <c r="C6575">
        <v>4</v>
      </c>
      <c r="D6575">
        <v>15</v>
      </c>
    </row>
    <row r="6576" spans="1:4" x14ac:dyDescent="0.25">
      <c r="A6576" s="1">
        <v>42371</v>
      </c>
      <c r="B6576">
        <v>1</v>
      </c>
      <c r="C6576">
        <v>4</v>
      </c>
      <c r="D6576">
        <v>15</v>
      </c>
    </row>
    <row r="6577" spans="1:4" x14ac:dyDescent="0.25">
      <c r="A6577" s="1">
        <v>42372</v>
      </c>
      <c r="B6577">
        <v>1</v>
      </c>
      <c r="C6577">
        <v>4</v>
      </c>
      <c r="D6577">
        <v>21</v>
      </c>
    </row>
    <row r="6578" spans="1:4" x14ac:dyDescent="0.25">
      <c r="A6578" s="1">
        <v>42373</v>
      </c>
      <c r="B6578">
        <v>1</v>
      </c>
      <c r="C6578">
        <v>4</v>
      </c>
      <c r="D6578">
        <v>12</v>
      </c>
    </row>
    <row r="6579" spans="1:4" x14ac:dyDescent="0.25">
      <c r="A6579" s="1">
        <v>42374</v>
      </c>
      <c r="B6579">
        <v>1</v>
      </c>
      <c r="C6579">
        <v>4</v>
      </c>
      <c r="D6579">
        <v>12</v>
      </c>
    </row>
    <row r="6580" spans="1:4" x14ac:dyDescent="0.25">
      <c r="A6580" s="1">
        <v>42375</v>
      </c>
      <c r="B6580">
        <v>1</v>
      </c>
      <c r="C6580">
        <v>4</v>
      </c>
      <c r="D6580">
        <v>12</v>
      </c>
    </row>
    <row r="6581" spans="1:4" x14ac:dyDescent="0.25">
      <c r="A6581" s="1">
        <v>42376</v>
      </c>
      <c r="B6581">
        <v>1</v>
      </c>
      <c r="C6581">
        <v>4</v>
      </c>
      <c r="D6581">
        <v>16</v>
      </c>
    </row>
    <row r="6582" spans="1:4" x14ac:dyDescent="0.25">
      <c r="A6582" s="1">
        <v>42377</v>
      </c>
      <c r="B6582">
        <v>1</v>
      </c>
      <c r="C6582">
        <v>4</v>
      </c>
      <c r="D6582">
        <v>10</v>
      </c>
    </row>
    <row r="6583" spans="1:4" x14ac:dyDescent="0.25">
      <c r="A6583" s="1">
        <v>42378</v>
      </c>
      <c r="B6583">
        <v>1</v>
      </c>
      <c r="C6583">
        <v>4</v>
      </c>
      <c r="D6583">
        <v>23</v>
      </c>
    </row>
    <row r="6584" spans="1:4" x14ac:dyDescent="0.25">
      <c r="A6584" s="1">
        <v>42379</v>
      </c>
      <c r="B6584">
        <v>1</v>
      </c>
      <c r="C6584">
        <v>4</v>
      </c>
      <c r="D6584">
        <v>13</v>
      </c>
    </row>
    <row r="6585" spans="1:4" x14ac:dyDescent="0.25">
      <c r="A6585" s="1">
        <v>42380</v>
      </c>
      <c r="B6585">
        <v>1</v>
      </c>
      <c r="C6585">
        <v>4</v>
      </c>
      <c r="D6585">
        <v>11</v>
      </c>
    </row>
    <row r="6586" spans="1:4" x14ac:dyDescent="0.25">
      <c r="A6586" s="1">
        <v>42381</v>
      </c>
      <c r="B6586">
        <v>1</v>
      </c>
      <c r="C6586">
        <v>4</v>
      </c>
      <c r="D6586">
        <v>10</v>
      </c>
    </row>
    <row r="6587" spans="1:4" x14ac:dyDescent="0.25">
      <c r="A6587" s="1">
        <v>42382</v>
      </c>
      <c r="B6587">
        <v>1</v>
      </c>
      <c r="C6587">
        <v>4</v>
      </c>
      <c r="D6587">
        <v>12</v>
      </c>
    </row>
    <row r="6588" spans="1:4" x14ac:dyDescent="0.25">
      <c r="A6588" s="1">
        <v>42383</v>
      </c>
      <c r="B6588">
        <v>1</v>
      </c>
      <c r="C6588">
        <v>4</v>
      </c>
      <c r="D6588">
        <v>14</v>
      </c>
    </row>
    <row r="6589" spans="1:4" x14ac:dyDescent="0.25">
      <c r="A6589" s="1">
        <v>42384</v>
      </c>
      <c r="B6589">
        <v>1</v>
      </c>
      <c r="C6589">
        <v>4</v>
      </c>
      <c r="D6589">
        <v>12</v>
      </c>
    </row>
    <row r="6590" spans="1:4" x14ac:dyDescent="0.25">
      <c r="A6590" s="1">
        <v>42385</v>
      </c>
      <c r="B6590">
        <v>1</v>
      </c>
      <c r="C6590">
        <v>4</v>
      </c>
      <c r="D6590">
        <v>12</v>
      </c>
    </row>
    <row r="6591" spans="1:4" x14ac:dyDescent="0.25">
      <c r="A6591" s="1">
        <v>42386</v>
      </c>
      <c r="B6591">
        <v>1</v>
      </c>
      <c r="C6591">
        <v>4</v>
      </c>
      <c r="D6591">
        <v>19</v>
      </c>
    </row>
    <row r="6592" spans="1:4" x14ac:dyDescent="0.25">
      <c r="A6592" s="1">
        <v>42387</v>
      </c>
      <c r="B6592">
        <v>1</v>
      </c>
      <c r="C6592">
        <v>4</v>
      </c>
      <c r="D6592">
        <v>7</v>
      </c>
    </row>
    <row r="6593" spans="1:4" x14ac:dyDescent="0.25">
      <c r="A6593" s="1">
        <v>42388</v>
      </c>
      <c r="B6593">
        <v>1</v>
      </c>
      <c r="C6593">
        <v>4</v>
      </c>
      <c r="D6593">
        <v>17</v>
      </c>
    </row>
    <row r="6594" spans="1:4" x14ac:dyDescent="0.25">
      <c r="A6594" s="1">
        <v>42389</v>
      </c>
      <c r="B6594">
        <v>1</v>
      </c>
      <c r="C6594">
        <v>4</v>
      </c>
      <c r="D6594">
        <v>14</v>
      </c>
    </row>
    <row r="6595" spans="1:4" x14ac:dyDescent="0.25">
      <c r="A6595" s="1">
        <v>42390</v>
      </c>
      <c r="B6595">
        <v>1</v>
      </c>
      <c r="C6595">
        <v>4</v>
      </c>
      <c r="D6595">
        <v>13</v>
      </c>
    </row>
    <row r="6596" spans="1:4" x14ac:dyDescent="0.25">
      <c r="A6596" s="1">
        <v>42391</v>
      </c>
      <c r="B6596">
        <v>1</v>
      </c>
      <c r="C6596">
        <v>4</v>
      </c>
      <c r="D6596">
        <v>17</v>
      </c>
    </row>
    <row r="6597" spans="1:4" x14ac:dyDescent="0.25">
      <c r="A6597" s="1">
        <v>42392</v>
      </c>
      <c r="B6597">
        <v>1</v>
      </c>
      <c r="C6597">
        <v>4</v>
      </c>
      <c r="D6597">
        <v>10</v>
      </c>
    </row>
    <row r="6598" spans="1:4" x14ac:dyDescent="0.25">
      <c r="A6598" s="1">
        <v>42393</v>
      </c>
      <c r="B6598">
        <v>1</v>
      </c>
      <c r="C6598">
        <v>4</v>
      </c>
      <c r="D6598">
        <v>25</v>
      </c>
    </row>
    <row r="6599" spans="1:4" x14ac:dyDescent="0.25">
      <c r="A6599" s="1">
        <v>42394</v>
      </c>
      <c r="B6599">
        <v>1</v>
      </c>
      <c r="C6599">
        <v>4</v>
      </c>
      <c r="D6599">
        <v>11</v>
      </c>
    </row>
    <row r="6600" spans="1:4" x14ac:dyDescent="0.25">
      <c r="A6600" s="1">
        <v>42395</v>
      </c>
      <c r="B6600">
        <v>1</v>
      </c>
      <c r="C6600">
        <v>4</v>
      </c>
      <c r="D6600">
        <v>12</v>
      </c>
    </row>
    <row r="6601" spans="1:4" x14ac:dyDescent="0.25">
      <c r="A6601" s="1">
        <v>42396</v>
      </c>
      <c r="B6601">
        <v>1</v>
      </c>
      <c r="C6601">
        <v>4</v>
      </c>
      <c r="D6601">
        <v>12</v>
      </c>
    </row>
    <row r="6602" spans="1:4" x14ac:dyDescent="0.25">
      <c r="A6602" s="1">
        <v>42397</v>
      </c>
      <c r="B6602">
        <v>1</v>
      </c>
      <c r="C6602">
        <v>4</v>
      </c>
      <c r="D6602">
        <v>15</v>
      </c>
    </row>
    <row r="6603" spans="1:4" x14ac:dyDescent="0.25">
      <c r="A6603" s="1">
        <v>42398</v>
      </c>
      <c r="B6603">
        <v>1</v>
      </c>
      <c r="C6603">
        <v>4</v>
      </c>
      <c r="D6603">
        <v>19</v>
      </c>
    </row>
    <row r="6604" spans="1:4" x14ac:dyDescent="0.25">
      <c r="A6604" s="1">
        <v>42399</v>
      </c>
      <c r="B6604">
        <v>1</v>
      </c>
      <c r="C6604">
        <v>4</v>
      </c>
      <c r="D6604">
        <v>19</v>
      </c>
    </row>
    <row r="6605" spans="1:4" x14ac:dyDescent="0.25">
      <c r="A6605" s="1">
        <v>42400</v>
      </c>
      <c r="B6605">
        <v>1</v>
      </c>
      <c r="C6605">
        <v>4</v>
      </c>
      <c r="D6605">
        <v>17</v>
      </c>
    </row>
    <row r="6606" spans="1:4" x14ac:dyDescent="0.25">
      <c r="A6606" s="1">
        <v>42401</v>
      </c>
      <c r="B6606">
        <v>1</v>
      </c>
      <c r="C6606">
        <v>4</v>
      </c>
      <c r="D6606">
        <v>10</v>
      </c>
    </row>
    <row r="6607" spans="1:4" x14ac:dyDescent="0.25">
      <c r="A6607" s="1">
        <v>42402</v>
      </c>
      <c r="B6607">
        <v>1</v>
      </c>
      <c r="C6607">
        <v>4</v>
      </c>
      <c r="D6607">
        <v>14</v>
      </c>
    </row>
    <row r="6608" spans="1:4" x14ac:dyDescent="0.25">
      <c r="A6608" s="1">
        <v>42403</v>
      </c>
      <c r="B6608">
        <v>1</v>
      </c>
      <c r="C6608">
        <v>4</v>
      </c>
      <c r="D6608">
        <v>20</v>
      </c>
    </row>
    <row r="6609" spans="1:4" x14ac:dyDescent="0.25">
      <c r="A6609" s="1">
        <v>42404</v>
      </c>
      <c r="B6609">
        <v>1</v>
      </c>
      <c r="C6609">
        <v>4</v>
      </c>
      <c r="D6609">
        <v>20</v>
      </c>
    </row>
    <row r="6610" spans="1:4" x14ac:dyDescent="0.25">
      <c r="A6610" s="1">
        <v>42405</v>
      </c>
      <c r="B6610">
        <v>1</v>
      </c>
      <c r="C6610">
        <v>4</v>
      </c>
      <c r="D6610">
        <v>10</v>
      </c>
    </row>
    <row r="6611" spans="1:4" x14ac:dyDescent="0.25">
      <c r="A6611" s="1">
        <v>42406</v>
      </c>
      <c r="B6611">
        <v>1</v>
      </c>
      <c r="C6611">
        <v>4</v>
      </c>
      <c r="D6611">
        <v>21</v>
      </c>
    </row>
    <row r="6612" spans="1:4" x14ac:dyDescent="0.25">
      <c r="A6612" s="1">
        <v>42407</v>
      </c>
      <c r="B6612">
        <v>1</v>
      </c>
      <c r="C6612">
        <v>4</v>
      </c>
      <c r="D6612">
        <v>17</v>
      </c>
    </row>
    <row r="6613" spans="1:4" x14ac:dyDescent="0.25">
      <c r="A6613" s="1">
        <v>42408</v>
      </c>
      <c r="B6613">
        <v>1</v>
      </c>
      <c r="C6613">
        <v>4</v>
      </c>
      <c r="D6613">
        <v>15</v>
      </c>
    </row>
    <row r="6614" spans="1:4" x14ac:dyDescent="0.25">
      <c r="A6614" s="1">
        <v>42409</v>
      </c>
      <c r="B6614">
        <v>1</v>
      </c>
      <c r="C6614">
        <v>4</v>
      </c>
      <c r="D6614">
        <v>12</v>
      </c>
    </row>
    <row r="6615" spans="1:4" x14ac:dyDescent="0.25">
      <c r="A6615" s="1">
        <v>42410</v>
      </c>
      <c r="B6615">
        <v>1</v>
      </c>
      <c r="C6615">
        <v>4</v>
      </c>
      <c r="D6615">
        <v>25</v>
      </c>
    </row>
    <row r="6616" spans="1:4" x14ac:dyDescent="0.25">
      <c r="A6616" s="1">
        <v>42411</v>
      </c>
      <c r="B6616">
        <v>1</v>
      </c>
      <c r="C6616">
        <v>4</v>
      </c>
      <c r="D6616">
        <v>24</v>
      </c>
    </row>
    <row r="6617" spans="1:4" x14ac:dyDescent="0.25">
      <c r="A6617" s="1">
        <v>42412</v>
      </c>
      <c r="B6617">
        <v>1</v>
      </c>
      <c r="C6617">
        <v>4</v>
      </c>
      <c r="D6617">
        <v>13</v>
      </c>
    </row>
    <row r="6618" spans="1:4" x14ac:dyDescent="0.25">
      <c r="A6618" s="1">
        <v>42413</v>
      </c>
      <c r="B6618">
        <v>1</v>
      </c>
      <c r="C6618">
        <v>4</v>
      </c>
      <c r="D6618">
        <v>17</v>
      </c>
    </row>
    <row r="6619" spans="1:4" x14ac:dyDescent="0.25">
      <c r="A6619" s="1">
        <v>42414</v>
      </c>
      <c r="B6619">
        <v>1</v>
      </c>
      <c r="C6619">
        <v>4</v>
      </c>
      <c r="D6619">
        <v>21</v>
      </c>
    </row>
    <row r="6620" spans="1:4" x14ac:dyDescent="0.25">
      <c r="A6620" s="1">
        <v>42415</v>
      </c>
      <c r="B6620">
        <v>1</v>
      </c>
      <c r="C6620">
        <v>4</v>
      </c>
      <c r="D6620">
        <v>11</v>
      </c>
    </row>
    <row r="6621" spans="1:4" x14ac:dyDescent="0.25">
      <c r="A6621" s="1">
        <v>42416</v>
      </c>
      <c r="B6621">
        <v>1</v>
      </c>
      <c r="C6621">
        <v>4</v>
      </c>
      <c r="D6621">
        <v>8</v>
      </c>
    </row>
    <row r="6622" spans="1:4" x14ac:dyDescent="0.25">
      <c r="A6622" s="1">
        <v>42417</v>
      </c>
      <c r="B6622">
        <v>1</v>
      </c>
      <c r="C6622">
        <v>4</v>
      </c>
      <c r="D6622">
        <v>11</v>
      </c>
    </row>
    <row r="6623" spans="1:4" x14ac:dyDescent="0.25">
      <c r="A6623" s="1">
        <v>42418</v>
      </c>
      <c r="B6623">
        <v>1</v>
      </c>
      <c r="C6623">
        <v>4</v>
      </c>
      <c r="D6623">
        <v>15</v>
      </c>
    </row>
    <row r="6624" spans="1:4" x14ac:dyDescent="0.25">
      <c r="A6624" s="1">
        <v>42419</v>
      </c>
      <c r="B6624">
        <v>1</v>
      </c>
      <c r="C6624">
        <v>4</v>
      </c>
      <c r="D6624">
        <v>24</v>
      </c>
    </row>
    <row r="6625" spans="1:4" x14ac:dyDescent="0.25">
      <c r="A6625" s="1">
        <v>42420</v>
      </c>
      <c r="B6625">
        <v>1</v>
      </c>
      <c r="C6625">
        <v>4</v>
      </c>
      <c r="D6625">
        <v>26</v>
      </c>
    </row>
    <row r="6626" spans="1:4" x14ac:dyDescent="0.25">
      <c r="A6626" s="1">
        <v>42421</v>
      </c>
      <c r="B6626">
        <v>1</v>
      </c>
      <c r="C6626">
        <v>4</v>
      </c>
      <c r="D6626">
        <v>28</v>
      </c>
    </row>
    <row r="6627" spans="1:4" x14ac:dyDescent="0.25">
      <c r="A6627" s="1">
        <v>42422</v>
      </c>
      <c r="B6627">
        <v>1</v>
      </c>
      <c r="C6627">
        <v>4</v>
      </c>
      <c r="D6627">
        <v>13</v>
      </c>
    </row>
    <row r="6628" spans="1:4" x14ac:dyDescent="0.25">
      <c r="A6628" s="1">
        <v>42423</v>
      </c>
      <c r="B6628">
        <v>1</v>
      </c>
      <c r="C6628">
        <v>4</v>
      </c>
      <c r="D6628">
        <v>20</v>
      </c>
    </row>
    <row r="6629" spans="1:4" x14ac:dyDescent="0.25">
      <c r="A6629" s="1">
        <v>42424</v>
      </c>
      <c r="B6629">
        <v>1</v>
      </c>
      <c r="C6629">
        <v>4</v>
      </c>
      <c r="D6629">
        <v>14</v>
      </c>
    </row>
    <row r="6630" spans="1:4" x14ac:dyDescent="0.25">
      <c r="A6630" s="1">
        <v>42425</v>
      </c>
      <c r="B6630">
        <v>1</v>
      </c>
      <c r="C6630">
        <v>4</v>
      </c>
      <c r="D6630">
        <v>15</v>
      </c>
    </row>
    <row r="6631" spans="1:4" x14ac:dyDescent="0.25">
      <c r="A6631" s="1">
        <v>42426</v>
      </c>
      <c r="B6631">
        <v>1</v>
      </c>
      <c r="C6631">
        <v>4</v>
      </c>
      <c r="D6631">
        <v>26</v>
      </c>
    </row>
    <row r="6632" spans="1:4" x14ac:dyDescent="0.25">
      <c r="A6632" s="1">
        <v>42427</v>
      </c>
      <c r="B6632">
        <v>1</v>
      </c>
      <c r="C6632">
        <v>4</v>
      </c>
      <c r="D6632">
        <v>16</v>
      </c>
    </row>
    <row r="6633" spans="1:4" x14ac:dyDescent="0.25">
      <c r="A6633" s="1">
        <v>42428</v>
      </c>
      <c r="B6633">
        <v>1</v>
      </c>
      <c r="C6633">
        <v>4</v>
      </c>
      <c r="D6633">
        <v>14</v>
      </c>
    </row>
    <row r="6634" spans="1:4" x14ac:dyDescent="0.25">
      <c r="A6634" s="1">
        <v>42429</v>
      </c>
      <c r="B6634">
        <v>1</v>
      </c>
      <c r="C6634">
        <v>4</v>
      </c>
      <c r="D6634">
        <v>11</v>
      </c>
    </row>
    <row r="6635" spans="1:4" x14ac:dyDescent="0.25">
      <c r="A6635" s="1">
        <v>42430</v>
      </c>
      <c r="B6635">
        <v>1</v>
      </c>
      <c r="C6635">
        <v>4</v>
      </c>
      <c r="D6635">
        <v>16</v>
      </c>
    </row>
    <row r="6636" spans="1:4" x14ac:dyDescent="0.25">
      <c r="A6636" s="1">
        <v>42431</v>
      </c>
      <c r="B6636">
        <v>1</v>
      </c>
      <c r="C6636">
        <v>4</v>
      </c>
      <c r="D6636">
        <v>21</v>
      </c>
    </row>
    <row r="6637" spans="1:4" x14ac:dyDescent="0.25">
      <c r="A6637" s="1">
        <v>42432</v>
      </c>
      <c r="B6637">
        <v>1</v>
      </c>
      <c r="C6637">
        <v>4</v>
      </c>
      <c r="D6637">
        <v>15</v>
      </c>
    </row>
    <row r="6638" spans="1:4" x14ac:dyDescent="0.25">
      <c r="A6638" s="1">
        <v>42433</v>
      </c>
      <c r="B6638">
        <v>1</v>
      </c>
      <c r="C6638">
        <v>4</v>
      </c>
      <c r="D6638">
        <v>20</v>
      </c>
    </row>
    <row r="6639" spans="1:4" x14ac:dyDescent="0.25">
      <c r="A6639" s="1">
        <v>42434</v>
      </c>
      <c r="B6639">
        <v>1</v>
      </c>
      <c r="C6639">
        <v>4</v>
      </c>
      <c r="D6639">
        <v>20</v>
      </c>
    </row>
    <row r="6640" spans="1:4" x14ac:dyDescent="0.25">
      <c r="A6640" s="1">
        <v>42435</v>
      </c>
      <c r="B6640">
        <v>1</v>
      </c>
      <c r="C6640">
        <v>4</v>
      </c>
      <c r="D6640">
        <v>23</v>
      </c>
    </row>
    <row r="6641" spans="1:4" x14ac:dyDescent="0.25">
      <c r="A6641" s="1">
        <v>42436</v>
      </c>
      <c r="B6641">
        <v>1</v>
      </c>
      <c r="C6641">
        <v>4</v>
      </c>
      <c r="D6641">
        <v>16</v>
      </c>
    </row>
    <row r="6642" spans="1:4" x14ac:dyDescent="0.25">
      <c r="A6642" s="1">
        <v>42437</v>
      </c>
      <c r="B6642">
        <v>1</v>
      </c>
      <c r="C6642">
        <v>4</v>
      </c>
      <c r="D6642">
        <v>18</v>
      </c>
    </row>
    <row r="6643" spans="1:4" x14ac:dyDescent="0.25">
      <c r="A6643" s="1">
        <v>42438</v>
      </c>
      <c r="B6643">
        <v>1</v>
      </c>
      <c r="C6643">
        <v>4</v>
      </c>
      <c r="D6643">
        <v>17</v>
      </c>
    </row>
    <row r="6644" spans="1:4" x14ac:dyDescent="0.25">
      <c r="A6644" s="1">
        <v>42439</v>
      </c>
      <c r="B6644">
        <v>1</v>
      </c>
      <c r="C6644">
        <v>4</v>
      </c>
      <c r="D6644">
        <v>24</v>
      </c>
    </row>
    <row r="6645" spans="1:4" x14ac:dyDescent="0.25">
      <c r="A6645" s="1">
        <v>42440</v>
      </c>
      <c r="B6645">
        <v>1</v>
      </c>
      <c r="C6645">
        <v>4</v>
      </c>
      <c r="D6645">
        <v>20</v>
      </c>
    </row>
    <row r="6646" spans="1:4" x14ac:dyDescent="0.25">
      <c r="A6646" s="1">
        <v>42441</v>
      </c>
      <c r="B6646">
        <v>1</v>
      </c>
      <c r="C6646">
        <v>4</v>
      </c>
      <c r="D6646">
        <v>25</v>
      </c>
    </row>
    <row r="6647" spans="1:4" x14ac:dyDescent="0.25">
      <c r="A6647" s="1">
        <v>42442</v>
      </c>
      <c r="B6647">
        <v>1</v>
      </c>
      <c r="C6647">
        <v>4</v>
      </c>
      <c r="D6647">
        <v>18</v>
      </c>
    </row>
    <row r="6648" spans="1:4" x14ac:dyDescent="0.25">
      <c r="A6648" s="1">
        <v>42443</v>
      </c>
      <c r="B6648">
        <v>1</v>
      </c>
      <c r="C6648">
        <v>4</v>
      </c>
      <c r="D6648">
        <v>10</v>
      </c>
    </row>
    <row r="6649" spans="1:4" x14ac:dyDescent="0.25">
      <c r="A6649" s="1">
        <v>42444</v>
      </c>
      <c r="B6649">
        <v>1</v>
      </c>
      <c r="C6649">
        <v>4</v>
      </c>
      <c r="D6649">
        <v>18</v>
      </c>
    </row>
    <row r="6650" spans="1:4" x14ac:dyDescent="0.25">
      <c r="A6650" s="1">
        <v>42445</v>
      </c>
      <c r="B6650">
        <v>1</v>
      </c>
      <c r="C6650">
        <v>4</v>
      </c>
      <c r="D6650">
        <v>22</v>
      </c>
    </row>
    <row r="6651" spans="1:4" x14ac:dyDescent="0.25">
      <c r="A6651" s="1">
        <v>42446</v>
      </c>
      <c r="B6651">
        <v>1</v>
      </c>
      <c r="C6651">
        <v>4</v>
      </c>
      <c r="D6651">
        <v>24</v>
      </c>
    </row>
    <row r="6652" spans="1:4" x14ac:dyDescent="0.25">
      <c r="A6652" s="1">
        <v>42447</v>
      </c>
      <c r="B6652">
        <v>1</v>
      </c>
      <c r="C6652">
        <v>4</v>
      </c>
      <c r="D6652">
        <v>23</v>
      </c>
    </row>
    <row r="6653" spans="1:4" x14ac:dyDescent="0.25">
      <c r="A6653" s="1">
        <v>42448</v>
      </c>
      <c r="B6653">
        <v>1</v>
      </c>
      <c r="C6653">
        <v>4</v>
      </c>
      <c r="D6653">
        <v>27</v>
      </c>
    </row>
    <row r="6654" spans="1:4" x14ac:dyDescent="0.25">
      <c r="A6654" s="1">
        <v>42449</v>
      </c>
      <c r="B6654">
        <v>1</v>
      </c>
      <c r="C6654">
        <v>4</v>
      </c>
      <c r="D6654">
        <v>18</v>
      </c>
    </row>
    <row r="6655" spans="1:4" x14ac:dyDescent="0.25">
      <c r="A6655" s="1">
        <v>42450</v>
      </c>
      <c r="B6655">
        <v>1</v>
      </c>
      <c r="C6655">
        <v>4</v>
      </c>
      <c r="D6655">
        <v>13</v>
      </c>
    </row>
    <row r="6656" spans="1:4" x14ac:dyDescent="0.25">
      <c r="A6656" s="1">
        <v>42451</v>
      </c>
      <c r="B6656">
        <v>1</v>
      </c>
      <c r="C6656">
        <v>4</v>
      </c>
      <c r="D6656">
        <v>17</v>
      </c>
    </row>
    <row r="6657" spans="1:4" x14ac:dyDescent="0.25">
      <c r="A6657" s="1">
        <v>42452</v>
      </c>
      <c r="B6657">
        <v>1</v>
      </c>
      <c r="C6657">
        <v>4</v>
      </c>
      <c r="D6657">
        <v>20</v>
      </c>
    </row>
    <row r="6658" spans="1:4" x14ac:dyDescent="0.25">
      <c r="A6658" s="1">
        <v>42453</v>
      </c>
      <c r="B6658">
        <v>1</v>
      </c>
      <c r="C6658">
        <v>4</v>
      </c>
      <c r="D6658">
        <v>22</v>
      </c>
    </row>
    <row r="6659" spans="1:4" x14ac:dyDescent="0.25">
      <c r="A6659" s="1">
        <v>42454</v>
      </c>
      <c r="B6659">
        <v>1</v>
      </c>
      <c r="C6659">
        <v>4</v>
      </c>
      <c r="D6659">
        <v>28</v>
      </c>
    </row>
    <row r="6660" spans="1:4" x14ac:dyDescent="0.25">
      <c r="A6660" s="1">
        <v>42455</v>
      </c>
      <c r="B6660">
        <v>1</v>
      </c>
      <c r="C6660">
        <v>4</v>
      </c>
      <c r="D6660">
        <v>12</v>
      </c>
    </row>
    <row r="6661" spans="1:4" x14ac:dyDescent="0.25">
      <c r="A6661" s="1">
        <v>42456</v>
      </c>
      <c r="B6661">
        <v>1</v>
      </c>
      <c r="C6661">
        <v>4</v>
      </c>
      <c r="D6661">
        <v>20</v>
      </c>
    </row>
    <row r="6662" spans="1:4" x14ac:dyDescent="0.25">
      <c r="A6662" s="1">
        <v>42457</v>
      </c>
      <c r="B6662">
        <v>1</v>
      </c>
      <c r="C6662">
        <v>4</v>
      </c>
      <c r="D6662">
        <v>17</v>
      </c>
    </row>
    <row r="6663" spans="1:4" x14ac:dyDescent="0.25">
      <c r="A6663" s="1">
        <v>42458</v>
      </c>
      <c r="B6663">
        <v>1</v>
      </c>
      <c r="C6663">
        <v>4</v>
      </c>
      <c r="D6663">
        <v>16</v>
      </c>
    </row>
    <row r="6664" spans="1:4" x14ac:dyDescent="0.25">
      <c r="A6664" s="1">
        <v>42459</v>
      </c>
      <c r="B6664">
        <v>1</v>
      </c>
      <c r="C6664">
        <v>4</v>
      </c>
      <c r="D6664">
        <v>14</v>
      </c>
    </row>
    <row r="6665" spans="1:4" x14ac:dyDescent="0.25">
      <c r="A6665" s="1">
        <v>42460</v>
      </c>
      <c r="B6665">
        <v>1</v>
      </c>
      <c r="C6665">
        <v>4</v>
      </c>
      <c r="D6665">
        <v>20</v>
      </c>
    </row>
    <row r="6666" spans="1:4" x14ac:dyDescent="0.25">
      <c r="A6666" s="1">
        <v>42461</v>
      </c>
      <c r="B6666">
        <v>1</v>
      </c>
      <c r="C6666">
        <v>4</v>
      </c>
      <c r="D6666">
        <v>26</v>
      </c>
    </row>
    <row r="6667" spans="1:4" x14ac:dyDescent="0.25">
      <c r="A6667" s="1">
        <v>42462</v>
      </c>
      <c r="B6667">
        <v>1</v>
      </c>
      <c r="C6667">
        <v>4</v>
      </c>
      <c r="D6667">
        <v>26</v>
      </c>
    </row>
    <row r="6668" spans="1:4" x14ac:dyDescent="0.25">
      <c r="A6668" s="1">
        <v>42463</v>
      </c>
      <c r="B6668">
        <v>1</v>
      </c>
      <c r="C6668">
        <v>4</v>
      </c>
      <c r="D6668">
        <v>22</v>
      </c>
    </row>
    <row r="6669" spans="1:4" x14ac:dyDescent="0.25">
      <c r="A6669" s="1">
        <v>42464</v>
      </c>
      <c r="B6669">
        <v>1</v>
      </c>
      <c r="C6669">
        <v>4</v>
      </c>
      <c r="D6669">
        <v>18</v>
      </c>
    </row>
    <row r="6670" spans="1:4" x14ac:dyDescent="0.25">
      <c r="A6670" s="1">
        <v>42465</v>
      </c>
      <c r="B6670">
        <v>1</v>
      </c>
      <c r="C6670">
        <v>4</v>
      </c>
      <c r="D6670">
        <v>25</v>
      </c>
    </row>
    <row r="6671" spans="1:4" x14ac:dyDescent="0.25">
      <c r="A6671" s="1">
        <v>42466</v>
      </c>
      <c r="B6671">
        <v>1</v>
      </c>
      <c r="C6671">
        <v>4</v>
      </c>
      <c r="D6671">
        <v>17</v>
      </c>
    </row>
    <row r="6672" spans="1:4" x14ac:dyDescent="0.25">
      <c r="A6672" s="1">
        <v>42467</v>
      </c>
      <c r="B6672">
        <v>1</v>
      </c>
      <c r="C6672">
        <v>4</v>
      </c>
      <c r="D6672">
        <v>25</v>
      </c>
    </row>
    <row r="6673" spans="1:4" x14ac:dyDescent="0.25">
      <c r="A6673" s="1">
        <v>42468</v>
      </c>
      <c r="B6673">
        <v>1</v>
      </c>
      <c r="C6673">
        <v>4</v>
      </c>
      <c r="D6673">
        <v>28</v>
      </c>
    </row>
    <row r="6674" spans="1:4" x14ac:dyDescent="0.25">
      <c r="A6674" s="1">
        <v>42469</v>
      </c>
      <c r="B6674">
        <v>1</v>
      </c>
      <c r="C6674">
        <v>4</v>
      </c>
      <c r="D6674">
        <v>30</v>
      </c>
    </row>
    <row r="6675" spans="1:4" x14ac:dyDescent="0.25">
      <c r="A6675" s="1">
        <v>42470</v>
      </c>
      <c r="B6675">
        <v>1</v>
      </c>
      <c r="C6675">
        <v>4</v>
      </c>
      <c r="D6675">
        <v>21</v>
      </c>
    </row>
    <row r="6676" spans="1:4" x14ac:dyDescent="0.25">
      <c r="A6676" s="1">
        <v>42471</v>
      </c>
      <c r="B6676">
        <v>1</v>
      </c>
      <c r="C6676">
        <v>4</v>
      </c>
      <c r="D6676">
        <v>29</v>
      </c>
    </row>
    <row r="6677" spans="1:4" x14ac:dyDescent="0.25">
      <c r="A6677" s="1">
        <v>42472</v>
      </c>
      <c r="B6677">
        <v>1</v>
      </c>
      <c r="C6677">
        <v>4</v>
      </c>
      <c r="D6677">
        <v>20</v>
      </c>
    </row>
    <row r="6678" spans="1:4" x14ac:dyDescent="0.25">
      <c r="A6678" s="1">
        <v>42473</v>
      </c>
      <c r="B6678">
        <v>1</v>
      </c>
      <c r="C6678">
        <v>4</v>
      </c>
      <c r="D6678">
        <v>20</v>
      </c>
    </row>
    <row r="6679" spans="1:4" x14ac:dyDescent="0.25">
      <c r="A6679" s="1">
        <v>42474</v>
      </c>
      <c r="B6679">
        <v>1</v>
      </c>
      <c r="C6679">
        <v>4</v>
      </c>
      <c r="D6679">
        <v>21</v>
      </c>
    </row>
    <row r="6680" spans="1:4" x14ac:dyDescent="0.25">
      <c r="A6680" s="1">
        <v>42475</v>
      </c>
      <c r="B6680">
        <v>1</v>
      </c>
      <c r="C6680">
        <v>4</v>
      </c>
      <c r="D6680">
        <v>22</v>
      </c>
    </row>
    <row r="6681" spans="1:4" x14ac:dyDescent="0.25">
      <c r="A6681" s="1">
        <v>42476</v>
      </c>
      <c r="B6681">
        <v>1</v>
      </c>
      <c r="C6681">
        <v>4</v>
      </c>
      <c r="D6681">
        <v>27</v>
      </c>
    </row>
    <row r="6682" spans="1:4" x14ac:dyDescent="0.25">
      <c r="A6682" s="1">
        <v>42477</v>
      </c>
      <c r="B6682">
        <v>1</v>
      </c>
      <c r="C6682">
        <v>4</v>
      </c>
      <c r="D6682">
        <v>26</v>
      </c>
    </row>
    <row r="6683" spans="1:4" x14ac:dyDescent="0.25">
      <c r="A6683" s="1">
        <v>42478</v>
      </c>
      <c r="B6683">
        <v>1</v>
      </c>
      <c r="C6683">
        <v>4</v>
      </c>
      <c r="D6683">
        <v>19</v>
      </c>
    </row>
    <row r="6684" spans="1:4" x14ac:dyDescent="0.25">
      <c r="A6684" s="1">
        <v>42479</v>
      </c>
      <c r="B6684">
        <v>1</v>
      </c>
      <c r="C6684">
        <v>4</v>
      </c>
      <c r="D6684">
        <v>22</v>
      </c>
    </row>
    <row r="6685" spans="1:4" x14ac:dyDescent="0.25">
      <c r="A6685" s="1">
        <v>42480</v>
      </c>
      <c r="B6685">
        <v>1</v>
      </c>
      <c r="C6685">
        <v>4</v>
      </c>
      <c r="D6685">
        <v>29</v>
      </c>
    </row>
    <row r="6686" spans="1:4" x14ac:dyDescent="0.25">
      <c r="A6686" s="1">
        <v>42481</v>
      </c>
      <c r="B6686">
        <v>1</v>
      </c>
      <c r="C6686">
        <v>4</v>
      </c>
      <c r="D6686">
        <v>21</v>
      </c>
    </row>
    <row r="6687" spans="1:4" x14ac:dyDescent="0.25">
      <c r="A6687" s="1">
        <v>42482</v>
      </c>
      <c r="B6687">
        <v>1</v>
      </c>
      <c r="C6687">
        <v>4</v>
      </c>
      <c r="D6687">
        <v>23</v>
      </c>
    </row>
    <row r="6688" spans="1:4" x14ac:dyDescent="0.25">
      <c r="A6688" s="1">
        <v>42483</v>
      </c>
      <c r="B6688">
        <v>1</v>
      </c>
      <c r="C6688">
        <v>4</v>
      </c>
      <c r="D6688">
        <v>26</v>
      </c>
    </row>
    <row r="6689" spans="1:4" x14ac:dyDescent="0.25">
      <c r="A6689" s="1">
        <v>42484</v>
      </c>
      <c r="B6689">
        <v>1</v>
      </c>
      <c r="C6689">
        <v>4</v>
      </c>
      <c r="D6689">
        <v>26</v>
      </c>
    </row>
    <row r="6690" spans="1:4" x14ac:dyDescent="0.25">
      <c r="A6690" s="1">
        <v>42485</v>
      </c>
      <c r="B6690">
        <v>1</v>
      </c>
      <c r="C6690">
        <v>4</v>
      </c>
      <c r="D6690">
        <v>18</v>
      </c>
    </row>
    <row r="6691" spans="1:4" x14ac:dyDescent="0.25">
      <c r="A6691" s="1">
        <v>42486</v>
      </c>
      <c r="B6691">
        <v>1</v>
      </c>
      <c r="C6691">
        <v>4</v>
      </c>
      <c r="D6691">
        <v>22</v>
      </c>
    </row>
    <row r="6692" spans="1:4" x14ac:dyDescent="0.25">
      <c r="A6692" s="1">
        <v>42487</v>
      </c>
      <c r="B6692">
        <v>1</v>
      </c>
      <c r="C6692">
        <v>4</v>
      </c>
      <c r="D6692">
        <v>27</v>
      </c>
    </row>
    <row r="6693" spans="1:4" x14ac:dyDescent="0.25">
      <c r="A6693" s="1">
        <v>42488</v>
      </c>
      <c r="B6693">
        <v>1</v>
      </c>
      <c r="C6693">
        <v>4</v>
      </c>
      <c r="D6693">
        <v>20</v>
      </c>
    </row>
    <row r="6694" spans="1:4" x14ac:dyDescent="0.25">
      <c r="A6694" s="1">
        <v>42489</v>
      </c>
      <c r="B6694">
        <v>1</v>
      </c>
      <c r="C6694">
        <v>4</v>
      </c>
      <c r="D6694">
        <v>24</v>
      </c>
    </row>
    <row r="6695" spans="1:4" x14ac:dyDescent="0.25">
      <c r="A6695" s="1">
        <v>42490</v>
      </c>
      <c r="B6695">
        <v>1</v>
      </c>
      <c r="C6695">
        <v>4</v>
      </c>
      <c r="D6695">
        <v>26</v>
      </c>
    </row>
    <row r="6696" spans="1:4" x14ac:dyDescent="0.25">
      <c r="A6696" s="1">
        <v>42491</v>
      </c>
      <c r="B6696">
        <v>1</v>
      </c>
      <c r="C6696">
        <v>4</v>
      </c>
      <c r="D6696">
        <v>22</v>
      </c>
    </row>
    <row r="6697" spans="1:4" x14ac:dyDescent="0.25">
      <c r="A6697" s="1">
        <v>42492</v>
      </c>
      <c r="B6697">
        <v>1</v>
      </c>
      <c r="C6697">
        <v>4</v>
      </c>
      <c r="D6697">
        <v>25</v>
      </c>
    </row>
    <row r="6698" spans="1:4" x14ac:dyDescent="0.25">
      <c r="A6698" s="1">
        <v>42493</v>
      </c>
      <c r="B6698">
        <v>1</v>
      </c>
      <c r="C6698">
        <v>4</v>
      </c>
      <c r="D6698">
        <v>25</v>
      </c>
    </row>
    <row r="6699" spans="1:4" x14ac:dyDescent="0.25">
      <c r="A6699" s="1">
        <v>42494</v>
      </c>
      <c r="B6699">
        <v>1</v>
      </c>
      <c r="C6699">
        <v>4</v>
      </c>
      <c r="D6699">
        <v>20</v>
      </c>
    </row>
    <row r="6700" spans="1:4" x14ac:dyDescent="0.25">
      <c r="A6700" s="1">
        <v>42495</v>
      </c>
      <c r="B6700">
        <v>1</v>
      </c>
      <c r="C6700">
        <v>4</v>
      </c>
      <c r="D6700">
        <v>31</v>
      </c>
    </row>
    <row r="6701" spans="1:4" x14ac:dyDescent="0.25">
      <c r="A6701" s="1">
        <v>42496</v>
      </c>
      <c r="B6701">
        <v>1</v>
      </c>
      <c r="C6701">
        <v>4</v>
      </c>
      <c r="D6701">
        <v>32</v>
      </c>
    </row>
    <row r="6702" spans="1:4" x14ac:dyDescent="0.25">
      <c r="A6702" s="1">
        <v>42497</v>
      </c>
      <c r="B6702">
        <v>1</v>
      </c>
      <c r="C6702">
        <v>4</v>
      </c>
      <c r="D6702">
        <v>24</v>
      </c>
    </row>
    <row r="6703" spans="1:4" x14ac:dyDescent="0.25">
      <c r="A6703" s="1">
        <v>42498</v>
      </c>
      <c r="B6703">
        <v>1</v>
      </c>
      <c r="C6703">
        <v>4</v>
      </c>
      <c r="D6703">
        <v>23</v>
      </c>
    </row>
    <row r="6704" spans="1:4" x14ac:dyDescent="0.25">
      <c r="A6704" s="1">
        <v>42499</v>
      </c>
      <c r="B6704">
        <v>1</v>
      </c>
      <c r="C6704">
        <v>4</v>
      </c>
      <c r="D6704">
        <v>27</v>
      </c>
    </row>
    <row r="6705" spans="1:4" x14ac:dyDescent="0.25">
      <c r="A6705" s="1">
        <v>42500</v>
      </c>
      <c r="B6705">
        <v>1</v>
      </c>
      <c r="C6705">
        <v>4</v>
      </c>
      <c r="D6705">
        <v>29</v>
      </c>
    </row>
    <row r="6706" spans="1:4" x14ac:dyDescent="0.25">
      <c r="A6706" s="1">
        <v>42501</v>
      </c>
      <c r="B6706">
        <v>1</v>
      </c>
      <c r="C6706">
        <v>4</v>
      </c>
      <c r="D6706">
        <v>27</v>
      </c>
    </row>
    <row r="6707" spans="1:4" x14ac:dyDescent="0.25">
      <c r="A6707" s="1">
        <v>42502</v>
      </c>
      <c r="B6707">
        <v>1</v>
      </c>
      <c r="C6707">
        <v>4</v>
      </c>
      <c r="D6707">
        <v>23</v>
      </c>
    </row>
    <row r="6708" spans="1:4" x14ac:dyDescent="0.25">
      <c r="A6708" s="1">
        <v>42503</v>
      </c>
      <c r="B6708">
        <v>1</v>
      </c>
      <c r="C6708">
        <v>4</v>
      </c>
      <c r="D6708">
        <v>25</v>
      </c>
    </row>
    <row r="6709" spans="1:4" x14ac:dyDescent="0.25">
      <c r="A6709" s="1">
        <v>42504</v>
      </c>
      <c r="B6709">
        <v>1</v>
      </c>
      <c r="C6709">
        <v>4</v>
      </c>
      <c r="D6709">
        <v>40</v>
      </c>
    </row>
    <row r="6710" spans="1:4" x14ac:dyDescent="0.25">
      <c r="A6710" s="1">
        <v>42505</v>
      </c>
      <c r="B6710">
        <v>1</v>
      </c>
      <c r="C6710">
        <v>4</v>
      </c>
      <c r="D6710">
        <v>27</v>
      </c>
    </row>
    <row r="6711" spans="1:4" x14ac:dyDescent="0.25">
      <c r="A6711" s="1">
        <v>42506</v>
      </c>
      <c r="B6711">
        <v>1</v>
      </c>
      <c r="C6711">
        <v>4</v>
      </c>
      <c r="D6711">
        <v>24</v>
      </c>
    </row>
    <row r="6712" spans="1:4" x14ac:dyDescent="0.25">
      <c r="A6712" s="1">
        <v>42507</v>
      </c>
      <c r="B6712">
        <v>1</v>
      </c>
      <c r="C6712">
        <v>4</v>
      </c>
      <c r="D6712">
        <v>17</v>
      </c>
    </row>
    <row r="6713" spans="1:4" x14ac:dyDescent="0.25">
      <c r="A6713" s="1">
        <v>42508</v>
      </c>
      <c r="B6713">
        <v>1</v>
      </c>
      <c r="C6713">
        <v>4</v>
      </c>
      <c r="D6713">
        <v>25</v>
      </c>
    </row>
    <row r="6714" spans="1:4" x14ac:dyDescent="0.25">
      <c r="A6714" s="1">
        <v>42509</v>
      </c>
      <c r="B6714">
        <v>1</v>
      </c>
      <c r="C6714">
        <v>4</v>
      </c>
      <c r="D6714">
        <v>19</v>
      </c>
    </row>
    <row r="6715" spans="1:4" x14ac:dyDescent="0.25">
      <c r="A6715" s="1">
        <v>42510</v>
      </c>
      <c r="B6715">
        <v>1</v>
      </c>
      <c r="C6715">
        <v>4</v>
      </c>
      <c r="D6715">
        <v>23</v>
      </c>
    </row>
    <row r="6716" spans="1:4" x14ac:dyDescent="0.25">
      <c r="A6716" s="1">
        <v>42511</v>
      </c>
      <c r="B6716">
        <v>1</v>
      </c>
      <c r="C6716">
        <v>4</v>
      </c>
      <c r="D6716">
        <v>21</v>
      </c>
    </row>
    <row r="6717" spans="1:4" x14ac:dyDescent="0.25">
      <c r="A6717" s="1">
        <v>42512</v>
      </c>
      <c r="B6717">
        <v>1</v>
      </c>
      <c r="C6717">
        <v>4</v>
      </c>
      <c r="D6717">
        <v>29</v>
      </c>
    </row>
    <row r="6718" spans="1:4" x14ac:dyDescent="0.25">
      <c r="A6718" s="1">
        <v>42513</v>
      </c>
      <c r="B6718">
        <v>1</v>
      </c>
      <c r="C6718">
        <v>4</v>
      </c>
      <c r="D6718">
        <v>19</v>
      </c>
    </row>
    <row r="6719" spans="1:4" x14ac:dyDescent="0.25">
      <c r="A6719" s="1">
        <v>42514</v>
      </c>
      <c r="B6719">
        <v>1</v>
      </c>
      <c r="C6719">
        <v>4</v>
      </c>
      <c r="D6719">
        <v>25</v>
      </c>
    </row>
    <row r="6720" spans="1:4" x14ac:dyDescent="0.25">
      <c r="A6720" s="1">
        <v>42515</v>
      </c>
      <c r="B6720">
        <v>1</v>
      </c>
      <c r="C6720">
        <v>4</v>
      </c>
      <c r="D6720">
        <v>28</v>
      </c>
    </row>
    <row r="6721" spans="1:4" x14ac:dyDescent="0.25">
      <c r="A6721" s="1">
        <v>42516</v>
      </c>
      <c r="B6721">
        <v>1</v>
      </c>
      <c r="C6721">
        <v>4</v>
      </c>
      <c r="D6721">
        <v>21</v>
      </c>
    </row>
    <row r="6722" spans="1:4" x14ac:dyDescent="0.25">
      <c r="A6722" s="1">
        <v>42517</v>
      </c>
      <c r="B6722">
        <v>1</v>
      </c>
      <c r="C6722">
        <v>4</v>
      </c>
      <c r="D6722">
        <v>22</v>
      </c>
    </row>
    <row r="6723" spans="1:4" x14ac:dyDescent="0.25">
      <c r="A6723" s="1">
        <v>42518</v>
      </c>
      <c r="B6723">
        <v>1</v>
      </c>
      <c r="C6723">
        <v>4</v>
      </c>
      <c r="D6723">
        <v>22</v>
      </c>
    </row>
    <row r="6724" spans="1:4" x14ac:dyDescent="0.25">
      <c r="A6724" s="1">
        <v>42519</v>
      </c>
      <c r="B6724">
        <v>1</v>
      </c>
      <c r="C6724">
        <v>4</v>
      </c>
      <c r="D6724">
        <v>35</v>
      </c>
    </row>
    <row r="6725" spans="1:4" x14ac:dyDescent="0.25">
      <c r="A6725" s="1">
        <v>42520</v>
      </c>
      <c r="B6725">
        <v>1</v>
      </c>
      <c r="C6725">
        <v>4</v>
      </c>
      <c r="D6725">
        <v>22</v>
      </c>
    </row>
    <row r="6726" spans="1:4" x14ac:dyDescent="0.25">
      <c r="A6726" s="1">
        <v>42521</v>
      </c>
      <c r="B6726">
        <v>1</v>
      </c>
      <c r="C6726">
        <v>4</v>
      </c>
      <c r="D6726">
        <v>27</v>
      </c>
    </row>
    <row r="6727" spans="1:4" x14ac:dyDescent="0.25">
      <c r="A6727" s="1">
        <v>42522</v>
      </c>
      <c r="B6727">
        <v>1</v>
      </c>
      <c r="C6727">
        <v>4</v>
      </c>
      <c r="D6727">
        <v>27</v>
      </c>
    </row>
    <row r="6728" spans="1:4" x14ac:dyDescent="0.25">
      <c r="A6728" s="1">
        <v>42523</v>
      </c>
      <c r="B6728">
        <v>1</v>
      </c>
      <c r="C6728">
        <v>4</v>
      </c>
      <c r="D6728">
        <v>29</v>
      </c>
    </row>
    <row r="6729" spans="1:4" x14ac:dyDescent="0.25">
      <c r="A6729" s="1">
        <v>42524</v>
      </c>
      <c r="B6729">
        <v>1</v>
      </c>
      <c r="C6729">
        <v>4</v>
      </c>
      <c r="D6729">
        <v>25</v>
      </c>
    </row>
    <row r="6730" spans="1:4" x14ac:dyDescent="0.25">
      <c r="A6730" s="1">
        <v>42525</v>
      </c>
      <c r="B6730">
        <v>1</v>
      </c>
      <c r="C6730">
        <v>4</v>
      </c>
      <c r="D6730">
        <v>24</v>
      </c>
    </row>
    <row r="6731" spans="1:4" x14ac:dyDescent="0.25">
      <c r="A6731" s="1">
        <v>42526</v>
      </c>
      <c r="B6731">
        <v>1</v>
      </c>
      <c r="C6731">
        <v>4</v>
      </c>
      <c r="D6731">
        <v>34</v>
      </c>
    </row>
    <row r="6732" spans="1:4" x14ac:dyDescent="0.25">
      <c r="A6732" s="1">
        <v>42527</v>
      </c>
      <c r="B6732">
        <v>1</v>
      </c>
      <c r="C6732">
        <v>4</v>
      </c>
      <c r="D6732">
        <v>27</v>
      </c>
    </row>
    <row r="6733" spans="1:4" x14ac:dyDescent="0.25">
      <c r="A6733" s="1">
        <v>42528</v>
      </c>
      <c r="B6733">
        <v>1</v>
      </c>
      <c r="C6733">
        <v>4</v>
      </c>
      <c r="D6733">
        <v>25</v>
      </c>
    </row>
    <row r="6734" spans="1:4" x14ac:dyDescent="0.25">
      <c r="A6734" s="1">
        <v>42529</v>
      </c>
      <c r="B6734">
        <v>1</v>
      </c>
      <c r="C6734">
        <v>4</v>
      </c>
      <c r="D6734">
        <v>30</v>
      </c>
    </row>
    <row r="6735" spans="1:4" x14ac:dyDescent="0.25">
      <c r="A6735" s="1">
        <v>42530</v>
      </c>
      <c r="B6735">
        <v>1</v>
      </c>
      <c r="C6735">
        <v>4</v>
      </c>
      <c r="D6735">
        <v>27</v>
      </c>
    </row>
    <row r="6736" spans="1:4" x14ac:dyDescent="0.25">
      <c r="A6736" s="1">
        <v>42531</v>
      </c>
      <c r="B6736">
        <v>1</v>
      </c>
      <c r="C6736">
        <v>4</v>
      </c>
      <c r="D6736">
        <v>28</v>
      </c>
    </row>
    <row r="6737" spans="1:4" x14ac:dyDescent="0.25">
      <c r="A6737" s="1">
        <v>42532</v>
      </c>
      <c r="B6737">
        <v>1</v>
      </c>
      <c r="C6737">
        <v>4</v>
      </c>
      <c r="D6737">
        <v>27</v>
      </c>
    </row>
    <row r="6738" spans="1:4" x14ac:dyDescent="0.25">
      <c r="A6738" s="1">
        <v>42533</v>
      </c>
      <c r="B6738">
        <v>1</v>
      </c>
      <c r="C6738">
        <v>4</v>
      </c>
      <c r="D6738">
        <v>32</v>
      </c>
    </row>
    <row r="6739" spans="1:4" x14ac:dyDescent="0.25">
      <c r="A6739" s="1">
        <v>42534</v>
      </c>
      <c r="B6739">
        <v>1</v>
      </c>
      <c r="C6739">
        <v>4</v>
      </c>
      <c r="D6739">
        <v>16</v>
      </c>
    </row>
    <row r="6740" spans="1:4" x14ac:dyDescent="0.25">
      <c r="A6740" s="1">
        <v>42535</v>
      </c>
      <c r="B6740">
        <v>1</v>
      </c>
      <c r="C6740">
        <v>4</v>
      </c>
      <c r="D6740">
        <v>21</v>
      </c>
    </row>
    <row r="6741" spans="1:4" x14ac:dyDescent="0.25">
      <c r="A6741" s="1">
        <v>42536</v>
      </c>
      <c r="B6741">
        <v>1</v>
      </c>
      <c r="C6741">
        <v>4</v>
      </c>
      <c r="D6741">
        <v>29</v>
      </c>
    </row>
    <row r="6742" spans="1:4" x14ac:dyDescent="0.25">
      <c r="A6742" s="1">
        <v>42537</v>
      </c>
      <c r="B6742">
        <v>1</v>
      </c>
      <c r="C6742">
        <v>4</v>
      </c>
      <c r="D6742">
        <v>23</v>
      </c>
    </row>
    <row r="6743" spans="1:4" x14ac:dyDescent="0.25">
      <c r="A6743" s="1">
        <v>42538</v>
      </c>
      <c r="B6743">
        <v>1</v>
      </c>
      <c r="C6743">
        <v>4</v>
      </c>
      <c r="D6743">
        <v>29</v>
      </c>
    </row>
    <row r="6744" spans="1:4" x14ac:dyDescent="0.25">
      <c r="A6744" s="1">
        <v>42539</v>
      </c>
      <c r="B6744">
        <v>1</v>
      </c>
      <c r="C6744">
        <v>4</v>
      </c>
      <c r="D6744">
        <v>30</v>
      </c>
    </row>
    <row r="6745" spans="1:4" x14ac:dyDescent="0.25">
      <c r="A6745" s="1">
        <v>42540</v>
      </c>
      <c r="B6745">
        <v>1</v>
      </c>
      <c r="C6745">
        <v>4</v>
      </c>
      <c r="D6745">
        <v>30</v>
      </c>
    </row>
    <row r="6746" spans="1:4" x14ac:dyDescent="0.25">
      <c r="A6746" s="1">
        <v>42541</v>
      </c>
      <c r="B6746">
        <v>1</v>
      </c>
      <c r="C6746">
        <v>4</v>
      </c>
      <c r="D6746">
        <v>21</v>
      </c>
    </row>
    <row r="6747" spans="1:4" x14ac:dyDescent="0.25">
      <c r="A6747" s="1">
        <v>42542</v>
      </c>
      <c r="B6747">
        <v>1</v>
      </c>
      <c r="C6747">
        <v>4</v>
      </c>
      <c r="D6747">
        <v>25</v>
      </c>
    </row>
    <row r="6748" spans="1:4" x14ac:dyDescent="0.25">
      <c r="A6748" s="1">
        <v>42543</v>
      </c>
      <c r="B6748">
        <v>1</v>
      </c>
      <c r="C6748">
        <v>4</v>
      </c>
      <c r="D6748">
        <v>20</v>
      </c>
    </row>
    <row r="6749" spans="1:4" x14ac:dyDescent="0.25">
      <c r="A6749" s="1">
        <v>42544</v>
      </c>
      <c r="B6749">
        <v>1</v>
      </c>
      <c r="C6749">
        <v>4</v>
      </c>
      <c r="D6749">
        <v>34</v>
      </c>
    </row>
    <row r="6750" spans="1:4" x14ac:dyDescent="0.25">
      <c r="A6750" s="1">
        <v>42545</v>
      </c>
      <c r="B6750">
        <v>1</v>
      </c>
      <c r="C6750">
        <v>4</v>
      </c>
      <c r="D6750">
        <v>24</v>
      </c>
    </row>
    <row r="6751" spans="1:4" x14ac:dyDescent="0.25">
      <c r="A6751" s="1">
        <v>42546</v>
      </c>
      <c r="B6751">
        <v>1</v>
      </c>
      <c r="C6751">
        <v>4</v>
      </c>
      <c r="D6751">
        <v>39</v>
      </c>
    </row>
    <row r="6752" spans="1:4" x14ac:dyDescent="0.25">
      <c r="A6752" s="1">
        <v>42547</v>
      </c>
      <c r="B6752">
        <v>1</v>
      </c>
      <c r="C6752">
        <v>4</v>
      </c>
      <c r="D6752">
        <v>38</v>
      </c>
    </row>
    <row r="6753" spans="1:4" x14ac:dyDescent="0.25">
      <c r="A6753" s="1">
        <v>42548</v>
      </c>
      <c r="B6753">
        <v>1</v>
      </c>
      <c r="C6753">
        <v>4</v>
      </c>
      <c r="D6753">
        <v>28</v>
      </c>
    </row>
    <row r="6754" spans="1:4" x14ac:dyDescent="0.25">
      <c r="A6754" s="1">
        <v>42549</v>
      </c>
      <c r="B6754">
        <v>1</v>
      </c>
      <c r="C6754">
        <v>4</v>
      </c>
      <c r="D6754">
        <v>14</v>
      </c>
    </row>
    <row r="6755" spans="1:4" x14ac:dyDescent="0.25">
      <c r="A6755" s="1">
        <v>42550</v>
      </c>
      <c r="B6755">
        <v>1</v>
      </c>
      <c r="C6755">
        <v>4</v>
      </c>
      <c r="D6755">
        <v>29</v>
      </c>
    </row>
    <row r="6756" spans="1:4" x14ac:dyDescent="0.25">
      <c r="A6756" s="1">
        <v>42551</v>
      </c>
      <c r="B6756">
        <v>1</v>
      </c>
      <c r="C6756">
        <v>4</v>
      </c>
      <c r="D6756">
        <v>25</v>
      </c>
    </row>
    <row r="6757" spans="1:4" x14ac:dyDescent="0.25">
      <c r="A6757" s="1">
        <v>42552</v>
      </c>
      <c r="B6757">
        <v>1</v>
      </c>
      <c r="C6757">
        <v>4</v>
      </c>
      <c r="D6757">
        <v>29</v>
      </c>
    </row>
    <row r="6758" spans="1:4" x14ac:dyDescent="0.25">
      <c r="A6758" s="1">
        <v>42553</v>
      </c>
      <c r="B6758">
        <v>1</v>
      </c>
      <c r="C6758">
        <v>4</v>
      </c>
      <c r="D6758">
        <v>28</v>
      </c>
    </row>
    <row r="6759" spans="1:4" x14ac:dyDescent="0.25">
      <c r="A6759" s="1">
        <v>42554</v>
      </c>
      <c r="B6759">
        <v>1</v>
      </c>
      <c r="C6759">
        <v>4</v>
      </c>
      <c r="D6759">
        <v>19</v>
      </c>
    </row>
    <row r="6760" spans="1:4" x14ac:dyDescent="0.25">
      <c r="A6760" s="1">
        <v>42555</v>
      </c>
      <c r="B6760">
        <v>1</v>
      </c>
      <c r="C6760">
        <v>4</v>
      </c>
      <c r="D6760">
        <v>26</v>
      </c>
    </row>
    <row r="6761" spans="1:4" x14ac:dyDescent="0.25">
      <c r="A6761" s="1">
        <v>42556</v>
      </c>
      <c r="B6761">
        <v>1</v>
      </c>
      <c r="C6761">
        <v>4</v>
      </c>
      <c r="D6761">
        <v>27</v>
      </c>
    </row>
    <row r="6762" spans="1:4" x14ac:dyDescent="0.25">
      <c r="A6762" s="1">
        <v>42557</v>
      </c>
      <c r="B6762">
        <v>1</v>
      </c>
      <c r="C6762">
        <v>4</v>
      </c>
      <c r="D6762">
        <v>23</v>
      </c>
    </row>
    <row r="6763" spans="1:4" x14ac:dyDescent="0.25">
      <c r="A6763" s="1">
        <v>42558</v>
      </c>
      <c r="B6763">
        <v>1</v>
      </c>
      <c r="C6763">
        <v>4</v>
      </c>
      <c r="D6763">
        <v>32</v>
      </c>
    </row>
    <row r="6764" spans="1:4" x14ac:dyDescent="0.25">
      <c r="A6764" s="1">
        <v>42559</v>
      </c>
      <c r="B6764">
        <v>1</v>
      </c>
      <c r="C6764">
        <v>4</v>
      </c>
      <c r="D6764">
        <v>32</v>
      </c>
    </row>
    <row r="6765" spans="1:4" x14ac:dyDescent="0.25">
      <c r="A6765" s="1">
        <v>42560</v>
      </c>
      <c r="B6765">
        <v>1</v>
      </c>
      <c r="C6765">
        <v>4</v>
      </c>
      <c r="D6765">
        <v>30</v>
      </c>
    </row>
    <row r="6766" spans="1:4" x14ac:dyDescent="0.25">
      <c r="A6766" s="1">
        <v>42561</v>
      </c>
      <c r="B6766">
        <v>1</v>
      </c>
      <c r="C6766">
        <v>4</v>
      </c>
      <c r="D6766">
        <v>31</v>
      </c>
    </row>
    <row r="6767" spans="1:4" x14ac:dyDescent="0.25">
      <c r="A6767" s="1">
        <v>42562</v>
      </c>
      <c r="B6767">
        <v>1</v>
      </c>
      <c r="C6767">
        <v>4</v>
      </c>
      <c r="D6767">
        <v>19</v>
      </c>
    </row>
    <row r="6768" spans="1:4" x14ac:dyDescent="0.25">
      <c r="A6768" s="1">
        <v>42563</v>
      </c>
      <c r="B6768">
        <v>1</v>
      </c>
      <c r="C6768">
        <v>4</v>
      </c>
      <c r="D6768">
        <v>25</v>
      </c>
    </row>
    <row r="6769" spans="1:4" x14ac:dyDescent="0.25">
      <c r="A6769" s="1">
        <v>42564</v>
      </c>
      <c r="B6769">
        <v>1</v>
      </c>
      <c r="C6769">
        <v>4</v>
      </c>
      <c r="D6769">
        <v>19</v>
      </c>
    </row>
    <row r="6770" spans="1:4" x14ac:dyDescent="0.25">
      <c r="A6770" s="1">
        <v>42565</v>
      </c>
      <c r="B6770">
        <v>1</v>
      </c>
      <c r="C6770">
        <v>4</v>
      </c>
      <c r="D6770">
        <v>19</v>
      </c>
    </row>
    <row r="6771" spans="1:4" x14ac:dyDescent="0.25">
      <c r="A6771" s="1">
        <v>42566</v>
      </c>
      <c r="B6771">
        <v>1</v>
      </c>
      <c r="C6771">
        <v>4</v>
      </c>
      <c r="D6771">
        <v>35</v>
      </c>
    </row>
    <row r="6772" spans="1:4" x14ac:dyDescent="0.25">
      <c r="A6772" s="1">
        <v>42567</v>
      </c>
      <c r="B6772">
        <v>1</v>
      </c>
      <c r="C6772">
        <v>4</v>
      </c>
      <c r="D6772">
        <v>26</v>
      </c>
    </row>
    <row r="6773" spans="1:4" x14ac:dyDescent="0.25">
      <c r="A6773" s="1">
        <v>42568</v>
      </c>
      <c r="B6773">
        <v>1</v>
      </c>
      <c r="C6773">
        <v>4</v>
      </c>
      <c r="D6773">
        <v>41</v>
      </c>
    </row>
    <row r="6774" spans="1:4" x14ac:dyDescent="0.25">
      <c r="A6774" s="1">
        <v>42569</v>
      </c>
      <c r="B6774">
        <v>1</v>
      </c>
      <c r="C6774">
        <v>4</v>
      </c>
      <c r="D6774">
        <v>27</v>
      </c>
    </row>
    <row r="6775" spans="1:4" x14ac:dyDescent="0.25">
      <c r="A6775" s="1">
        <v>42570</v>
      </c>
      <c r="B6775">
        <v>1</v>
      </c>
      <c r="C6775">
        <v>4</v>
      </c>
      <c r="D6775">
        <v>21</v>
      </c>
    </row>
    <row r="6776" spans="1:4" x14ac:dyDescent="0.25">
      <c r="A6776" s="1">
        <v>42571</v>
      </c>
      <c r="B6776">
        <v>1</v>
      </c>
      <c r="C6776">
        <v>4</v>
      </c>
      <c r="D6776">
        <v>29</v>
      </c>
    </row>
    <row r="6777" spans="1:4" x14ac:dyDescent="0.25">
      <c r="A6777" s="1">
        <v>42572</v>
      </c>
      <c r="B6777">
        <v>1</v>
      </c>
      <c r="C6777">
        <v>4</v>
      </c>
      <c r="D6777">
        <v>27</v>
      </c>
    </row>
    <row r="6778" spans="1:4" x14ac:dyDescent="0.25">
      <c r="A6778" s="1">
        <v>42573</v>
      </c>
      <c r="B6778">
        <v>1</v>
      </c>
      <c r="C6778">
        <v>4</v>
      </c>
      <c r="D6778">
        <v>34</v>
      </c>
    </row>
    <row r="6779" spans="1:4" x14ac:dyDescent="0.25">
      <c r="A6779" s="1">
        <v>42574</v>
      </c>
      <c r="B6779">
        <v>1</v>
      </c>
      <c r="C6779">
        <v>4</v>
      </c>
      <c r="D6779">
        <v>31</v>
      </c>
    </row>
    <row r="6780" spans="1:4" x14ac:dyDescent="0.25">
      <c r="A6780" s="1">
        <v>42575</v>
      </c>
      <c r="B6780">
        <v>1</v>
      </c>
      <c r="C6780">
        <v>4</v>
      </c>
      <c r="D6780">
        <v>40</v>
      </c>
    </row>
    <row r="6781" spans="1:4" x14ac:dyDescent="0.25">
      <c r="A6781" s="1">
        <v>42576</v>
      </c>
      <c r="B6781">
        <v>1</v>
      </c>
      <c r="C6781">
        <v>4</v>
      </c>
      <c r="D6781">
        <v>15</v>
      </c>
    </row>
    <row r="6782" spans="1:4" x14ac:dyDescent="0.25">
      <c r="A6782" s="1">
        <v>42577</v>
      </c>
      <c r="B6782">
        <v>1</v>
      </c>
      <c r="C6782">
        <v>4</v>
      </c>
      <c r="D6782">
        <v>24</v>
      </c>
    </row>
    <row r="6783" spans="1:4" x14ac:dyDescent="0.25">
      <c r="A6783" s="1">
        <v>42578</v>
      </c>
      <c r="B6783">
        <v>1</v>
      </c>
      <c r="C6783">
        <v>4</v>
      </c>
      <c r="D6783">
        <v>33</v>
      </c>
    </row>
    <row r="6784" spans="1:4" x14ac:dyDescent="0.25">
      <c r="A6784" s="1">
        <v>42579</v>
      </c>
      <c r="B6784">
        <v>1</v>
      </c>
      <c r="C6784">
        <v>4</v>
      </c>
      <c r="D6784">
        <v>35</v>
      </c>
    </row>
    <row r="6785" spans="1:4" x14ac:dyDescent="0.25">
      <c r="A6785" s="1">
        <v>42580</v>
      </c>
      <c r="B6785">
        <v>1</v>
      </c>
      <c r="C6785">
        <v>4</v>
      </c>
      <c r="D6785">
        <v>23</v>
      </c>
    </row>
    <row r="6786" spans="1:4" x14ac:dyDescent="0.25">
      <c r="A6786" s="1">
        <v>42581</v>
      </c>
      <c r="B6786">
        <v>1</v>
      </c>
      <c r="C6786">
        <v>4</v>
      </c>
      <c r="D6786">
        <v>25</v>
      </c>
    </row>
    <row r="6787" spans="1:4" x14ac:dyDescent="0.25">
      <c r="A6787" s="1">
        <v>42582</v>
      </c>
      <c r="B6787">
        <v>1</v>
      </c>
      <c r="C6787">
        <v>4</v>
      </c>
      <c r="D6787">
        <v>31</v>
      </c>
    </row>
    <row r="6788" spans="1:4" x14ac:dyDescent="0.25">
      <c r="A6788" s="1">
        <v>42583</v>
      </c>
      <c r="B6788">
        <v>1</v>
      </c>
      <c r="C6788">
        <v>4</v>
      </c>
      <c r="D6788">
        <v>28</v>
      </c>
    </row>
    <row r="6789" spans="1:4" x14ac:dyDescent="0.25">
      <c r="A6789" s="1">
        <v>42584</v>
      </c>
      <c r="B6789">
        <v>1</v>
      </c>
      <c r="C6789">
        <v>4</v>
      </c>
      <c r="D6789">
        <v>29</v>
      </c>
    </row>
    <row r="6790" spans="1:4" x14ac:dyDescent="0.25">
      <c r="A6790" s="1">
        <v>42585</v>
      </c>
      <c r="B6790">
        <v>1</v>
      </c>
      <c r="C6790">
        <v>4</v>
      </c>
      <c r="D6790">
        <v>17</v>
      </c>
    </row>
    <row r="6791" spans="1:4" x14ac:dyDescent="0.25">
      <c r="A6791" s="1">
        <v>42586</v>
      </c>
      <c r="B6791">
        <v>1</v>
      </c>
      <c r="C6791">
        <v>4</v>
      </c>
      <c r="D6791">
        <v>19</v>
      </c>
    </row>
    <row r="6792" spans="1:4" x14ac:dyDescent="0.25">
      <c r="A6792" s="1">
        <v>42587</v>
      </c>
      <c r="B6792">
        <v>1</v>
      </c>
      <c r="C6792">
        <v>4</v>
      </c>
      <c r="D6792">
        <v>31</v>
      </c>
    </row>
    <row r="6793" spans="1:4" x14ac:dyDescent="0.25">
      <c r="A6793" s="1">
        <v>42588</v>
      </c>
      <c r="B6793">
        <v>1</v>
      </c>
      <c r="C6793">
        <v>4</v>
      </c>
      <c r="D6793">
        <v>31</v>
      </c>
    </row>
    <row r="6794" spans="1:4" x14ac:dyDescent="0.25">
      <c r="A6794" s="1">
        <v>42589</v>
      </c>
      <c r="B6794">
        <v>1</v>
      </c>
      <c r="C6794">
        <v>4</v>
      </c>
      <c r="D6794">
        <v>35</v>
      </c>
    </row>
    <row r="6795" spans="1:4" x14ac:dyDescent="0.25">
      <c r="A6795" s="1">
        <v>42590</v>
      </c>
      <c r="B6795">
        <v>1</v>
      </c>
      <c r="C6795">
        <v>4</v>
      </c>
      <c r="D6795">
        <v>15</v>
      </c>
    </row>
    <row r="6796" spans="1:4" x14ac:dyDescent="0.25">
      <c r="A6796" s="1">
        <v>42591</v>
      </c>
      <c r="B6796">
        <v>1</v>
      </c>
      <c r="C6796">
        <v>4</v>
      </c>
      <c r="D6796">
        <v>11</v>
      </c>
    </row>
    <row r="6797" spans="1:4" x14ac:dyDescent="0.25">
      <c r="A6797" s="1">
        <v>42592</v>
      </c>
      <c r="B6797">
        <v>1</v>
      </c>
      <c r="C6797">
        <v>4</v>
      </c>
      <c r="D6797">
        <v>15</v>
      </c>
    </row>
    <row r="6798" spans="1:4" x14ac:dyDescent="0.25">
      <c r="A6798" s="1">
        <v>42593</v>
      </c>
      <c r="B6798">
        <v>1</v>
      </c>
      <c r="C6798">
        <v>4</v>
      </c>
      <c r="D6798">
        <v>28</v>
      </c>
    </row>
    <row r="6799" spans="1:4" x14ac:dyDescent="0.25">
      <c r="A6799" s="1">
        <v>42594</v>
      </c>
      <c r="B6799">
        <v>1</v>
      </c>
      <c r="C6799">
        <v>4</v>
      </c>
      <c r="D6799">
        <v>22</v>
      </c>
    </row>
    <row r="6800" spans="1:4" x14ac:dyDescent="0.25">
      <c r="A6800" s="1">
        <v>42595</v>
      </c>
      <c r="B6800">
        <v>1</v>
      </c>
      <c r="C6800">
        <v>4</v>
      </c>
      <c r="D6800">
        <v>21</v>
      </c>
    </row>
    <row r="6801" spans="1:4" x14ac:dyDescent="0.25">
      <c r="A6801" s="1">
        <v>42596</v>
      </c>
      <c r="B6801">
        <v>1</v>
      </c>
      <c r="C6801">
        <v>4</v>
      </c>
      <c r="D6801">
        <v>29</v>
      </c>
    </row>
    <row r="6802" spans="1:4" x14ac:dyDescent="0.25">
      <c r="A6802" s="1">
        <v>42597</v>
      </c>
      <c r="B6802">
        <v>1</v>
      </c>
      <c r="C6802">
        <v>4</v>
      </c>
      <c r="D6802">
        <v>17</v>
      </c>
    </row>
    <row r="6803" spans="1:4" x14ac:dyDescent="0.25">
      <c r="A6803" s="1">
        <v>42598</v>
      </c>
      <c r="B6803">
        <v>1</v>
      </c>
      <c r="C6803">
        <v>4</v>
      </c>
      <c r="D6803">
        <v>21</v>
      </c>
    </row>
    <row r="6804" spans="1:4" x14ac:dyDescent="0.25">
      <c r="A6804" s="1">
        <v>42599</v>
      </c>
      <c r="B6804">
        <v>1</v>
      </c>
      <c r="C6804">
        <v>4</v>
      </c>
      <c r="D6804">
        <v>16</v>
      </c>
    </row>
    <row r="6805" spans="1:4" x14ac:dyDescent="0.25">
      <c r="A6805" s="1">
        <v>42600</v>
      </c>
      <c r="B6805">
        <v>1</v>
      </c>
      <c r="C6805">
        <v>4</v>
      </c>
      <c r="D6805">
        <v>30</v>
      </c>
    </row>
    <row r="6806" spans="1:4" x14ac:dyDescent="0.25">
      <c r="A6806" s="1">
        <v>42601</v>
      </c>
      <c r="B6806">
        <v>1</v>
      </c>
      <c r="C6806">
        <v>4</v>
      </c>
      <c r="D6806">
        <v>27</v>
      </c>
    </row>
    <row r="6807" spans="1:4" x14ac:dyDescent="0.25">
      <c r="A6807" s="1">
        <v>42602</v>
      </c>
      <c r="B6807">
        <v>1</v>
      </c>
      <c r="C6807">
        <v>4</v>
      </c>
      <c r="D6807">
        <v>27</v>
      </c>
    </row>
    <row r="6808" spans="1:4" x14ac:dyDescent="0.25">
      <c r="A6808" s="1">
        <v>42603</v>
      </c>
      <c r="B6808">
        <v>1</v>
      </c>
      <c r="C6808">
        <v>4</v>
      </c>
      <c r="D6808">
        <v>33</v>
      </c>
    </row>
    <row r="6809" spans="1:4" x14ac:dyDescent="0.25">
      <c r="A6809" s="1">
        <v>42604</v>
      </c>
      <c r="B6809">
        <v>1</v>
      </c>
      <c r="C6809">
        <v>4</v>
      </c>
      <c r="D6809">
        <v>17</v>
      </c>
    </row>
    <row r="6810" spans="1:4" x14ac:dyDescent="0.25">
      <c r="A6810" s="1">
        <v>42605</v>
      </c>
      <c r="B6810">
        <v>1</v>
      </c>
      <c r="C6810">
        <v>4</v>
      </c>
      <c r="D6810">
        <v>18</v>
      </c>
    </row>
    <row r="6811" spans="1:4" x14ac:dyDescent="0.25">
      <c r="A6811" s="1">
        <v>42606</v>
      </c>
      <c r="B6811">
        <v>1</v>
      </c>
      <c r="C6811">
        <v>4</v>
      </c>
      <c r="D6811">
        <v>31</v>
      </c>
    </row>
    <row r="6812" spans="1:4" x14ac:dyDescent="0.25">
      <c r="A6812" s="1">
        <v>42607</v>
      </c>
      <c r="B6812">
        <v>1</v>
      </c>
      <c r="C6812">
        <v>4</v>
      </c>
      <c r="D6812">
        <v>21</v>
      </c>
    </row>
    <row r="6813" spans="1:4" x14ac:dyDescent="0.25">
      <c r="A6813" s="1">
        <v>42608</v>
      </c>
      <c r="B6813">
        <v>1</v>
      </c>
      <c r="C6813">
        <v>4</v>
      </c>
      <c r="D6813">
        <v>28</v>
      </c>
    </row>
    <row r="6814" spans="1:4" x14ac:dyDescent="0.25">
      <c r="A6814" s="1">
        <v>42609</v>
      </c>
      <c r="B6814">
        <v>1</v>
      </c>
      <c r="C6814">
        <v>4</v>
      </c>
      <c r="D6814">
        <v>32</v>
      </c>
    </row>
    <row r="6815" spans="1:4" x14ac:dyDescent="0.25">
      <c r="A6815" s="1">
        <v>42610</v>
      </c>
      <c r="B6815">
        <v>1</v>
      </c>
      <c r="C6815">
        <v>4</v>
      </c>
      <c r="D6815">
        <v>25</v>
      </c>
    </row>
    <row r="6816" spans="1:4" x14ac:dyDescent="0.25">
      <c r="A6816" s="1">
        <v>42611</v>
      </c>
      <c r="B6816">
        <v>1</v>
      </c>
      <c r="C6816">
        <v>4</v>
      </c>
      <c r="D6816">
        <v>23</v>
      </c>
    </row>
    <row r="6817" spans="1:4" x14ac:dyDescent="0.25">
      <c r="A6817" s="1">
        <v>42612</v>
      </c>
      <c r="B6817">
        <v>1</v>
      </c>
      <c r="C6817">
        <v>4</v>
      </c>
      <c r="D6817">
        <v>21</v>
      </c>
    </row>
    <row r="6818" spans="1:4" x14ac:dyDescent="0.25">
      <c r="A6818" s="1">
        <v>42613</v>
      </c>
      <c r="B6818">
        <v>1</v>
      </c>
      <c r="C6818">
        <v>4</v>
      </c>
      <c r="D6818">
        <v>21</v>
      </c>
    </row>
    <row r="6819" spans="1:4" x14ac:dyDescent="0.25">
      <c r="A6819" s="1">
        <v>42614</v>
      </c>
      <c r="B6819">
        <v>1</v>
      </c>
      <c r="C6819">
        <v>4</v>
      </c>
      <c r="D6819">
        <v>13</v>
      </c>
    </row>
    <row r="6820" spans="1:4" x14ac:dyDescent="0.25">
      <c r="A6820" s="1">
        <v>42615</v>
      </c>
      <c r="B6820">
        <v>1</v>
      </c>
      <c r="C6820">
        <v>4</v>
      </c>
      <c r="D6820">
        <v>22</v>
      </c>
    </row>
    <row r="6821" spans="1:4" x14ac:dyDescent="0.25">
      <c r="A6821" s="1">
        <v>42616</v>
      </c>
      <c r="B6821">
        <v>1</v>
      </c>
      <c r="C6821">
        <v>4</v>
      </c>
      <c r="D6821">
        <v>35</v>
      </c>
    </row>
    <row r="6822" spans="1:4" x14ac:dyDescent="0.25">
      <c r="A6822" s="1">
        <v>42617</v>
      </c>
      <c r="B6822">
        <v>1</v>
      </c>
      <c r="C6822">
        <v>4</v>
      </c>
      <c r="D6822">
        <v>23</v>
      </c>
    </row>
    <row r="6823" spans="1:4" x14ac:dyDescent="0.25">
      <c r="A6823" s="1">
        <v>42618</v>
      </c>
      <c r="B6823">
        <v>1</v>
      </c>
      <c r="C6823">
        <v>4</v>
      </c>
      <c r="D6823">
        <v>25</v>
      </c>
    </row>
    <row r="6824" spans="1:4" x14ac:dyDescent="0.25">
      <c r="A6824" s="1">
        <v>42619</v>
      </c>
      <c r="B6824">
        <v>1</v>
      </c>
      <c r="C6824">
        <v>4</v>
      </c>
      <c r="D6824">
        <v>22</v>
      </c>
    </row>
    <row r="6825" spans="1:4" x14ac:dyDescent="0.25">
      <c r="A6825" s="1">
        <v>42620</v>
      </c>
      <c r="B6825">
        <v>1</v>
      </c>
      <c r="C6825">
        <v>4</v>
      </c>
      <c r="D6825">
        <v>18</v>
      </c>
    </row>
    <row r="6826" spans="1:4" x14ac:dyDescent="0.25">
      <c r="A6826" s="1">
        <v>42621</v>
      </c>
      <c r="B6826">
        <v>1</v>
      </c>
      <c r="C6826">
        <v>4</v>
      </c>
      <c r="D6826">
        <v>16</v>
      </c>
    </row>
    <row r="6827" spans="1:4" x14ac:dyDescent="0.25">
      <c r="A6827" s="1">
        <v>42622</v>
      </c>
      <c r="B6827">
        <v>1</v>
      </c>
      <c r="C6827">
        <v>4</v>
      </c>
      <c r="D6827">
        <v>18</v>
      </c>
    </row>
    <row r="6828" spans="1:4" x14ac:dyDescent="0.25">
      <c r="A6828" s="1">
        <v>42623</v>
      </c>
      <c r="B6828">
        <v>1</v>
      </c>
      <c r="C6828">
        <v>4</v>
      </c>
      <c r="D6828">
        <v>24</v>
      </c>
    </row>
    <row r="6829" spans="1:4" x14ac:dyDescent="0.25">
      <c r="A6829" s="1">
        <v>42624</v>
      </c>
      <c r="B6829">
        <v>1</v>
      </c>
      <c r="C6829">
        <v>4</v>
      </c>
      <c r="D6829">
        <v>26</v>
      </c>
    </row>
    <row r="6830" spans="1:4" x14ac:dyDescent="0.25">
      <c r="A6830" s="1">
        <v>42625</v>
      </c>
      <c r="B6830">
        <v>1</v>
      </c>
      <c r="C6830">
        <v>4</v>
      </c>
      <c r="D6830">
        <v>15</v>
      </c>
    </row>
    <row r="6831" spans="1:4" x14ac:dyDescent="0.25">
      <c r="A6831" s="1">
        <v>42626</v>
      </c>
      <c r="B6831">
        <v>1</v>
      </c>
      <c r="C6831">
        <v>4</v>
      </c>
      <c r="D6831">
        <v>22</v>
      </c>
    </row>
    <row r="6832" spans="1:4" x14ac:dyDescent="0.25">
      <c r="A6832" s="1">
        <v>42627</v>
      </c>
      <c r="B6832">
        <v>1</v>
      </c>
      <c r="C6832">
        <v>4</v>
      </c>
      <c r="D6832">
        <v>18</v>
      </c>
    </row>
    <row r="6833" spans="1:4" x14ac:dyDescent="0.25">
      <c r="A6833" s="1">
        <v>42628</v>
      </c>
      <c r="B6833">
        <v>1</v>
      </c>
      <c r="C6833">
        <v>4</v>
      </c>
      <c r="D6833">
        <v>40</v>
      </c>
    </row>
    <row r="6834" spans="1:4" x14ac:dyDescent="0.25">
      <c r="A6834" s="1">
        <v>42629</v>
      </c>
      <c r="B6834">
        <v>1</v>
      </c>
      <c r="C6834">
        <v>4</v>
      </c>
      <c r="D6834">
        <v>25</v>
      </c>
    </row>
    <row r="6835" spans="1:4" x14ac:dyDescent="0.25">
      <c r="A6835" s="1">
        <v>42630</v>
      </c>
      <c r="B6835">
        <v>1</v>
      </c>
      <c r="C6835">
        <v>4</v>
      </c>
      <c r="D6835">
        <v>27</v>
      </c>
    </row>
    <row r="6836" spans="1:4" x14ac:dyDescent="0.25">
      <c r="A6836" s="1">
        <v>42631</v>
      </c>
      <c r="B6836">
        <v>1</v>
      </c>
      <c r="C6836">
        <v>4</v>
      </c>
      <c r="D6836">
        <v>24</v>
      </c>
    </row>
    <row r="6837" spans="1:4" x14ac:dyDescent="0.25">
      <c r="A6837" s="1">
        <v>42632</v>
      </c>
      <c r="B6837">
        <v>1</v>
      </c>
      <c r="C6837">
        <v>4</v>
      </c>
      <c r="D6837">
        <v>21</v>
      </c>
    </row>
    <row r="6838" spans="1:4" x14ac:dyDescent="0.25">
      <c r="A6838" s="1">
        <v>42633</v>
      </c>
      <c r="B6838">
        <v>1</v>
      </c>
      <c r="C6838">
        <v>4</v>
      </c>
      <c r="D6838">
        <v>23</v>
      </c>
    </row>
    <row r="6839" spans="1:4" x14ac:dyDescent="0.25">
      <c r="A6839" s="1">
        <v>42634</v>
      </c>
      <c r="B6839">
        <v>1</v>
      </c>
      <c r="C6839">
        <v>4</v>
      </c>
      <c r="D6839">
        <v>19</v>
      </c>
    </row>
    <row r="6840" spans="1:4" x14ac:dyDescent="0.25">
      <c r="A6840" s="1">
        <v>42635</v>
      </c>
      <c r="B6840">
        <v>1</v>
      </c>
      <c r="C6840">
        <v>4</v>
      </c>
      <c r="D6840">
        <v>21</v>
      </c>
    </row>
    <row r="6841" spans="1:4" x14ac:dyDescent="0.25">
      <c r="A6841" s="1">
        <v>42636</v>
      </c>
      <c r="B6841">
        <v>1</v>
      </c>
      <c r="C6841">
        <v>4</v>
      </c>
      <c r="D6841">
        <v>32</v>
      </c>
    </row>
    <row r="6842" spans="1:4" x14ac:dyDescent="0.25">
      <c r="A6842" s="1">
        <v>42637</v>
      </c>
      <c r="B6842">
        <v>1</v>
      </c>
      <c r="C6842">
        <v>4</v>
      </c>
      <c r="D6842">
        <v>19</v>
      </c>
    </row>
    <row r="6843" spans="1:4" x14ac:dyDescent="0.25">
      <c r="A6843" s="1">
        <v>42638</v>
      </c>
      <c r="B6843">
        <v>1</v>
      </c>
      <c r="C6843">
        <v>4</v>
      </c>
      <c r="D6843">
        <v>31</v>
      </c>
    </row>
    <row r="6844" spans="1:4" x14ac:dyDescent="0.25">
      <c r="A6844" s="1">
        <v>42639</v>
      </c>
      <c r="B6844">
        <v>1</v>
      </c>
      <c r="C6844">
        <v>4</v>
      </c>
      <c r="D6844">
        <v>18</v>
      </c>
    </row>
    <row r="6845" spans="1:4" x14ac:dyDescent="0.25">
      <c r="A6845" s="1">
        <v>42640</v>
      </c>
      <c r="B6845">
        <v>1</v>
      </c>
      <c r="C6845">
        <v>4</v>
      </c>
      <c r="D6845">
        <v>17</v>
      </c>
    </row>
    <row r="6846" spans="1:4" x14ac:dyDescent="0.25">
      <c r="A6846" s="1">
        <v>42641</v>
      </c>
      <c r="B6846">
        <v>1</v>
      </c>
      <c r="C6846">
        <v>4</v>
      </c>
      <c r="D6846">
        <v>26</v>
      </c>
    </row>
    <row r="6847" spans="1:4" x14ac:dyDescent="0.25">
      <c r="A6847" s="1">
        <v>42642</v>
      </c>
      <c r="B6847">
        <v>1</v>
      </c>
      <c r="C6847">
        <v>4</v>
      </c>
      <c r="D6847">
        <v>24</v>
      </c>
    </row>
    <row r="6848" spans="1:4" x14ac:dyDescent="0.25">
      <c r="A6848" s="1">
        <v>42643</v>
      </c>
      <c r="B6848">
        <v>1</v>
      </c>
      <c r="C6848">
        <v>4</v>
      </c>
      <c r="D6848">
        <v>25</v>
      </c>
    </row>
    <row r="6849" spans="1:4" x14ac:dyDescent="0.25">
      <c r="A6849" s="1">
        <v>42644</v>
      </c>
      <c r="B6849">
        <v>1</v>
      </c>
      <c r="C6849">
        <v>4</v>
      </c>
      <c r="D6849">
        <v>25</v>
      </c>
    </row>
    <row r="6850" spans="1:4" x14ac:dyDescent="0.25">
      <c r="A6850" s="1">
        <v>42645</v>
      </c>
      <c r="B6850">
        <v>1</v>
      </c>
      <c r="C6850">
        <v>4</v>
      </c>
      <c r="D6850">
        <v>19</v>
      </c>
    </row>
    <row r="6851" spans="1:4" x14ac:dyDescent="0.25">
      <c r="A6851" s="1">
        <v>42646</v>
      </c>
      <c r="B6851">
        <v>1</v>
      </c>
      <c r="C6851">
        <v>4</v>
      </c>
      <c r="D6851">
        <v>19</v>
      </c>
    </row>
    <row r="6852" spans="1:4" x14ac:dyDescent="0.25">
      <c r="A6852" s="1">
        <v>42647</v>
      </c>
      <c r="B6852">
        <v>1</v>
      </c>
      <c r="C6852">
        <v>4</v>
      </c>
      <c r="D6852">
        <v>12</v>
      </c>
    </row>
    <row r="6853" spans="1:4" x14ac:dyDescent="0.25">
      <c r="A6853" s="1">
        <v>42648</v>
      </c>
      <c r="B6853">
        <v>1</v>
      </c>
      <c r="C6853">
        <v>4</v>
      </c>
      <c r="D6853">
        <v>24</v>
      </c>
    </row>
    <row r="6854" spans="1:4" x14ac:dyDescent="0.25">
      <c r="A6854" s="1">
        <v>42649</v>
      </c>
      <c r="B6854">
        <v>1</v>
      </c>
      <c r="C6854">
        <v>4</v>
      </c>
      <c r="D6854">
        <v>19</v>
      </c>
    </row>
    <row r="6855" spans="1:4" x14ac:dyDescent="0.25">
      <c r="A6855" s="1">
        <v>42650</v>
      </c>
      <c r="B6855">
        <v>1</v>
      </c>
      <c r="C6855">
        <v>4</v>
      </c>
      <c r="D6855">
        <v>16</v>
      </c>
    </row>
    <row r="6856" spans="1:4" x14ac:dyDescent="0.25">
      <c r="A6856" s="1">
        <v>42651</v>
      </c>
      <c r="B6856">
        <v>1</v>
      </c>
      <c r="C6856">
        <v>4</v>
      </c>
      <c r="D6856">
        <v>31</v>
      </c>
    </row>
    <row r="6857" spans="1:4" x14ac:dyDescent="0.25">
      <c r="A6857" s="1">
        <v>42652</v>
      </c>
      <c r="B6857">
        <v>1</v>
      </c>
      <c r="C6857">
        <v>4</v>
      </c>
      <c r="D6857">
        <v>32</v>
      </c>
    </row>
    <row r="6858" spans="1:4" x14ac:dyDescent="0.25">
      <c r="A6858" s="1">
        <v>42653</v>
      </c>
      <c r="B6858">
        <v>1</v>
      </c>
      <c r="C6858">
        <v>4</v>
      </c>
      <c r="D6858">
        <v>23</v>
      </c>
    </row>
    <row r="6859" spans="1:4" x14ac:dyDescent="0.25">
      <c r="A6859" s="1">
        <v>42654</v>
      </c>
      <c r="B6859">
        <v>1</v>
      </c>
      <c r="C6859">
        <v>4</v>
      </c>
      <c r="D6859">
        <v>19</v>
      </c>
    </row>
    <row r="6860" spans="1:4" x14ac:dyDescent="0.25">
      <c r="A6860" s="1">
        <v>42655</v>
      </c>
      <c r="B6860">
        <v>1</v>
      </c>
      <c r="C6860">
        <v>4</v>
      </c>
      <c r="D6860">
        <v>28</v>
      </c>
    </row>
    <row r="6861" spans="1:4" x14ac:dyDescent="0.25">
      <c r="A6861" s="1">
        <v>42656</v>
      </c>
      <c r="B6861">
        <v>1</v>
      </c>
      <c r="C6861">
        <v>4</v>
      </c>
      <c r="D6861">
        <v>25</v>
      </c>
    </row>
    <row r="6862" spans="1:4" x14ac:dyDescent="0.25">
      <c r="A6862" s="1">
        <v>42657</v>
      </c>
      <c r="B6862">
        <v>1</v>
      </c>
      <c r="C6862">
        <v>4</v>
      </c>
      <c r="D6862">
        <v>21</v>
      </c>
    </row>
    <row r="6863" spans="1:4" x14ac:dyDescent="0.25">
      <c r="A6863" s="1">
        <v>42658</v>
      </c>
      <c r="B6863">
        <v>1</v>
      </c>
      <c r="C6863">
        <v>4</v>
      </c>
      <c r="D6863">
        <v>23</v>
      </c>
    </row>
    <row r="6864" spans="1:4" x14ac:dyDescent="0.25">
      <c r="A6864" s="1">
        <v>42659</v>
      </c>
      <c r="B6864">
        <v>1</v>
      </c>
      <c r="C6864">
        <v>4</v>
      </c>
      <c r="D6864">
        <v>27</v>
      </c>
    </row>
    <row r="6865" spans="1:4" x14ac:dyDescent="0.25">
      <c r="A6865" s="1">
        <v>42660</v>
      </c>
      <c r="B6865">
        <v>1</v>
      </c>
      <c r="C6865">
        <v>4</v>
      </c>
      <c r="D6865">
        <v>10</v>
      </c>
    </row>
    <row r="6866" spans="1:4" x14ac:dyDescent="0.25">
      <c r="A6866" s="1">
        <v>42661</v>
      </c>
      <c r="B6866">
        <v>1</v>
      </c>
      <c r="C6866">
        <v>4</v>
      </c>
      <c r="D6866">
        <v>27</v>
      </c>
    </row>
    <row r="6867" spans="1:4" x14ac:dyDescent="0.25">
      <c r="A6867" s="1">
        <v>42662</v>
      </c>
      <c r="B6867">
        <v>1</v>
      </c>
      <c r="C6867">
        <v>4</v>
      </c>
      <c r="D6867">
        <v>17</v>
      </c>
    </row>
    <row r="6868" spans="1:4" x14ac:dyDescent="0.25">
      <c r="A6868" s="1">
        <v>42663</v>
      </c>
      <c r="B6868">
        <v>1</v>
      </c>
      <c r="C6868">
        <v>4</v>
      </c>
      <c r="D6868">
        <v>26</v>
      </c>
    </row>
    <row r="6869" spans="1:4" x14ac:dyDescent="0.25">
      <c r="A6869" s="1">
        <v>42664</v>
      </c>
      <c r="B6869">
        <v>1</v>
      </c>
      <c r="C6869">
        <v>4</v>
      </c>
      <c r="D6869">
        <v>24</v>
      </c>
    </row>
    <row r="6870" spans="1:4" x14ac:dyDescent="0.25">
      <c r="A6870" s="1">
        <v>42665</v>
      </c>
      <c r="B6870">
        <v>1</v>
      </c>
      <c r="C6870">
        <v>4</v>
      </c>
      <c r="D6870">
        <v>35</v>
      </c>
    </row>
    <row r="6871" spans="1:4" x14ac:dyDescent="0.25">
      <c r="A6871" s="1">
        <v>42666</v>
      </c>
      <c r="B6871">
        <v>1</v>
      </c>
      <c r="C6871">
        <v>4</v>
      </c>
      <c r="D6871">
        <v>23</v>
      </c>
    </row>
    <row r="6872" spans="1:4" x14ac:dyDescent="0.25">
      <c r="A6872" s="1">
        <v>42667</v>
      </c>
      <c r="B6872">
        <v>1</v>
      </c>
      <c r="C6872">
        <v>4</v>
      </c>
      <c r="D6872">
        <v>13</v>
      </c>
    </row>
    <row r="6873" spans="1:4" x14ac:dyDescent="0.25">
      <c r="A6873" s="1">
        <v>42668</v>
      </c>
      <c r="B6873">
        <v>1</v>
      </c>
      <c r="C6873">
        <v>4</v>
      </c>
      <c r="D6873">
        <v>25</v>
      </c>
    </row>
    <row r="6874" spans="1:4" x14ac:dyDescent="0.25">
      <c r="A6874" s="1">
        <v>42669</v>
      </c>
      <c r="B6874">
        <v>1</v>
      </c>
      <c r="C6874">
        <v>4</v>
      </c>
      <c r="D6874">
        <v>13</v>
      </c>
    </row>
    <row r="6875" spans="1:4" x14ac:dyDescent="0.25">
      <c r="A6875" s="1">
        <v>42670</v>
      </c>
      <c r="B6875">
        <v>1</v>
      </c>
      <c r="C6875">
        <v>4</v>
      </c>
      <c r="D6875">
        <v>21</v>
      </c>
    </row>
    <row r="6876" spans="1:4" x14ac:dyDescent="0.25">
      <c r="A6876" s="1">
        <v>42671</v>
      </c>
      <c r="B6876">
        <v>1</v>
      </c>
      <c r="C6876">
        <v>4</v>
      </c>
      <c r="D6876">
        <v>31</v>
      </c>
    </row>
    <row r="6877" spans="1:4" x14ac:dyDescent="0.25">
      <c r="A6877" s="1">
        <v>42672</v>
      </c>
      <c r="B6877">
        <v>1</v>
      </c>
      <c r="C6877">
        <v>4</v>
      </c>
      <c r="D6877">
        <v>28</v>
      </c>
    </row>
    <row r="6878" spans="1:4" x14ac:dyDescent="0.25">
      <c r="A6878" s="1">
        <v>42673</v>
      </c>
      <c r="B6878">
        <v>1</v>
      </c>
      <c r="C6878">
        <v>4</v>
      </c>
      <c r="D6878">
        <v>17</v>
      </c>
    </row>
    <row r="6879" spans="1:4" x14ac:dyDescent="0.25">
      <c r="A6879" s="1">
        <v>42674</v>
      </c>
      <c r="B6879">
        <v>1</v>
      </c>
      <c r="C6879">
        <v>4</v>
      </c>
      <c r="D6879">
        <v>14</v>
      </c>
    </row>
    <row r="6880" spans="1:4" x14ac:dyDescent="0.25">
      <c r="A6880" s="1">
        <v>42675</v>
      </c>
      <c r="B6880">
        <v>1</v>
      </c>
      <c r="C6880">
        <v>4</v>
      </c>
      <c r="D6880">
        <v>15</v>
      </c>
    </row>
    <row r="6881" spans="1:4" x14ac:dyDescent="0.25">
      <c r="A6881" s="1">
        <v>42676</v>
      </c>
      <c r="B6881">
        <v>1</v>
      </c>
      <c r="C6881">
        <v>4</v>
      </c>
      <c r="D6881">
        <v>15</v>
      </c>
    </row>
    <row r="6882" spans="1:4" x14ac:dyDescent="0.25">
      <c r="A6882" s="1">
        <v>42677</v>
      </c>
      <c r="B6882">
        <v>1</v>
      </c>
      <c r="C6882">
        <v>4</v>
      </c>
      <c r="D6882">
        <v>22</v>
      </c>
    </row>
    <row r="6883" spans="1:4" x14ac:dyDescent="0.25">
      <c r="A6883" s="1">
        <v>42678</v>
      </c>
      <c r="B6883">
        <v>1</v>
      </c>
      <c r="C6883">
        <v>4</v>
      </c>
      <c r="D6883">
        <v>19</v>
      </c>
    </row>
    <row r="6884" spans="1:4" x14ac:dyDescent="0.25">
      <c r="A6884" s="1">
        <v>42679</v>
      </c>
      <c r="B6884">
        <v>1</v>
      </c>
      <c r="C6884">
        <v>4</v>
      </c>
      <c r="D6884">
        <v>23</v>
      </c>
    </row>
    <row r="6885" spans="1:4" x14ac:dyDescent="0.25">
      <c r="A6885" s="1">
        <v>42680</v>
      </c>
      <c r="B6885">
        <v>1</v>
      </c>
      <c r="C6885">
        <v>4</v>
      </c>
      <c r="D6885">
        <v>29</v>
      </c>
    </row>
    <row r="6886" spans="1:4" x14ac:dyDescent="0.25">
      <c r="A6886" s="1">
        <v>42681</v>
      </c>
      <c r="B6886">
        <v>1</v>
      </c>
      <c r="C6886">
        <v>4</v>
      </c>
      <c r="D6886">
        <v>24</v>
      </c>
    </row>
    <row r="6887" spans="1:4" x14ac:dyDescent="0.25">
      <c r="A6887" s="1">
        <v>42682</v>
      </c>
      <c r="B6887">
        <v>1</v>
      </c>
      <c r="C6887">
        <v>4</v>
      </c>
      <c r="D6887">
        <v>14</v>
      </c>
    </row>
    <row r="6888" spans="1:4" x14ac:dyDescent="0.25">
      <c r="A6888" s="1">
        <v>42683</v>
      </c>
      <c r="B6888">
        <v>1</v>
      </c>
      <c r="C6888">
        <v>4</v>
      </c>
      <c r="D6888">
        <v>19</v>
      </c>
    </row>
    <row r="6889" spans="1:4" x14ac:dyDescent="0.25">
      <c r="A6889" s="1">
        <v>42684</v>
      </c>
      <c r="B6889">
        <v>1</v>
      </c>
      <c r="C6889">
        <v>4</v>
      </c>
      <c r="D6889">
        <v>35</v>
      </c>
    </row>
    <row r="6890" spans="1:4" x14ac:dyDescent="0.25">
      <c r="A6890" s="1">
        <v>42685</v>
      </c>
      <c r="B6890">
        <v>1</v>
      </c>
      <c r="C6890">
        <v>4</v>
      </c>
      <c r="D6890">
        <v>19</v>
      </c>
    </row>
    <row r="6891" spans="1:4" x14ac:dyDescent="0.25">
      <c r="A6891" s="1">
        <v>42686</v>
      </c>
      <c r="B6891">
        <v>1</v>
      </c>
      <c r="C6891">
        <v>4</v>
      </c>
      <c r="D6891">
        <v>26</v>
      </c>
    </row>
    <row r="6892" spans="1:4" x14ac:dyDescent="0.25">
      <c r="A6892" s="1">
        <v>42687</v>
      </c>
      <c r="B6892">
        <v>1</v>
      </c>
      <c r="C6892">
        <v>4</v>
      </c>
      <c r="D6892">
        <v>24</v>
      </c>
    </row>
    <row r="6893" spans="1:4" x14ac:dyDescent="0.25">
      <c r="A6893" s="1">
        <v>42688</v>
      </c>
      <c r="B6893">
        <v>1</v>
      </c>
      <c r="C6893">
        <v>4</v>
      </c>
      <c r="D6893">
        <v>14</v>
      </c>
    </row>
    <row r="6894" spans="1:4" x14ac:dyDescent="0.25">
      <c r="A6894" s="1">
        <v>42689</v>
      </c>
      <c r="B6894">
        <v>1</v>
      </c>
      <c r="C6894">
        <v>4</v>
      </c>
      <c r="D6894">
        <v>15</v>
      </c>
    </row>
    <row r="6895" spans="1:4" x14ac:dyDescent="0.25">
      <c r="A6895" s="1">
        <v>42690</v>
      </c>
      <c r="B6895">
        <v>1</v>
      </c>
      <c r="C6895">
        <v>4</v>
      </c>
      <c r="D6895">
        <v>23</v>
      </c>
    </row>
    <row r="6896" spans="1:4" x14ac:dyDescent="0.25">
      <c r="A6896" s="1">
        <v>42691</v>
      </c>
      <c r="B6896">
        <v>1</v>
      </c>
      <c r="C6896">
        <v>4</v>
      </c>
      <c r="D6896">
        <v>25</v>
      </c>
    </row>
    <row r="6897" spans="1:4" x14ac:dyDescent="0.25">
      <c r="A6897" s="1">
        <v>42692</v>
      </c>
      <c r="B6897">
        <v>1</v>
      </c>
      <c r="C6897">
        <v>4</v>
      </c>
      <c r="D6897">
        <v>21</v>
      </c>
    </row>
    <row r="6898" spans="1:4" x14ac:dyDescent="0.25">
      <c r="A6898" s="1">
        <v>42693</v>
      </c>
      <c r="B6898">
        <v>1</v>
      </c>
      <c r="C6898">
        <v>4</v>
      </c>
      <c r="D6898">
        <v>21</v>
      </c>
    </row>
    <row r="6899" spans="1:4" x14ac:dyDescent="0.25">
      <c r="A6899" s="1">
        <v>42694</v>
      </c>
      <c r="B6899">
        <v>1</v>
      </c>
      <c r="C6899">
        <v>4</v>
      </c>
      <c r="D6899">
        <v>30</v>
      </c>
    </row>
    <row r="6900" spans="1:4" x14ac:dyDescent="0.25">
      <c r="A6900" s="1">
        <v>42695</v>
      </c>
      <c r="B6900">
        <v>1</v>
      </c>
      <c r="C6900">
        <v>4</v>
      </c>
      <c r="D6900">
        <v>14</v>
      </c>
    </row>
    <row r="6901" spans="1:4" x14ac:dyDescent="0.25">
      <c r="A6901" s="1">
        <v>42696</v>
      </c>
      <c r="B6901">
        <v>1</v>
      </c>
      <c r="C6901">
        <v>4</v>
      </c>
      <c r="D6901">
        <v>17</v>
      </c>
    </row>
    <row r="6902" spans="1:4" x14ac:dyDescent="0.25">
      <c r="A6902" s="1">
        <v>42697</v>
      </c>
      <c r="B6902">
        <v>1</v>
      </c>
      <c r="C6902">
        <v>4</v>
      </c>
      <c r="D6902">
        <v>14</v>
      </c>
    </row>
    <row r="6903" spans="1:4" x14ac:dyDescent="0.25">
      <c r="A6903" s="1">
        <v>42698</v>
      </c>
      <c r="B6903">
        <v>1</v>
      </c>
      <c r="C6903">
        <v>4</v>
      </c>
      <c r="D6903">
        <v>23</v>
      </c>
    </row>
    <row r="6904" spans="1:4" x14ac:dyDescent="0.25">
      <c r="A6904" s="1">
        <v>42699</v>
      </c>
      <c r="B6904">
        <v>1</v>
      </c>
      <c r="C6904">
        <v>4</v>
      </c>
      <c r="D6904">
        <v>23</v>
      </c>
    </row>
    <row r="6905" spans="1:4" x14ac:dyDescent="0.25">
      <c r="A6905" s="1">
        <v>42700</v>
      </c>
      <c r="B6905">
        <v>1</v>
      </c>
      <c r="C6905">
        <v>4</v>
      </c>
      <c r="D6905">
        <v>26</v>
      </c>
    </row>
    <row r="6906" spans="1:4" x14ac:dyDescent="0.25">
      <c r="A6906" s="1">
        <v>42701</v>
      </c>
      <c r="B6906">
        <v>1</v>
      </c>
      <c r="C6906">
        <v>4</v>
      </c>
      <c r="D6906">
        <v>24</v>
      </c>
    </row>
    <row r="6907" spans="1:4" x14ac:dyDescent="0.25">
      <c r="A6907" s="1">
        <v>42702</v>
      </c>
      <c r="B6907">
        <v>1</v>
      </c>
      <c r="C6907">
        <v>4</v>
      </c>
      <c r="D6907">
        <v>17</v>
      </c>
    </row>
    <row r="6908" spans="1:4" x14ac:dyDescent="0.25">
      <c r="A6908" s="1">
        <v>42703</v>
      </c>
      <c r="B6908">
        <v>1</v>
      </c>
      <c r="C6908">
        <v>4</v>
      </c>
      <c r="D6908">
        <v>23</v>
      </c>
    </row>
    <row r="6909" spans="1:4" x14ac:dyDescent="0.25">
      <c r="A6909" s="1">
        <v>42704</v>
      </c>
      <c r="B6909">
        <v>1</v>
      </c>
      <c r="C6909">
        <v>4</v>
      </c>
      <c r="D6909">
        <v>29</v>
      </c>
    </row>
    <row r="6910" spans="1:4" x14ac:dyDescent="0.25">
      <c r="A6910" s="1">
        <v>42705</v>
      </c>
      <c r="B6910">
        <v>1</v>
      </c>
      <c r="C6910">
        <v>4</v>
      </c>
      <c r="D6910">
        <v>23</v>
      </c>
    </row>
    <row r="6911" spans="1:4" x14ac:dyDescent="0.25">
      <c r="A6911" s="1">
        <v>42706</v>
      </c>
      <c r="B6911">
        <v>1</v>
      </c>
      <c r="C6911">
        <v>4</v>
      </c>
      <c r="D6911">
        <v>18</v>
      </c>
    </row>
    <row r="6912" spans="1:4" x14ac:dyDescent="0.25">
      <c r="A6912" s="1">
        <v>42707</v>
      </c>
      <c r="B6912">
        <v>1</v>
      </c>
      <c r="C6912">
        <v>4</v>
      </c>
      <c r="D6912">
        <v>22</v>
      </c>
    </row>
    <row r="6913" spans="1:4" x14ac:dyDescent="0.25">
      <c r="A6913" s="1">
        <v>42708</v>
      </c>
      <c r="B6913">
        <v>1</v>
      </c>
      <c r="C6913">
        <v>4</v>
      </c>
      <c r="D6913">
        <v>27</v>
      </c>
    </row>
    <row r="6914" spans="1:4" x14ac:dyDescent="0.25">
      <c r="A6914" s="1">
        <v>42709</v>
      </c>
      <c r="B6914">
        <v>1</v>
      </c>
      <c r="C6914">
        <v>4</v>
      </c>
      <c r="D6914">
        <v>16</v>
      </c>
    </row>
    <row r="6915" spans="1:4" x14ac:dyDescent="0.25">
      <c r="A6915" s="1">
        <v>42710</v>
      </c>
      <c r="B6915">
        <v>1</v>
      </c>
      <c r="C6915">
        <v>4</v>
      </c>
      <c r="D6915">
        <v>16</v>
      </c>
    </row>
    <row r="6916" spans="1:4" x14ac:dyDescent="0.25">
      <c r="A6916" s="1">
        <v>42711</v>
      </c>
      <c r="B6916">
        <v>1</v>
      </c>
      <c r="C6916">
        <v>4</v>
      </c>
      <c r="D6916">
        <v>10</v>
      </c>
    </row>
    <row r="6917" spans="1:4" x14ac:dyDescent="0.25">
      <c r="A6917" s="1">
        <v>42712</v>
      </c>
      <c r="B6917">
        <v>1</v>
      </c>
      <c r="C6917">
        <v>4</v>
      </c>
      <c r="D6917">
        <v>20</v>
      </c>
    </row>
    <row r="6918" spans="1:4" x14ac:dyDescent="0.25">
      <c r="A6918" s="1">
        <v>42713</v>
      </c>
      <c r="B6918">
        <v>1</v>
      </c>
      <c r="C6918">
        <v>4</v>
      </c>
      <c r="D6918">
        <v>22</v>
      </c>
    </row>
    <row r="6919" spans="1:4" x14ac:dyDescent="0.25">
      <c r="A6919" s="1">
        <v>42714</v>
      </c>
      <c r="B6919">
        <v>1</v>
      </c>
      <c r="C6919">
        <v>4</v>
      </c>
      <c r="D6919">
        <v>14</v>
      </c>
    </row>
    <row r="6920" spans="1:4" x14ac:dyDescent="0.25">
      <c r="A6920" s="1">
        <v>42715</v>
      </c>
      <c r="B6920">
        <v>1</v>
      </c>
      <c r="C6920">
        <v>4</v>
      </c>
      <c r="D6920">
        <v>24</v>
      </c>
    </row>
    <row r="6921" spans="1:4" x14ac:dyDescent="0.25">
      <c r="A6921" s="1">
        <v>42716</v>
      </c>
      <c r="B6921">
        <v>1</v>
      </c>
      <c r="C6921">
        <v>4</v>
      </c>
      <c r="D6921">
        <v>15</v>
      </c>
    </row>
    <row r="6922" spans="1:4" x14ac:dyDescent="0.25">
      <c r="A6922" s="1">
        <v>42717</v>
      </c>
      <c r="B6922">
        <v>1</v>
      </c>
      <c r="C6922">
        <v>4</v>
      </c>
      <c r="D6922">
        <v>12</v>
      </c>
    </row>
    <row r="6923" spans="1:4" x14ac:dyDescent="0.25">
      <c r="A6923" s="1">
        <v>42718</v>
      </c>
      <c r="B6923">
        <v>1</v>
      </c>
      <c r="C6923">
        <v>4</v>
      </c>
      <c r="D6923">
        <v>14</v>
      </c>
    </row>
    <row r="6924" spans="1:4" x14ac:dyDescent="0.25">
      <c r="A6924" s="1">
        <v>42719</v>
      </c>
      <c r="B6924">
        <v>1</v>
      </c>
      <c r="C6924">
        <v>4</v>
      </c>
      <c r="D6924">
        <v>15</v>
      </c>
    </row>
    <row r="6925" spans="1:4" x14ac:dyDescent="0.25">
      <c r="A6925" s="1">
        <v>42720</v>
      </c>
      <c r="B6925">
        <v>1</v>
      </c>
      <c r="C6925">
        <v>4</v>
      </c>
      <c r="D6925">
        <v>25</v>
      </c>
    </row>
    <row r="6926" spans="1:4" x14ac:dyDescent="0.25">
      <c r="A6926" s="1">
        <v>42721</v>
      </c>
      <c r="B6926">
        <v>1</v>
      </c>
      <c r="C6926">
        <v>4</v>
      </c>
      <c r="D6926">
        <v>14</v>
      </c>
    </row>
    <row r="6927" spans="1:4" x14ac:dyDescent="0.25">
      <c r="A6927" s="1">
        <v>42722</v>
      </c>
      <c r="B6927">
        <v>1</v>
      </c>
      <c r="C6927">
        <v>4</v>
      </c>
      <c r="D6927">
        <v>25</v>
      </c>
    </row>
    <row r="6928" spans="1:4" x14ac:dyDescent="0.25">
      <c r="A6928" s="1">
        <v>42723</v>
      </c>
      <c r="B6928">
        <v>1</v>
      </c>
      <c r="C6928">
        <v>4</v>
      </c>
      <c r="D6928">
        <v>17</v>
      </c>
    </row>
    <row r="6929" spans="1:4" x14ac:dyDescent="0.25">
      <c r="A6929" s="1">
        <v>42724</v>
      </c>
      <c r="B6929">
        <v>1</v>
      </c>
      <c r="C6929">
        <v>4</v>
      </c>
      <c r="D6929">
        <v>15</v>
      </c>
    </row>
    <row r="6930" spans="1:4" x14ac:dyDescent="0.25">
      <c r="A6930" s="1">
        <v>42725</v>
      </c>
      <c r="B6930">
        <v>1</v>
      </c>
      <c r="C6930">
        <v>4</v>
      </c>
      <c r="D6930">
        <v>16</v>
      </c>
    </row>
    <row r="6931" spans="1:4" x14ac:dyDescent="0.25">
      <c r="A6931" s="1">
        <v>42726</v>
      </c>
      <c r="B6931">
        <v>1</v>
      </c>
      <c r="C6931">
        <v>4</v>
      </c>
      <c r="D6931">
        <v>17</v>
      </c>
    </row>
    <row r="6932" spans="1:4" x14ac:dyDescent="0.25">
      <c r="A6932" s="1">
        <v>42727</v>
      </c>
      <c r="B6932">
        <v>1</v>
      </c>
      <c r="C6932">
        <v>4</v>
      </c>
      <c r="D6932">
        <v>24</v>
      </c>
    </row>
    <row r="6933" spans="1:4" x14ac:dyDescent="0.25">
      <c r="A6933" s="1">
        <v>42728</v>
      </c>
      <c r="B6933">
        <v>1</v>
      </c>
      <c r="C6933">
        <v>4</v>
      </c>
      <c r="D6933">
        <v>14</v>
      </c>
    </row>
    <row r="6934" spans="1:4" x14ac:dyDescent="0.25">
      <c r="A6934" s="1">
        <v>42729</v>
      </c>
      <c r="B6934">
        <v>1</v>
      </c>
      <c r="C6934">
        <v>4</v>
      </c>
      <c r="D6934">
        <v>21</v>
      </c>
    </row>
    <row r="6935" spans="1:4" x14ac:dyDescent="0.25">
      <c r="A6935" s="1">
        <v>42730</v>
      </c>
      <c r="B6935">
        <v>1</v>
      </c>
      <c r="C6935">
        <v>4</v>
      </c>
      <c r="D6935">
        <v>11</v>
      </c>
    </row>
    <row r="6936" spans="1:4" x14ac:dyDescent="0.25">
      <c r="A6936" s="1">
        <v>42731</v>
      </c>
      <c r="B6936">
        <v>1</v>
      </c>
      <c r="C6936">
        <v>4</v>
      </c>
      <c r="D6936">
        <v>15</v>
      </c>
    </row>
    <row r="6937" spans="1:4" x14ac:dyDescent="0.25">
      <c r="A6937" s="1">
        <v>42732</v>
      </c>
      <c r="B6937">
        <v>1</v>
      </c>
      <c r="C6937">
        <v>4</v>
      </c>
      <c r="D6937">
        <v>17</v>
      </c>
    </row>
    <row r="6938" spans="1:4" x14ac:dyDescent="0.25">
      <c r="A6938" s="1">
        <v>42733</v>
      </c>
      <c r="B6938">
        <v>1</v>
      </c>
      <c r="C6938">
        <v>4</v>
      </c>
      <c r="D6938">
        <v>21</v>
      </c>
    </row>
    <row r="6939" spans="1:4" x14ac:dyDescent="0.25">
      <c r="A6939" s="1">
        <v>42734</v>
      </c>
      <c r="B6939">
        <v>1</v>
      </c>
      <c r="C6939">
        <v>4</v>
      </c>
      <c r="D6939">
        <v>20</v>
      </c>
    </row>
    <row r="6940" spans="1:4" x14ac:dyDescent="0.25">
      <c r="A6940" s="1">
        <v>42735</v>
      </c>
      <c r="B6940">
        <v>1</v>
      </c>
      <c r="C6940">
        <v>4</v>
      </c>
      <c r="D6940">
        <v>15</v>
      </c>
    </row>
    <row r="6941" spans="1:4" x14ac:dyDescent="0.25">
      <c r="A6941" s="1">
        <v>42736</v>
      </c>
      <c r="B6941">
        <v>1</v>
      </c>
      <c r="C6941">
        <v>4</v>
      </c>
      <c r="D6941">
        <v>21</v>
      </c>
    </row>
    <row r="6942" spans="1:4" x14ac:dyDescent="0.25">
      <c r="A6942" s="1">
        <v>42737</v>
      </c>
      <c r="B6942">
        <v>1</v>
      </c>
      <c r="C6942">
        <v>4</v>
      </c>
      <c r="D6942">
        <v>15</v>
      </c>
    </row>
    <row r="6943" spans="1:4" x14ac:dyDescent="0.25">
      <c r="A6943" s="1">
        <v>42738</v>
      </c>
      <c r="B6943">
        <v>1</v>
      </c>
      <c r="C6943">
        <v>4</v>
      </c>
      <c r="D6943">
        <v>12</v>
      </c>
    </row>
    <row r="6944" spans="1:4" x14ac:dyDescent="0.25">
      <c r="A6944" s="1">
        <v>42739</v>
      </c>
      <c r="B6944">
        <v>1</v>
      </c>
      <c r="C6944">
        <v>4</v>
      </c>
      <c r="D6944">
        <v>14</v>
      </c>
    </row>
    <row r="6945" spans="1:4" x14ac:dyDescent="0.25">
      <c r="A6945" s="1">
        <v>42740</v>
      </c>
      <c r="B6945">
        <v>1</v>
      </c>
      <c r="C6945">
        <v>4</v>
      </c>
      <c r="D6945">
        <v>10</v>
      </c>
    </row>
    <row r="6946" spans="1:4" x14ac:dyDescent="0.25">
      <c r="A6946" s="1">
        <v>42741</v>
      </c>
      <c r="B6946">
        <v>1</v>
      </c>
      <c r="C6946">
        <v>4</v>
      </c>
      <c r="D6946">
        <v>10</v>
      </c>
    </row>
    <row r="6947" spans="1:4" x14ac:dyDescent="0.25">
      <c r="A6947" s="1">
        <v>42742</v>
      </c>
      <c r="B6947">
        <v>1</v>
      </c>
      <c r="C6947">
        <v>4</v>
      </c>
      <c r="D6947">
        <v>21</v>
      </c>
    </row>
    <row r="6948" spans="1:4" x14ac:dyDescent="0.25">
      <c r="A6948" s="1">
        <v>42743</v>
      </c>
      <c r="B6948">
        <v>1</v>
      </c>
      <c r="C6948">
        <v>4</v>
      </c>
      <c r="D6948">
        <v>16</v>
      </c>
    </row>
    <row r="6949" spans="1:4" x14ac:dyDescent="0.25">
      <c r="A6949" s="1">
        <v>42744</v>
      </c>
      <c r="B6949">
        <v>1</v>
      </c>
      <c r="C6949">
        <v>4</v>
      </c>
      <c r="D6949">
        <v>5</v>
      </c>
    </row>
    <row r="6950" spans="1:4" x14ac:dyDescent="0.25">
      <c r="A6950" s="1">
        <v>42745</v>
      </c>
      <c r="B6950">
        <v>1</v>
      </c>
      <c r="C6950">
        <v>4</v>
      </c>
      <c r="D6950">
        <v>18</v>
      </c>
    </row>
    <row r="6951" spans="1:4" x14ac:dyDescent="0.25">
      <c r="A6951" s="1">
        <v>42746</v>
      </c>
      <c r="B6951">
        <v>1</v>
      </c>
      <c r="C6951">
        <v>4</v>
      </c>
      <c r="D6951">
        <v>16</v>
      </c>
    </row>
    <row r="6952" spans="1:4" x14ac:dyDescent="0.25">
      <c r="A6952" s="1">
        <v>42747</v>
      </c>
      <c r="B6952">
        <v>1</v>
      </c>
      <c r="C6952">
        <v>4</v>
      </c>
      <c r="D6952">
        <v>13</v>
      </c>
    </row>
    <row r="6953" spans="1:4" x14ac:dyDescent="0.25">
      <c r="A6953" s="1">
        <v>42748</v>
      </c>
      <c r="B6953">
        <v>1</v>
      </c>
      <c r="C6953">
        <v>4</v>
      </c>
      <c r="D6953">
        <v>16</v>
      </c>
    </row>
    <row r="6954" spans="1:4" x14ac:dyDescent="0.25">
      <c r="A6954" s="1">
        <v>42749</v>
      </c>
      <c r="B6954">
        <v>1</v>
      </c>
      <c r="C6954">
        <v>4</v>
      </c>
      <c r="D6954">
        <v>19</v>
      </c>
    </row>
    <row r="6955" spans="1:4" x14ac:dyDescent="0.25">
      <c r="A6955" s="1">
        <v>42750</v>
      </c>
      <c r="B6955">
        <v>1</v>
      </c>
      <c r="C6955">
        <v>4</v>
      </c>
      <c r="D6955">
        <v>18</v>
      </c>
    </row>
    <row r="6956" spans="1:4" x14ac:dyDescent="0.25">
      <c r="A6956" s="1">
        <v>42751</v>
      </c>
      <c r="B6956">
        <v>1</v>
      </c>
      <c r="C6956">
        <v>4</v>
      </c>
      <c r="D6956">
        <v>13</v>
      </c>
    </row>
    <row r="6957" spans="1:4" x14ac:dyDescent="0.25">
      <c r="A6957" s="1">
        <v>42752</v>
      </c>
      <c r="B6957">
        <v>1</v>
      </c>
      <c r="C6957">
        <v>4</v>
      </c>
      <c r="D6957">
        <v>19</v>
      </c>
    </row>
    <row r="6958" spans="1:4" x14ac:dyDescent="0.25">
      <c r="A6958" s="1">
        <v>42753</v>
      </c>
      <c r="B6958">
        <v>1</v>
      </c>
      <c r="C6958">
        <v>4</v>
      </c>
      <c r="D6958">
        <v>13</v>
      </c>
    </row>
    <row r="6959" spans="1:4" x14ac:dyDescent="0.25">
      <c r="A6959" s="1">
        <v>42754</v>
      </c>
      <c r="B6959">
        <v>1</v>
      </c>
      <c r="C6959">
        <v>4</v>
      </c>
      <c r="D6959">
        <v>10</v>
      </c>
    </row>
    <row r="6960" spans="1:4" x14ac:dyDescent="0.25">
      <c r="A6960" s="1">
        <v>42755</v>
      </c>
      <c r="B6960">
        <v>1</v>
      </c>
      <c r="C6960">
        <v>4</v>
      </c>
      <c r="D6960">
        <v>19</v>
      </c>
    </row>
    <row r="6961" spans="1:4" x14ac:dyDescent="0.25">
      <c r="A6961" s="1">
        <v>42756</v>
      </c>
      <c r="B6961">
        <v>1</v>
      </c>
      <c r="C6961">
        <v>4</v>
      </c>
      <c r="D6961">
        <v>17</v>
      </c>
    </row>
    <row r="6962" spans="1:4" x14ac:dyDescent="0.25">
      <c r="A6962" s="1">
        <v>42757</v>
      </c>
      <c r="B6962">
        <v>1</v>
      </c>
      <c r="C6962">
        <v>4</v>
      </c>
      <c r="D6962">
        <v>29</v>
      </c>
    </row>
    <row r="6963" spans="1:4" x14ac:dyDescent="0.25">
      <c r="A6963" s="1">
        <v>42758</v>
      </c>
      <c r="B6963">
        <v>1</v>
      </c>
      <c r="C6963">
        <v>4</v>
      </c>
      <c r="D6963">
        <v>18</v>
      </c>
    </row>
    <row r="6964" spans="1:4" x14ac:dyDescent="0.25">
      <c r="A6964" s="1">
        <v>42759</v>
      </c>
      <c r="B6964">
        <v>1</v>
      </c>
      <c r="C6964">
        <v>4</v>
      </c>
      <c r="D6964">
        <v>21</v>
      </c>
    </row>
    <row r="6965" spans="1:4" x14ac:dyDescent="0.25">
      <c r="A6965" s="1">
        <v>42760</v>
      </c>
      <c r="B6965">
        <v>1</v>
      </c>
      <c r="C6965">
        <v>4</v>
      </c>
      <c r="D6965">
        <v>15</v>
      </c>
    </row>
    <row r="6966" spans="1:4" x14ac:dyDescent="0.25">
      <c r="A6966" s="1">
        <v>42761</v>
      </c>
      <c r="B6966">
        <v>1</v>
      </c>
      <c r="C6966">
        <v>4</v>
      </c>
      <c r="D6966">
        <v>13</v>
      </c>
    </row>
    <row r="6967" spans="1:4" x14ac:dyDescent="0.25">
      <c r="A6967" s="1">
        <v>42762</v>
      </c>
      <c r="B6967">
        <v>1</v>
      </c>
      <c r="C6967">
        <v>4</v>
      </c>
      <c r="D6967">
        <v>13</v>
      </c>
    </row>
    <row r="6968" spans="1:4" x14ac:dyDescent="0.25">
      <c r="A6968" s="1">
        <v>42763</v>
      </c>
      <c r="B6968">
        <v>1</v>
      </c>
      <c r="C6968">
        <v>4</v>
      </c>
      <c r="D6968">
        <v>17</v>
      </c>
    </row>
    <row r="6969" spans="1:4" x14ac:dyDescent="0.25">
      <c r="A6969" s="1">
        <v>42764</v>
      </c>
      <c r="B6969">
        <v>1</v>
      </c>
      <c r="C6969">
        <v>4</v>
      </c>
      <c r="D6969">
        <v>20</v>
      </c>
    </row>
    <row r="6970" spans="1:4" x14ac:dyDescent="0.25">
      <c r="A6970" s="1">
        <v>42765</v>
      </c>
      <c r="B6970">
        <v>1</v>
      </c>
      <c r="C6970">
        <v>4</v>
      </c>
      <c r="D6970">
        <v>17</v>
      </c>
    </row>
    <row r="6971" spans="1:4" x14ac:dyDescent="0.25">
      <c r="A6971" s="1">
        <v>42766</v>
      </c>
      <c r="B6971">
        <v>1</v>
      </c>
      <c r="C6971">
        <v>4</v>
      </c>
      <c r="D6971">
        <v>10</v>
      </c>
    </row>
    <row r="6972" spans="1:4" x14ac:dyDescent="0.25">
      <c r="A6972" s="1">
        <v>42767</v>
      </c>
      <c r="B6972">
        <v>1</v>
      </c>
      <c r="C6972">
        <v>4</v>
      </c>
      <c r="D6972">
        <v>15</v>
      </c>
    </row>
    <row r="6973" spans="1:4" x14ac:dyDescent="0.25">
      <c r="A6973" s="1">
        <v>42768</v>
      </c>
      <c r="B6973">
        <v>1</v>
      </c>
      <c r="C6973">
        <v>4</v>
      </c>
      <c r="D6973">
        <v>17</v>
      </c>
    </row>
    <row r="6974" spans="1:4" x14ac:dyDescent="0.25">
      <c r="A6974" s="1">
        <v>42769</v>
      </c>
      <c r="B6974">
        <v>1</v>
      </c>
      <c r="C6974">
        <v>4</v>
      </c>
      <c r="D6974">
        <v>19</v>
      </c>
    </row>
    <row r="6975" spans="1:4" x14ac:dyDescent="0.25">
      <c r="A6975" s="1">
        <v>42770</v>
      </c>
      <c r="B6975">
        <v>1</v>
      </c>
      <c r="C6975">
        <v>4</v>
      </c>
      <c r="D6975">
        <v>18</v>
      </c>
    </row>
    <row r="6976" spans="1:4" x14ac:dyDescent="0.25">
      <c r="A6976" s="1">
        <v>42771</v>
      </c>
      <c r="B6976">
        <v>1</v>
      </c>
      <c r="C6976">
        <v>4</v>
      </c>
      <c r="D6976">
        <v>20</v>
      </c>
    </row>
    <row r="6977" spans="1:4" x14ac:dyDescent="0.25">
      <c r="A6977" s="1">
        <v>42772</v>
      </c>
      <c r="B6977">
        <v>1</v>
      </c>
      <c r="C6977">
        <v>4</v>
      </c>
      <c r="D6977">
        <v>13</v>
      </c>
    </row>
    <row r="6978" spans="1:4" x14ac:dyDescent="0.25">
      <c r="A6978" s="1">
        <v>42773</v>
      </c>
      <c r="B6978">
        <v>1</v>
      </c>
      <c r="C6978">
        <v>4</v>
      </c>
      <c r="D6978">
        <v>13</v>
      </c>
    </row>
    <row r="6979" spans="1:4" x14ac:dyDescent="0.25">
      <c r="A6979" s="1">
        <v>42774</v>
      </c>
      <c r="B6979">
        <v>1</v>
      </c>
      <c r="C6979">
        <v>4</v>
      </c>
      <c r="D6979">
        <v>13</v>
      </c>
    </row>
    <row r="6980" spans="1:4" x14ac:dyDescent="0.25">
      <c r="A6980" s="1">
        <v>42775</v>
      </c>
      <c r="B6980">
        <v>1</v>
      </c>
      <c r="C6980">
        <v>4</v>
      </c>
      <c r="D6980">
        <v>8</v>
      </c>
    </row>
    <row r="6981" spans="1:4" x14ac:dyDescent="0.25">
      <c r="A6981" s="1">
        <v>42776</v>
      </c>
      <c r="B6981">
        <v>1</v>
      </c>
      <c r="C6981">
        <v>4</v>
      </c>
      <c r="D6981">
        <v>20</v>
      </c>
    </row>
    <row r="6982" spans="1:4" x14ac:dyDescent="0.25">
      <c r="A6982" s="1">
        <v>42777</v>
      </c>
      <c r="B6982">
        <v>1</v>
      </c>
      <c r="C6982">
        <v>4</v>
      </c>
      <c r="D6982">
        <v>28</v>
      </c>
    </row>
    <row r="6983" spans="1:4" x14ac:dyDescent="0.25">
      <c r="A6983" s="1">
        <v>42778</v>
      </c>
      <c r="B6983">
        <v>1</v>
      </c>
      <c r="C6983">
        <v>4</v>
      </c>
      <c r="D6983">
        <v>22</v>
      </c>
    </row>
    <row r="6984" spans="1:4" x14ac:dyDescent="0.25">
      <c r="A6984" s="1">
        <v>42779</v>
      </c>
      <c r="B6984">
        <v>1</v>
      </c>
      <c r="C6984">
        <v>4</v>
      </c>
      <c r="D6984">
        <v>15</v>
      </c>
    </row>
    <row r="6985" spans="1:4" x14ac:dyDescent="0.25">
      <c r="A6985" s="1">
        <v>42780</v>
      </c>
      <c r="B6985">
        <v>1</v>
      </c>
      <c r="C6985">
        <v>4</v>
      </c>
      <c r="D6985">
        <v>13</v>
      </c>
    </row>
    <row r="6986" spans="1:4" x14ac:dyDescent="0.25">
      <c r="A6986" s="1">
        <v>42781</v>
      </c>
      <c r="B6986">
        <v>1</v>
      </c>
      <c r="C6986">
        <v>4</v>
      </c>
      <c r="D6986">
        <v>12</v>
      </c>
    </row>
    <row r="6987" spans="1:4" x14ac:dyDescent="0.25">
      <c r="A6987" s="1">
        <v>42782</v>
      </c>
      <c r="B6987">
        <v>1</v>
      </c>
      <c r="C6987">
        <v>4</v>
      </c>
      <c r="D6987">
        <v>15</v>
      </c>
    </row>
    <row r="6988" spans="1:4" x14ac:dyDescent="0.25">
      <c r="A6988" s="1">
        <v>42783</v>
      </c>
      <c r="B6988">
        <v>1</v>
      </c>
      <c r="C6988">
        <v>4</v>
      </c>
      <c r="D6988">
        <v>21</v>
      </c>
    </row>
    <row r="6989" spans="1:4" x14ac:dyDescent="0.25">
      <c r="A6989" s="1">
        <v>42784</v>
      </c>
      <c r="B6989">
        <v>1</v>
      </c>
      <c r="C6989">
        <v>4</v>
      </c>
      <c r="D6989">
        <v>15</v>
      </c>
    </row>
    <row r="6990" spans="1:4" x14ac:dyDescent="0.25">
      <c r="A6990" s="1">
        <v>42785</v>
      </c>
      <c r="B6990">
        <v>1</v>
      </c>
      <c r="C6990">
        <v>4</v>
      </c>
      <c r="D6990">
        <v>32</v>
      </c>
    </row>
    <row r="6991" spans="1:4" x14ac:dyDescent="0.25">
      <c r="A6991" s="1">
        <v>42786</v>
      </c>
      <c r="B6991">
        <v>1</v>
      </c>
      <c r="C6991">
        <v>4</v>
      </c>
      <c r="D6991">
        <v>13</v>
      </c>
    </row>
    <row r="6992" spans="1:4" x14ac:dyDescent="0.25">
      <c r="A6992" s="1">
        <v>42787</v>
      </c>
      <c r="B6992">
        <v>1</v>
      </c>
      <c r="C6992">
        <v>4</v>
      </c>
      <c r="D6992">
        <v>13</v>
      </c>
    </row>
    <row r="6993" spans="1:4" x14ac:dyDescent="0.25">
      <c r="A6993" s="1">
        <v>42788</v>
      </c>
      <c r="B6993">
        <v>1</v>
      </c>
      <c r="C6993">
        <v>4</v>
      </c>
      <c r="D6993">
        <v>16</v>
      </c>
    </row>
    <row r="6994" spans="1:4" x14ac:dyDescent="0.25">
      <c r="A6994" s="1">
        <v>42789</v>
      </c>
      <c r="B6994">
        <v>1</v>
      </c>
      <c r="C6994">
        <v>4</v>
      </c>
      <c r="D6994">
        <v>19</v>
      </c>
    </row>
    <row r="6995" spans="1:4" x14ac:dyDescent="0.25">
      <c r="A6995" s="1">
        <v>42790</v>
      </c>
      <c r="B6995">
        <v>1</v>
      </c>
      <c r="C6995">
        <v>4</v>
      </c>
      <c r="D6995">
        <v>9</v>
      </c>
    </row>
    <row r="6996" spans="1:4" x14ac:dyDescent="0.25">
      <c r="A6996" s="1">
        <v>42791</v>
      </c>
      <c r="B6996">
        <v>1</v>
      </c>
      <c r="C6996">
        <v>4</v>
      </c>
      <c r="D6996">
        <v>9</v>
      </c>
    </row>
    <row r="6997" spans="1:4" x14ac:dyDescent="0.25">
      <c r="A6997" s="1">
        <v>42792</v>
      </c>
      <c r="B6997">
        <v>1</v>
      </c>
      <c r="C6997">
        <v>4</v>
      </c>
      <c r="D6997">
        <v>22</v>
      </c>
    </row>
    <row r="6998" spans="1:4" x14ac:dyDescent="0.25">
      <c r="A6998" s="1">
        <v>42793</v>
      </c>
      <c r="B6998">
        <v>1</v>
      </c>
      <c r="C6998">
        <v>4</v>
      </c>
      <c r="D6998">
        <v>13</v>
      </c>
    </row>
    <row r="6999" spans="1:4" x14ac:dyDescent="0.25">
      <c r="A6999" s="1">
        <v>42794</v>
      </c>
      <c r="B6999">
        <v>1</v>
      </c>
      <c r="C6999">
        <v>4</v>
      </c>
      <c r="D6999">
        <v>21</v>
      </c>
    </row>
    <row r="7000" spans="1:4" x14ac:dyDescent="0.25">
      <c r="A7000" s="1">
        <v>42795</v>
      </c>
      <c r="B7000">
        <v>1</v>
      </c>
      <c r="C7000">
        <v>4</v>
      </c>
      <c r="D7000">
        <v>19</v>
      </c>
    </row>
    <row r="7001" spans="1:4" x14ac:dyDescent="0.25">
      <c r="A7001" s="1">
        <v>42796</v>
      </c>
      <c r="B7001">
        <v>1</v>
      </c>
      <c r="C7001">
        <v>4</v>
      </c>
      <c r="D7001">
        <v>23</v>
      </c>
    </row>
    <row r="7002" spans="1:4" x14ac:dyDescent="0.25">
      <c r="A7002" s="1">
        <v>42797</v>
      </c>
      <c r="B7002">
        <v>1</v>
      </c>
      <c r="C7002">
        <v>4</v>
      </c>
      <c r="D7002">
        <v>25</v>
      </c>
    </row>
    <row r="7003" spans="1:4" x14ac:dyDescent="0.25">
      <c r="A7003" s="1">
        <v>42798</v>
      </c>
      <c r="B7003">
        <v>1</v>
      </c>
      <c r="C7003">
        <v>4</v>
      </c>
      <c r="D7003">
        <v>15</v>
      </c>
    </row>
    <row r="7004" spans="1:4" x14ac:dyDescent="0.25">
      <c r="A7004" s="1">
        <v>42799</v>
      </c>
      <c r="B7004">
        <v>1</v>
      </c>
      <c r="C7004">
        <v>4</v>
      </c>
      <c r="D7004">
        <v>16</v>
      </c>
    </row>
    <row r="7005" spans="1:4" x14ac:dyDescent="0.25">
      <c r="A7005" s="1">
        <v>42800</v>
      </c>
      <c r="B7005">
        <v>1</v>
      </c>
      <c r="C7005">
        <v>4</v>
      </c>
      <c r="D7005">
        <v>12</v>
      </c>
    </row>
    <row r="7006" spans="1:4" x14ac:dyDescent="0.25">
      <c r="A7006" s="1">
        <v>42801</v>
      </c>
      <c r="B7006">
        <v>1</v>
      </c>
      <c r="C7006">
        <v>4</v>
      </c>
      <c r="D7006">
        <v>18</v>
      </c>
    </row>
    <row r="7007" spans="1:4" x14ac:dyDescent="0.25">
      <c r="A7007" s="1">
        <v>42802</v>
      </c>
      <c r="B7007">
        <v>1</v>
      </c>
      <c r="C7007">
        <v>4</v>
      </c>
      <c r="D7007">
        <v>18</v>
      </c>
    </row>
    <row r="7008" spans="1:4" x14ac:dyDescent="0.25">
      <c r="A7008" s="1">
        <v>42803</v>
      </c>
      <c r="B7008">
        <v>1</v>
      </c>
      <c r="C7008">
        <v>4</v>
      </c>
      <c r="D7008">
        <v>25</v>
      </c>
    </row>
    <row r="7009" spans="1:4" x14ac:dyDescent="0.25">
      <c r="A7009" s="1">
        <v>42804</v>
      </c>
      <c r="B7009">
        <v>1</v>
      </c>
      <c r="C7009">
        <v>4</v>
      </c>
      <c r="D7009">
        <v>24</v>
      </c>
    </row>
    <row r="7010" spans="1:4" x14ac:dyDescent="0.25">
      <c r="A7010" s="1">
        <v>42805</v>
      </c>
      <c r="B7010">
        <v>1</v>
      </c>
      <c r="C7010">
        <v>4</v>
      </c>
      <c r="D7010">
        <v>17</v>
      </c>
    </row>
    <row r="7011" spans="1:4" x14ac:dyDescent="0.25">
      <c r="A7011" s="1">
        <v>42806</v>
      </c>
      <c r="B7011">
        <v>1</v>
      </c>
      <c r="C7011">
        <v>4</v>
      </c>
      <c r="D7011">
        <v>22</v>
      </c>
    </row>
    <row r="7012" spans="1:4" x14ac:dyDescent="0.25">
      <c r="A7012" s="1">
        <v>42807</v>
      </c>
      <c r="B7012">
        <v>1</v>
      </c>
      <c r="C7012">
        <v>4</v>
      </c>
      <c r="D7012">
        <v>20</v>
      </c>
    </row>
    <row r="7013" spans="1:4" x14ac:dyDescent="0.25">
      <c r="A7013" s="1">
        <v>42808</v>
      </c>
      <c r="B7013">
        <v>1</v>
      </c>
      <c r="C7013">
        <v>4</v>
      </c>
      <c r="D7013">
        <v>16</v>
      </c>
    </row>
    <row r="7014" spans="1:4" x14ac:dyDescent="0.25">
      <c r="A7014" s="1">
        <v>42809</v>
      </c>
      <c r="B7014">
        <v>1</v>
      </c>
      <c r="C7014">
        <v>4</v>
      </c>
      <c r="D7014">
        <v>21</v>
      </c>
    </row>
    <row r="7015" spans="1:4" x14ac:dyDescent="0.25">
      <c r="A7015" s="1">
        <v>42810</v>
      </c>
      <c r="B7015">
        <v>1</v>
      </c>
      <c r="C7015">
        <v>4</v>
      </c>
      <c r="D7015">
        <v>19</v>
      </c>
    </row>
    <row r="7016" spans="1:4" x14ac:dyDescent="0.25">
      <c r="A7016" s="1">
        <v>42811</v>
      </c>
      <c r="B7016">
        <v>1</v>
      </c>
      <c r="C7016">
        <v>4</v>
      </c>
      <c r="D7016">
        <v>20</v>
      </c>
    </row>
    <row r="7017" spans="1:4" x14ac:dyDescent="0.25">
      <c r="A7017" s="1">
        <v>42812</v>
      </c>
      <c r="B7017">
        <v>1</v>
      </c>
      <c r="C7017">
        <v>4</v>
      </c>
      <c r="D7017">
        <v>27</v>
      </c>
    </row>
    <row r="7018" spans="1:4" x14ac:dyDescent="0.25">
      <c r="A7018" s="1">
        <v>42813</v>
      </c>
      <c r="B7018">
        <v>1</v>
      </c>
      <c r="C7018">
        <v>4</v>
      </c>
      <c r="D7018">
        <v>21</v>
      </c>
    </row>
    <row r="7019" spans="1:4" x14ac:dyDescent="0.25">
      <c r="A7019" s="1">
        <v>42814</v>
      </c>
      <c r="B7019">
        <v>1</v>
      </c>
      <c r="C7019">
        <v>4</v>
      </c>
      <c r="D7019">
        <v>17</v>
      </c>
    </row>
    <row r="7020" spans="1:4" x14ac:dyDescent="0.25">
      <c r="A7020" s="1">
        <v>42815</v>
      </c>
      <c r="B7020">
        <v>1</v>
      </c>
      <c r="C7020">
        <v>4</v>
      </c>
      <c r="D7020">
        <v>27</v>
      </c>
    </row>
    <row r="7021" spans="1:4" x14ac:dyDescent="0.25">
      <c r="A7021" s="1">
        <v>42816</v>
      </c>
      <c r="B7021">
        <v>1</v>
      </c>
      <c r="C7021">
        <v>4</v>
      </c>
      <c r="D7021">
        <v>17</v>
      </c>
    </row>
    <row r="7022" spans="1:4" x14ac:dyDescent="0.25">
      <c r="A7022" s="1">
        <v>42817</v>
      </c>
      <c r="B7022">
        <v>1</v>
      </c>
      <c r="C7022">
        <v>4</v>
      </c>
      <c r="D7022">
        <v>23</v>
      </c>
    </row>
    <row r="7023" spans="1:4" x14ac:dyDescent="0.25">
      <c r="A7023" s="1">
        <v>42818</v>
      </c>
      <c r="B7023">
        <v>1</v>
      </c>
      <c r="C7023">
        <v>4</v>
      </c>
      <c r="D7023">
        <v>18</v>
      </c>
    </row>
    <row r="7024" spans="1:4" x14ac:dyDescent="0.25">
      <c r="A7024" s="1">
        <v>42819</v>
      </c>
      <c r="B7024">
        <v>1</v>
      </c>
      <c r="C7024">
        <v>4</v>
      </c>
      <c r="D7024">
        <v>27</v>
      </c>
    </row>
    <row r="7025" spans="1:4" x14ac:dyDescent="0.25">
      <c r="A7025" s="1">
        <v>42820</v>
      </c>
      <c r="B7025">
        <v>1</v>
      </c>
      <c r="C7025">
        <v>4</v>
      </c>
      <c r="D7025">
        <v>23</v>
      </c>
    </row>
    <row r="7026" spans="1:4" x14ac:dyDescent="0.25">
      <c r="A7026" s="1">
        <v>42821</v>
      </c>
      <c r="B7026">
        <v>1</v>
      </c>
      <c r="C7026">
        <v>4</v>
      </c>
      <c r="D7026">
        <v>19</v>
      </c>
    </row>
    <row r="7027" spans="1:4" x14ac:dyDescent="0.25">
      <c r="A7027" s="1">
        <v>42822</v>
      </c>
      <c r="B7027">
        <v>1</v>
      </c>
      <c r="C7027">
        <v>4</v>
      </c>
      <c r="D7027">
        <v>18</v>
      </c>
    </row>
    <row r="7028" spans="1:4" x14ac:dyDescent="0.25">
      <c r="A7028" s="1">
        <v>42823</v>
      </c>
      <c r="B7028">
        <v>1</v>
      </c>
      <c r="C7028">
        <v>4</v>
      </c>
      <c r="D7028">
        <v>22</v>
      </c>
    </row>
    <row r="7029" spans="1:4" x14ac:dyDescent="0.25">
      <c r="A7029" s="1">
        <v>42824</v>
      </c>
      <c r="B7029">
        <v>1</v>
      </c>
      <c r="C7029">
        <v>4</v>
      </c>
      <c r="D7029">
        <v>17</v>
      </c>
    </row>
    <row r="7030" spans="1:4" x14ac:dyDescent="0.25">
      <c r="A7030" s="1">
        <v>42825</v>
      </c>
      <c r="B7030">
        <v>1</v>
      </c>
      <c r="C7030">
        <v>4</v>
      </c>
      <c r="D7030">
        <v>16</v>
      </c>
    </row>
    <row r="7031" spans="1:4" x14ac:dyDescent="0.25">
      <c r="A7031" s="1">
        <v>42826</v>
      </c>
      <c r="B7031">
        <v>1</v>
      </c>
      <c r="C7031">
        <v>4</v>
      </c>
      <c r="D7031">
        <v>37</v>
      </c>
    </row>
    <row r="7032" spans="1:4" x14ac:dyDescent="0.25">
      <c r="A7032" s="1">
        <v>42827</v>
      </c>
      <c r="B7032">
        <v>1</v>
      </c>
      <c r="C7032">
        <v>4</v>
      </c>
      <c r="D7032">
        <v>28</v>
      </c>
    </row>
    <row r="7033" spans="1:4" x14ac:dyDescent="0.25">
      <c r="A7033" s="1">
        <v>42828</v>
      </c>
      <c r="B7033">
        <v>1</v>
      </c>
      <c r="C7033">
        <v>4</v>
      </c>
      <c r="D7033">
        <v>19</v>
      </c>
    </row>
    <row r="7034" spans="1:4" x14ac:dyDescent="0.25">
      <c r="A7034" s="1">
        <v>42829</v>
      </c>
      <c r="B7034">
        <v>1</v>
      </c>
      <c r="C7034">
        <v>4</v>
      </c>
      <c r="D7034">
        <v>18</v>
      </c>
    </row>
    <row r="7035" spans="1:4" x14ac:dyDescent="0.25">
      <c r="A7035" s="1">
        <v>42830</v>
      </c>
      <c r="B7035">
        <v>1</v>
      </c>
      <c r="C7035">
        <v>4</v>
      </c>
      <c r="D7035">
        <v>16</v>
      </c>
    </row>
    <row r="7036" spans="1:4" x14ac:dyDescent="0.25">
      <c r="A7036" s="1">
        <v>42831</v>
      </c>
      <c r="B7036">
        <v>1</v>
      </c>
      <c r="C7036">
        <v>4</v>
      </c>
      <c r="D7036">
        <v>28</v>
      </c>
    </row>
    <row r="7037" spans="1:4" x14ac:dyDescent="0.25">
      <c r="A7037" s="1">
        <v>42832</v>
      </c>
      <c r="B7037">
        <v>1</v>
      </c>
      <c r="C7037">
        <v>4</v>
      </c>
      <c r="D7037">
        <v>18</v>
      </c>
    </row>
    <row r="7038" spans="1:4" x14ac:dyDescent="0.25">
      <c r="A7038" s="1">
        <v>42833</v>
      </c>
      <c r="B7038">
        <v>1</v>
      </c>
      <c r="C7038">
        <v>4</v>
      </c>
      <c r="D7038">
        <v>28</v>
      </c>
    </row>
    <row r="7039" spans="1:4" x14ac:dyDescent="0.25">
      <c r="A7039" s="1">
        <v>42834</v>
      </c>
      <c r="B7039">
        <v>1</v>
      </c>
      <c r="C7039">
        <v>4</v>
      </c>
      <c r="D7039">
        <v>23</v>
      </c>
    </row>
    <row r="7040" spans="1:4" x14ac:dyDescent="0.25">
      <c r="A7040" s="1">
        <v>42835</v>
      </c>
      <c r="B7040">
        <v>1</v>
      </c>
      <c r="C7040">
        <v>4</v>
      </c>
      <c r="D7040">
        <v>19</v>
      </c>
    </row>
    <row r="7041" spans="1:4" x14ac:dyDescent="0.25">
      <c r="A7041" s="1">
        <v>42836</v>
      </c>
      <c r="B7041">
        <v>1</v>
      </c>
      <c r="C7041">
        <v>4</v>
      </c>
      <c r="D7041">
        <v>28</v>
      </c>
    </row>
    <row r="7042" spans="1:4" x14ac:dyDescent="0.25">
      <c r="A7042" s="1">
        <v>42837</v>
      </c>
      <c r="B7042">
        <v>1</v>
      </c>
      <c r="C7042">
        <v>4</v>
      </c>
      <c r="D7042">
        <v>23</v>
      </c>
    </row>
    <row r="7043" spans="1:4" x14ac:dyDescent="0.25">
      <c r="A7043" s="1">
        <v>42838</v>
      </c>
      <c r="B7043">
        <v>1</v>
      </c>
      <c r="C7043">
        <v>4</v>
      </c>
      <c r="D7043">
        <v>30</v>
      </c>
    </row>
    <row r="7044" spans="1:4" x14ac:dyDescent="0.25">
      <c r="A7044" s="1">
        <v>42839</v>
      </c>
      <c r="B7044">
        <v>1</v>
      </c>
      <c r="C7044">
        <v>4</v>
      </c>
      <c r="D7044">
        <v>19</v>
      </c>
    </row>
    <row r="7045" spans="1:4" x14ac:dyDescent="0.25">
      <c r="A7045" s="1">
        <v>42840</v>
      </c>
      <c r="B7045">
        <v>1</v>
      </c>
      <c r="C7045">
        <v>4</v>
      </c>
      <c r="D7045">
        <v>18</v>
      </c>
    </row>
    <row r="7046" spans="1:4" x14ac:dyDescent="0.25">
      <c r="A7046" s="1">
        <v>42841</v>
      </c>
      <c r="B7046">
        <v>1</v>
      </c>
      <c r="C7046">
        <v>4</v>
      </c>
      <c r="D7046">
        <v>23</v>
      </c>
    </row>
    <row r="7047" spans="1:4" x14ac:dyDescent="0.25">
      <c r="A7047" s="1">
        <v>42842</v>
      </c>
      <c r="B7047">
        <v>1</v>
      </c>
      <c r="C7047">
        <v>4</v>
      </c>
      <c r="D7047">
        <v>15</v>
      </c>
    </row>
    <row r="7048" spans="1:4" x14ac:dyDescent="0.25">
      <c r="A7048" s="1">
        <v>42843</v>
      </c>
      <c r="B7048">
        <v>1</v>
      </c>
      <c r="C7048">
        <v>4</v>
      </c>
      <c r="D7048">
        <v>30</v>
      </c>
    </row>
    <row r="7049" spans="1:4" x14ac:dyDescent="0.25">
      <c r="A7049" s="1">
        <v>42844</v>
      </c>
      <c r="B7049">
        <v>1</v>
      </c>
      <c r="C7049">
        <v>4</v>
      </c>
      <c r="D7049">
        <v>23</v>
      </c>
    </row>
    <row r="7050" spans="1:4" x14ac:dyDescent="0.25">
      <c r="A7050" s="1">
        <v>42845</v>
      </c>
      <c r="B7050">
        <v>1</v>
      </c>
      <c r="C7050">
        <v>4</v>
      </c>
      <c r="D7050">
        <v>29</v>
      </c>
    </row>
    <row r="7051" spans="1:4" x14ac:dyDescent="0.25">
      <c r="A7051" s="1">
        <v>42846</v>
      </c>
      <c r="B7051">
        <v>1</v>
      </c>
      <c r="C7051">
        <v>4</v>
      </c>
      <c r="D7051">
        <v>23</v>
      </c>
    </row>
    <row r="7052" spans="1:4" x14ac:dyDescent="0.25">
      <c r="A7052" s="1">
        <v>42847</v>
      </c>
      <c r="B7052">
        <v>1</v>
      </c>
      <c r="C7052">
        <v>4</v>
      </c>
      <c r="D7052">
        <v>31</v>
      </c>
    </row>
    <row r="7053" spans="1:4" x14ac:dyDescent="0.25">
      <c r="A7053" s="1">
        <v>42848</v>
      </c>
      <c r="B7053">
        <v>1</v>
      </c>
      <c r="C7053">
        <v>4</v>
      </c>
      <c r="D7053">
        <v>36</v>
      </c>
    </row>
    <row r="7054" spans="1:4" x14ac:dyDescent="0.25">
      <c r="A7054" s="1">
        <v>42849</v>
      </c>
      <c r="B7054">
        <v>1</v>
      </c>
      <c r="C7054">
        <v>4</v>
      </c>
      <c r="D7054">
        <v>20</v>
      </c>
    </row>
    <row r="7055" spans="1:4" x14ac:dyDescent="0.25">
      <c r="A7055" s="1">
        <v>42850</v>
      </c>
      <c r="B7055">
        <v>1</v>
      </c>
      <c r="C7055">
        <v>4</v>
      </c>
      <c r="D7055">
        <v>17</v>
      </c>
    </row>
    <row r="7056" spans="1:4" x14ac:dyDescent="0.25">
      <c r="A7056" s="1">
        <v>42851</v>
      </c>
      <c r="B7056">
        <v>1</v>
      </c>
      <c r="C7056">
        <v>4</v>
      </c>
      <c r="D7056">
        <v>16</v>
      </c>
    </row>
    <row r="7057" spans="1:4" x14ac:dyDescent="0.25">
      <c r="A7057" s="1">
        <v>42852</v>
      </c>
      <c r="B7057">
        <v>1</v>
      </c>
      <c r="C7057">
        <v>4</v>
      </c>
      <c r="D7057">
        <v>27</v>
      </c>
    </row>
    <row r="7058" spans="1:4" x14ac:dyDescent="0.25">
      <c r="A7058" s="1">
        <v>42853</v>
      </c>
      <c r="B7058">
        <v>1</v>
      </c>
      <c r="C7058">
        <v>4</v>
      </c>
      <c r="D7058">
        <v>24</v>
      </c>
    </row>
    <row r="7059" spans="1:4" x14ac:dyDescent="0.25">
      <c r="A7059" s="1">
        <v>42854</v>
      </c>
      <c r="B7059">
        <v>1</v>
      </c>
      <c r="C7059">
        <v>4</v>
      </c>
      <c r="D7059">
        <v>26</v>
      </c>
    </row>
    <row r="7060" spans="1:4" x14ac:dyDescent="0.25">
      <c r="A7060" s="1">
        <v>42855</v>
      </c>
      <c r="B7060">
        <v>1</v>
      </c>
      <c r="C7060">
        <v>4</v>
      </c>
      <c r="D7060">
        <v>32</v>
      </c>
    </row>
    <row r="7061" spans="1:4" x14ac:dyDescent="0.25">
      <c r="A7061" s="1">
        <v>42856</v>
      </c>
      <c r="B7061">
        <v>1</v>
      </c>
      <c r="C7061">
        <v>4</v>
      </c>
      <c r="D7061">
        <v>13</v>
      </c>
    </row>
    <row r="7062" spans="1:4" x14ac:dyDescent="0.25">
      <c r="A7062" s="1">
        <v>42857</v>
      </c>
      <c r="B7062">
        <v>1</v>
      </c>
      <c r="C7062">
        <v>4</v>
      </c>
      <c r="D7062">
        <v>26</v>
      </c>
    </row>
    <row r="7063" spans="1:4" x14ac:dyDescent="0.25">
      <c r="A7063" s="1">
        <v>42858</v>
      </c>
      <c r="B7063">
        <v>1</v>
      </c>
      <c r="C7063">
        <v>4</v>
      </c>
      <c r="D7063">
        <v>24</v>
      </c>
    </row>
    <row r="7064" spans="1:4" x14ac:dyDescent="0.25">
      <c r="A7064" s="1">
        <v>42859</v>
      </c>
      <c r="B7064">
        <v>1</v>
      </c>
      <c r="C7064">
        <v>4</v>
      </c>
      <c r="D7064">
        <v>18</v>
      </c>
    </row>
    <row r="7065" spans="1:4" x14ac:dyDescent="0.25">
      <c r="A7065" s="1">
        <v>42860</v>
      </c>
      <c r="B7065">
        <v>1</v>
      </c>
      <c r="C7065">
        <v>4</v>
      </c>
      <c r="D7065">
        <v>23</v>
      </c>
    </row>
    <row r="7066" spans="1:4" x14ac:dyDescent="0.25">
      <c r="A7066" s="1">
        <v>42861</v>
      </c>
      <c r="B7066">
        <v>1</v>
      </c>
      <c r="C7066">
        <v>4</v>
      </c>
      <c r="D7066">
        <v>27</v>
      </c>
    </row>
    <row r="7067" spans="1:4" x14ac:dyDescent="0.25">
      <c r="A7067" s="1">
        <v>42862</v>
      </c>
      <c r="B7067">
        <v>1</v>
      </c>
      <c r="C7067">
        <v>4</v>
      </c>
      <c r="D7067">
        <v>33</v>
      </c>
    </row>
    <row r="7068" spans="1:4" x14ac:dyDescent="0.25">
      <c r="A7068" s="1">
        <v>42863</v>
      </c>
      <c r="B7068">
        <v>1</v>
      </c>
      <c r="C7068">
        <v>4</v>
      </c>
      <c r="D7068">
        <v>11</v>
      </c>
    </row>
    <row r="7069" spans="1:4" x14ac:dyDescent="0.25">
      <c r="A7069" s="1">
        <v>42864</v>
      </c>
      <c r="B7069">
        <v>1</v>
      </c>
      <c r="C7069">
        <v>4</v>
      </c>
      <c r="D7069">
        <v>18</v>
      </c>
    </row>
    <row r="7070" spans="1:4" x14ac:dyDescent="0.25">
      <c r="A7070" s="1">
        <v>42865</v>
      </c>
      <c r="B7070">
        <v>1</v>
      </c>
      <c r="C7070">
        <v>4</v>
      </c>
      <c r="D7070">
        <v>14</v>
      </c>
    </row>
    <row r="7071" spans="1:4" x14ac:dyDescent="0.25">
      <c r="A7071" s="1">
        <v>42866</v>
      </c>
      <c r="B7071">
        <v>1</v>
      </c>
      <c r="C7071">
        <v>4</v>
      </c>
      <c r="D7071">
        <v>33</v>
      </c>
    </row>
    <row r="7072" spans="1:4" x14ac:dyDescent="0.25">
      <c r="A7072" s="1">
        <v>42867</v>
      </c>
      <c r="B7072">
        <v>1</v>
      </c>
      <c r="C7072">
        <v>4</v>
      </c>
      <c r="D7072">
        <v>35</v>
      </c>
    </row>
    <row r="7073" spans="1:4" x14ac:dyDescent="0.25">
      <c r="A7073" s="1">
        <v>42868</v>
      </c>
      <c r="B7073">
        <v>1</v>
      </c>
      <c r="C7073">
        <v>4</v>
      </c>
      <c r="D7073">
        <v>28</v>
      </c>
    </row>
    <row r="7074" spans="1:4" x14ac:dyDescent="0.25">
      <c r="A7074" s="1">
        <v>42869</v>
      </c>
      <c r="B7074">
        <v>1</v>
      </c>
      <c r="C7074">
        <v>4</v>
      </c>
      <c r="D7074">
        <v>17</v>
      </c>
    </row>
    <row r="7075" spans="1:4" x14ac:dyDescent="0.25">
      <c r="A7075" s="1">
        <v>42870</v>
      </c>
      <c r="B7075">
        <v>1</v>
      </c>
      <c r="C7075">
        <v>4</v>
      </c>
      <c r="D7075">
        <v>18</v>
      </c>
    </row>
    <row r="7076" spans="1:4" x14ac:dyDescent="0.25">
      <c r="A7076" s="1">
        <v>42871</v>
      </c>
      <c r="B7076">
        <v>1</v>
      </c>
      <c r="C7076">
        <v>4</v>
      </c>
      <c r="D7076">
        <v>19</v>
      </c>
    </row>
    <row r="7077" spans="1:4" x14ac:dyDescent="0.25">
      <c r="A7077" s="1">
        <v>42872</v>
      </c>
      <c r="B7077">
        <v>1</v>
      </c>
      <c r="C7077">
        <v>4</v>
      </c>
      <c r="D7077">
        <v>23</v>
      </c>
    </row>
    <row r="7078" spans="1:4" x14ac:dyDescent="0.25">
      <c r="A7078" s="1">
        <v>42873</v>
      </c>
      <c r="B7078">
        <v>1</v>
      </c>
      <c r="C7078">
        <v>4</v>
      </c>
      <c r="D7078">
        <v>27</v>
      </c>
    </row>
    <row r="7079" spans="1:4" x14ac:dyDescent="0.25">
      <c r="A7079" s="1">
        <v>42874</v>
      </c>
      <c r="B7079">
        <v>1</v>
      </c>
      <c r="C7079">
        <v>4</v>
      </c>
      <c r="D7079">
        <v>26</v>
      </c>
    </row>
    <row r="7080" spans="1:4" x14ac:dyDescent="0.25">
      <c r="A7080" s="1">
        <v>42875</v>
      </c>
      <c r="B7080">
        <v>1</v>
      </c>
      <c r="C7080">
        <v>4</v>
      </c>
      <c r="D7080">
        <v>33</v>
      </c>
    </row>
    <row r="7081" spans="1:4" x14ac:dyDescent="0.25">
      <c r="A7081" s="1">
        <v>42876</v>
      </c>
      <c r="B7081">
        <v>1</v>
      </c>
      <c r="C7081">
        <v>4</v>
      </c>
      <c r="D7081">
        <v>30</v>
      </c>
    </row>
    <row r="7082" spans="1:4" x14ac:dyDescent="0.25">
      <c r="A7082" s="1">
        <v>42877</v>
      </c>
      <c r="B7082">
        <v>1</v>
      </c>
      <c r="C7082">
        <v>4</v>
      </c>
      <c r="D7082">
        <v>22</v>
      </c>
    </row>
    <row r="7083" spans="1:4" x14ac:dyDescent="0.25">
      <c r="A7083" s="1">
        <v>42878</v>
      </c>
      <c r="B7083">
        <v>1</v>
      </c>
      <c r="C7083">
        <v>4</v>
      </c>
      <c r="D7083">
        <v>22</v>
      </c>
    </row>
    <row r="7084" spans="1:4" x14ac:dyDescent="0.25">
      <c r="A7084" s="1">
        <v>42879</v>
      </c>
      <c r="B7084">
        <v>1</v>
      </c>
      <c r="C7084">
        <v>4</v>
      </c>
      <c r="D7084">
        <v>28</v>
      </c>
    </row>
    <row r="7085" spans="1:4" x14ac:dyDescent="0.25">
      <c r="A7085" s="1">
        <v>42880</v>
      </c>
      <c r="B7085">
        <v>1</v>
      </c>
      <c r="C7085">
        <v>4</v>
      </c>
      <c r="D7085">
        <v>26</v>
      </c>
    </row>
    <row r="7086" spans="1:4" x14ac:dyDescent="0.25">
      <c r="A7086" s="1">
        <v>42881</v>
      </c>
      <c r="B7086">
        <v>1</v>
      </c>
      <c r="C7086">
        <v>4</v>
      </c>
      <c r="D7086">
        <v>33</v>
      </c>
    </row>
    <row r="7087" spans="1:4" x14ac:dyDescent="0.25">
      <c r="A7087" s="1">
        <v>42882</v>
      </c>
      <c r="B7087">
        <v>1</v>
      </c>
      <c r="C7087">
        <v>4</v>
      </c>
      <c r="D7087">
        <v>24</v>
      </c>
    </row>
    <row r="7088" spans="1:4" x14ac:dyDescent="0.25">
      <c r="A7088" s="1">
        <v>42883</v>
      </c>
      <c r="B7088">
        <v>1</v>
      </c>
      <c r="C7088">
        <v>4</v>
      </c>
      <c r="D7088">
        <v>26</v>
      </c>
    </row>
    <row r="7089" spans="1:4" x14ac:dyDescent="0.25">
      <c r="A7089" s="1">
        <v>42884</v>
      </c>
      <c r="B7089">
        <v>1</v>
      </c>
      <c r="C7089">
        <v>4</v>
      </c>
      <c r="D7089">
        <v>14</v>
      </c>
    </row>
    <row r="7090" spans="1:4" x14ac:dyDescent="0.25">
      <c r="A7090" s="1">
        <v>42885</v>
      </c>
      <c r="B7090">
        <v>1</v>
      </c>
      <c r="C7090">
        <v>4</v>
      </c>
      <c r="D7090">
        <v>26</v>
      </c>
    </row>
    <row r="7091" spans="1:4" x14ac:dyDescent="0.25">
      <c r="A7091" s="1">
        <v>42886</v>
      </c>
      <c r="B7091">
        <v>1</v>
      </c>
      <c r="C7091">
        <v>4</v>
      </c>
      <c r="D7091">
        <v>25</v>
      </c>
    </row>
    <row r="7092" spans="1:4" x14ac:dyDescent="0.25">
      <c r="A7092" s="1">
        <v>42887</v>
      </c>
      <c r="B7092">
        <v>1</v>
      </c>
      <c r="C7092">
        <v>4</v>
      </c>
      <c r="D7092">
        <v>22</v>
      </c>
    </row>
    <row r="7093" spans="1:4" x14ac:dyDescent="0.25">
      <c r="A7093" s="1">
        <v>42888</v>
      </c>
      <c r="B7093">
        <v>1</v>
      </c>
      <c r="C7093">
        <v>4</v>
      </c>
      <c r="D7093">
        <v>19</v>
      </c>
    </row>
    <row r="7094" spans="1:4" x14ac:dyDescent="0.25">
      <c r="A7094" s="1">
        <v>42889</v>
      </c>
      <c r="B7094">
        <v>1</v>
      </c>
      <c r="C7094">
        <v>4</v>
      </c>
      <c r="D7094">
        <v>34</v>
      </c>
    </row>
    <row r="7095" spans="1:4" x14ac:dyDescent="0.25">
      <c r="A7095" s="1">
        <v>42890</v>
      </c>
      <c r="B7095">
        <v>1</v>
      </c>
      <c r="C7095">
        <v>4</v>
      </c>
      <c r="D7095">
        <v>36</v>
      </c>
    </row>
    <row r="7096" spans="1:4" x14ac:dyDescent="0.25">
      <c r="A7096" s="1">
        <v>42891</v>
      </c>
      <c r="B7096">
        <v>1</v>
      </c>
      <c r="C7096">
        <v>4</v>
      </c>
      <c r="D7096">
        <v>24</v>
      </c>
    </row>
    <row r="7097" spans="1:4" x14ac:dyDescent="0.25">
      <c r="A7097" s="1">
        <v>42892</v>
      </c>
      <c r="B7097">
        <v>1</v>
      </c>
      <c r="C7097">
        <v>4</v>
      </c>
      <c r="D7097">
        <v>27</v>
      </c>
    </row>
    <row r="7098" spans="1:4" x14ac:dyDescent="0.25">
      <c r="A7098" s="1">
        <v>42893</v>
      </c>
      <c r="B7098">
        <v>1</v>
      </c>
      <c r="C7098">
        <v>4</v>
      </c>
      <c r="D7098">
        <v>20</v>
      </c>
    </row>
    <row r="7099" spans="1:4" x14ac:dyDescent="0.25">
      <c r="A7099" s="1">
        <v>42894</v>
      </c>
      <c r="B7099">
        <v>1</v>
      </c>
      <c r="C7099">
        <v>4</v>
      </c>
      <c r="D7099">
        <v>31</v>
      </c>
    </row>
    <row r="7100" spans="1:4" x14ac:dyDescent="0.25">
      <c r="A7100" s="1">
        <v>42895</v>
      </c>
      <c r="B7100">
        <v>1</v>
      </c>
      <c r="C7100">
        <v>4</v>
      </c>
      <c r="D7100">
        <v>25</v>
      </c>
    </row>
    <row r="7101" spans="1:4" x14ac:dyDescent="0.25">
      <c r="A7101" s="1">
        <v>42896</v>
      </c>
      <c r="B7101">
        <v>1</v>
      </c>
      <c r="C7101">
        <v>4</v>
      </c>
      <c r="D7101">
        <v>40</v>
      </c>
    </row>
    <row r="7102" spans="1:4" x14ac:dyDescent="0.25">
      <c r="A7102" s="1">
        <v>42897</v>
      </c>
      <c r="B7102">
        <v>1</v>
      </c>
      <c r="C7102">
        <v>4</v>
      </c>
      <c r="D7102">
        <v>29</v>
      </c>
    </row>
    <row r="7103" spans="1:4" x14ac:dyDescent="0.25">
      <c r="A7103" s="1">
        <v>42898</v>
      </c>
      <c r="B7103">
        <v>1</v>
      </c>
      <c r="C7103">
        <v>4</v>
      </c>
      <c r="D7103">
        <v>30</v>
      </c>
    </row>
    <row r="7104" spans="1:4" x14ac:dyDescent="0.25">
      <c r="A7104" s="1">
        <v>42899</v>
      </c>
      <c r="B7104">
        <v>1</v>
      </c>
      <c r="C7104">
        <v>4</v>
      </c>
      <c r="D7104">
        <v>28</v>
      </c>
    </row>
    <row r="7105" spans="1:4" x14ac:dyDescent="0.25">
      <c r="A7105" s="1">
        <v>42900</v>
      </c>
      <c r="B7105">
        <v>1</v>
      </c>
      <c r="C7105">
        <v>4</v>
      </c>
      <c r="D7105">
        <v>17</v>
      </c>
    </row>
    <row r="7106" spans="1:4" x14ac:dyDescent="0.25">
      <c r="A7106" s="1">
        <v>42901</v>
      </c>
      <c r="B7106">
        <v>1</v>
      </c>
      <c r="C7106">
        <v>4</v>
      </c>
      <c r="D7106">
        <v>23</v>
      </c>
    </row>
    <row r="7107" spans="1:4" x14ac:dyDescent="0.25">
      <c r="A7107" s="1">
        <v>42902</v>
      </c>
      <c r="B7107">
        <v>1</v>
      </c>
      <c r="C7107">
        <v>4</v>
      </c>
      <c r="D7107">
        <v>27</v>
      </c>
    </row>
    <row r="7108" spans="1:4" x14ac:dyDescent="0.25">
      <c r="A7108" s="1">
        <v>42903</v>
      </c>
      <c r="B7108">
        <v>1</v>
      </c>
      <c r="C7108">
        <v>4</v>
      </c>
      <c r="D7108">
        <v>18</v>
      </c>
    </row>
    <row r="7109" spans="1:4" x14ac:dyDescent="0.25">
      <c r="A7109" s="1">
        <v>42904</v>
      </c>
      <c r="B7109">
        <v>1</v>
      </c>
      <c r="C7109">
        <v>4</v>
      </c>
      <c r="D7109">
        <v>36</v>
      </c>
    </row>
    <row r="7110" spans="1:4" x14ac:dyDescent="0.25">
      <c r="A7110" s="1">
        <v>42905</v>
      </c>
      <c r="B7110">
        <v>1</v>
      </c>
      <c r="C7110">
        <v>4</v>
      </c>
      <c r="D7110">
        <v>22</v>
      </c>
    </row>
    <row r="7111" spans="1:4" x14ac:dyDescent="0.25">
      <c r="A7111" s="1">
        <v>42906</v>
      </c>
      <c r="B7111">
        <v>1</v>
      </c>
      <c r="C7111">
        <v>4</v>
      </c>
      <c r="D7111">
        <v>27</v>
      </c>
    </row>
    <row r="7112" spans="1:4" x14ac:dyDescent="0.25">
      <c r="A7112" s="1">
        <v>42907</v>
      </c>
      <c r="B7112">
        <v>1</v>
      </c>
      <c r="C7112">
        <v>4</v>
      </c>
      <c r="D7112">
        <v>22</v>
      </c>
    </row>
    <row r="7113" spans="1:4" x14ac:dyDescent="0.25">
      <c r="A7113" s="1">
        <v>42908</v>
      </c>
      <c r="B7113">
        <v>1</v>
      </c>
      <c r="C7113">
        <v>4</v>
      </c>
      <c r="D7113">
        <v>27</v>
      </c>
    </row>
    <row r="7114" spans="1:4" x14ac:dyDescent="0.25">
      <c r="A7114" s="1">
        <v>42909</v>
      </c>
      <c r="B7114">
        <v>1</v>
      </c>
      <c r="C7114">
        <v>4</v>
      </c>
      <c r="D7114">
        <v>27</v>
      </c>
    </row>
    <row r="7115" spans="1:4" x14ac:dyDescent="0.25">
      <c r="A7115" s="1">
        <v>42910</v>
      </c>
      <c r="B7115">
        <v>1</v>
      </c>
      <c r="C7115">
        <v>4</v>
      </c>
      <c r="D7115">
        <v>41</v>
      </c>
    </row>
    <row r="7116" spans="1:4" x14ac:dyDescent="0.25">
      <c r="A7116" s="1">
        <v>42911</v>
      </c>
      <c r="B7116">
        <v>1</v>
      </c>
      <c r="C7116">
        <v>4</v>
      </c>
      <c r="D7116">
        <v>34</v>
      </c>
    </row>
    <row r="7117" spans="1:4" x14ac:dyDescent="0.25">
      <c r="A7117" s="1">
        <v>42912</v>
      </c>
      <c r="B7117">
        <v>1</v>
      </c>
      <c r="C7117">
        <v>4</v>
      </c>
      <c r="D7117">
        <v>22</v>
      </c>
    </row>
    <row r="7118" spans="1:4" x14ac:dyDescent="0.25">
      <c r="A7118" s="1">
        <v>42913</v>
      </c>
      <c r="B7118">
        <v>1</v>
      </c>
      <c r="C7118">
        <v>4</v>
      </c>
      <c r="D7118">
        <v>27</v>
      </c>
    </row>
    <row r="7119" spans="1:4" x14ac:dyDescent="0.25">
      <c r="A7119" s="1">
        <v>42914</v>
      </c>
      <c r="B7119">
        <v>1</v>
      </c>
      <c r="C7119">
        <v>4</v>
      </c>
      <c r="D7119">
        <v>18</v>
      </c>
    </row>
    <row r="7120" spans="1:4" x14ac:dyDescent="0.25">
      <c r="A7120" s="1">
        <v>42915</v>
      </c>
      <c r="B7120">
        <v>1</v>
      </c>
      <c r="C7120">
        <v>4</v>
      </c>
      <c r="D7120">
        <v>32</v>
      </c>
    </row>
    <row r="7121" spans="1:4" x14ac:dyDescent="0.25">
      <c r="A7121" s="1">
        <v>42916</v>
      </c>
      <c r="B7121">
        <v>1</v>
      </c>
      <c r="C7121">
        <v>4</v>
      </c>
      <c r="D7121">
        <v>29</v>
      </c>
    </row>
    <row r="7122" spans="1:4" x14ac:dyDescent="0.25">
      <c r="A7122" s="1">
        <v>42917</v>
      </c>
      <c r="B7122">
        <v>1</v>
      </c>
      <c r="C7122">
        <v>4</v>
      </c>
      <c r="D7122">
        <v>37</v>
      </c>
    </row>
    <row r="7123" spans="1:4" x14ac:dyDescent="0.25">
      <c r="A7123" s="1">
        <v>42918</v>
      </c>
      <c r="B7123">
        <v>1</v>
      </c>
      <c r="C7123">
        <v>4</v>
      </c>
      <c r="D7123">
        <v>39</v>
      </c>
    </row>
    <row r="7124" spans="1:4" x14ac:dyDescent="0.25">
      <c r="A7124" s="1">
        <v>42919</v>
      </c>
      <c r="B7124">
        <v>1</v>
      </c>
      <c r="C7124">
        <v>4</v>
      </c>
      <c r="D7124">
        <v>18</v>
      </c>
    </row>
    <row r="7125" spans="1:4" x14ac:dyDescent="0.25">
      <c r="A7125" s="1">
        <v>42920</v>
      </c>
      <c r="B7125">
        <v>1</v>
      </c>
      <c r="C7125">
        <v>4</v>
      </c>
      <c r="D7125">
        <v>30</v>
      </c>
    </row>
    <row r="7126" spans="1:4" x14ac:dyDescent="0.25">
      <c r="A7126" s="1">
        <v>42921</v>
      </c>
      <c r="B7126">
        <v>1</v>
      </c>
      <c r="C7126">
        <v>4</v>
      </c>
      <c r="D7126">
        <v>30</v>
      </c>
    </row>
    <row r="7127" spans="1:4" x14ac:dyDescent="0.25">
      <c r="A7127" s="1">
        <v>42922</v>
      </c>
      <c r="B7127">
        <v>1</v>
      </c>
      <c r="C7127">
        <v>4</v>
      </c>
      <c r="D7127">
        <v>26</v>
      </c>
    </row>
    <row r="7128" spans="1:4" x14ac:dyDescent="0.25">
      <c r="A7128" s="1">
        <v>42923</v>
      </c>
      <c r="B7128">
        <v>1</v>
      </c>
      <c r="C7128">
        <v>4</v>
      </c>
      <c r="D7128">
        <v>35</v>
      </c>
    </row>
    <row r="7129" spans="1:4" x14ac:dyDescent="0.25">
      <c r="A7129" s="1">
        <v>42924</v>
      </c>
      <c r="B7129">
        <v>1</v>
      </c>
      <c r="C7129">
        <v>4</v>
      </c>
      <c r="D7129">
        <v>35</v>
      </c>
    </row>
    <row r="7130" spans="1:4" x14ac:dyDescent="0.25">
      <c r="A7130" s="1">
        <v>42925</v>
      </c>
      <c r="B7130">
        <v>1</v>
      </c>
      <c r="C7130">
        <v>4</v>
      </c>
      <c r="D7130">
        <v>39</v>
      </c>
    </row>
    <row r="7131" spans="1:4" x14ac:dyDescent="0.25">
      <c r="A7131" s="1">
        <v>42926</v>
      </c>
      <c r="B7131">
        <v>1</v>
      </c>
      <c r="C7131">
        <v>4</v>
      </c>
      <c r="D7131">
        <v>17</v>
      </c>
    </row>
    <row r="7132" spans="1:4" x14ac:dyDescent="0.25">
      <c r="A7132" s="1">
        <v>42927</v>
      </c>
      <c r="B7132">
        <v>1</v>
      </c>
      <c r="C7132">
        <v>4</v>
      </c>
      <c r="D7132">
        <v>22</v>
      </c>
    </row>
    <row r="7133" spans="1:4" x14ac:dyDescent="0.25">
      <c r="A7133" s="1">
        <v>42928</v>
      </c>
      <c r="B7133">
        <v>1</v>
      </c>
      <c r="C7133">
        <v>4</v>
      </c>
      <c r="D7133">
        <v>27</v>
      </c>
    </row>
    <row r="7134" spans="1:4" x14ac:dyDescent="0.25">
      <c r="A7134" s="1">
        <v>42929</v>
      </c>
      <c r="B7134">
        <v>1</v>
      </c>
      <c r="C7134">
        <v>4</v>
      </c>
      <c r="D7134">
        <v>35</v>
      </c>
    </row>
    <row r="7135" spans="1:4" x14ac:dyDescent="0.25">
      <c r="A7135" s="1">
        <v>42930</v>
      </c>
      <c r="B7135">
        <v>1</v>
      </c>
      <c r="C7135">
        <v>4</v>
      </c>
      <c r="D7135">
        <v>31</v>
      </c>
    </row>
    <row r="7136" spans="1:4" x14ac:dyDescent="0.25">
      <c r="A7136" s="1">
        <v>42931</v>
      </c>
      <c r="B7136">
        <v>1</v>
      </c>
      <c r="C7136">
        <v>4</v>
      </c>
      <c r="D7136">
        <v>38</v>
      </c>
    </row>
    <row r="7137" spans="1:4" x14ac:dyDescent="0.25">
      <c r="A7137" s="1">
        <v>42932</v>
      </c>
      <c r="B7137">
        <v>1</v>
      </c>
      <c r="C7137">
        <v>4</v>
      </c>
      <c r="D7137">
        <v>26</v>
      </c>
    </row>
    <row r="7138" spans="1:4" x14ac:dyDescent="0.25">
      <c r="A7138" s="1">
        <v>42933</v>
      </c>
      <c r="B7138">
        <v>1</v>
      </c>
      <c r="C7138">
        <v>4</v>
      </c>
      <c r="D7138">
        <v>22</v>
      </c>
    </row>
    <row r="7139" spans="1:4" x14ac:dyDescent="0.25">
      <c r="A7139" s="1">
        <v>42934</v>
      </c>
      <c r="B7139">
        <v>1</v>
      </c>
      <c r="C7139">
        <v>4</v>
      </c>
      <c r="D7139">
        <v>21</v>
      </c>
    </row>
    <row r="7140" spans="1:4" x14ac:dyDescent="0.25">
      <c r="A7140" s="1">
        <v>42935</v>
      </c>
      <c r="B7140">
        <v>1</v>
      </c>
      <c r="C7140">
        <v>4</v>
      </c>
      <c r="D7140">
        <v>22</v>
      </c>
    </row>
    <row r="7141" spans="1:4" x14ac:dyDescent="0.25">
      <c r="A7141" s="1">
        <v>42936</v>
      </c>
      <c r="B7141">
        <v>1</v>
      </c>
      <c r="C7141">
        <v>4</v>
      </c>
      <c r="D7141">
        <v>23</v>
      </c>
    </row>
    <row r="7142" spans="1:4" x14ac:dyDescent="0.25">
      <c r="A7142" s="1">
        <v>42937</v>
      </c>
      <c r="B7142">
        <v>1</v>
      </c>
      <c r="C7142">
        <v>4</v>
      </c>
      <c r="D7142">
        <v>41</v>
      </c>
    </row>
    <row r="7143" spans="1:4" x14ac:dyDescent="0.25">
      <c r="A7143" s="1">
        <v>42938</v>
      </c>
      <c r="B7143">
        <v>1</v>
      </c>
      <c r="C7143">
        <v>4</v>
      </c>
      <c r="D7143">
        <v>28</v>
      </c>
    </row>
    <row r="7144" spans="1:4" x14ac:dyDescent="0.25">
      <c r="A7144" s="1">
        <v>42939</v>
      </c>
      <c r="B7144">
        <v>1</v>
      </c>
      <c r="C7144">
        <v>4</v>
      </c>
      <c r="D7144">
        <v>40</v>
      </c>
    </row>
    <row r="7145" spans="1:4" x14ac:dyDescent="0.25">
      <c r="A7145" s="1">
        <v>42940</v>
      </c>
      <c r="B7145">
        <v>1</v>
      </c>
      <c r="C7145">
        <v>4</v>
      </c>
      <c r="D7145">
        <v>19</v>
      </c>
    </row>
    <row r="7146" spans="1:4" x14ac:dyDescent="0.25">
      <c r="A7146" s="1">
        <v>42941</v>
      </c>
      <c r="B7146">
        <v>1</v>
      </c>
      <c r="C7146">
        <v>4</v>
      </c>
      <c r="D7146">
        <v>29</v>
      </c>
    </row>
    <row r="7147" spans="1:4" x14ac:dyDescent="0.25">
      <c r="A7147" s="1">
        <v>42942</v>
      </c>
      <c r="B7147">
        <v>1</v>
      </c>
      <c r="C7147">
        <v>4</v>
      </c>
      <c r="D7147">
        <v>26</v>
      </c>
    </row>
    <row r="7148" spans="1:4" x14ac:dyDescent="0.25">
      <c r="A7148" s="1">
        <v>42943</v>
      </c>
      <c r="B7148">
        <v>1</v>
      </c>
      <c r="C7148">
        <v>4</v>
      </c>
      <c r="D7148">
        <v>33</v>
      </c>
    </row>
    <row r="7149" spans="1:4" x14ac:dyDescent="0.25">
      <c r="A7149" s="1">
        <v>42944</v>
      </c>
      <c r="B7149">
        <v>1</v>
      </c>
      <c r="C7149">
        <v>4</v>
      </c>
      <c r="D7149">
        <v>40</v>
      </c>
    </row>
    <row r="7150" spans="1:4" x14ac:dyDescent="0.25">
      <c r="A7150" s="1">
        <v>42945</v>
      </c>
      <c r="B7150">
        <v>1</v>
      </c>
      <c r="C7150">
        <v>4</v>
      </c>
      <c r="D7150">
        <v>30</v>
      </c>
    </row>
    <row r="7151" spans="1:4" x14ac:dyDescent="0.25">
      <c r="A7151" s="1">
        <v>42946</v>
      </c>
      <c r="B7151">
        <v>1</v>
      </c>
      <c r="C7151">
        <v>4</v>
      </c>
      <c r="D7151">
        <v>31</v>
      </c>
    </row>
    <row r="7152" spans="1:4" x14ac:dyDescent="0.25">
      <c r="A7152" s="1">
        <v>42947</v>
      </c>
      <c r="B7152">
        <v>1</v>
      </c>
      <c r="C7152">
        <v>4</v>
      </c>
      <c r="D7152">
        <v>27</v>
      </c>
    </row>
    <row r="7153" spans="1:4" x14ac:dyDescent="0.25">
      <c r="A7153" s="1">
        <v>42948</v>
      </c>
      <c r="B7153">
        <v>1</v>
      </c>
      <c r="C7153">
        <v>4</v>
      </c>
      <c r="D7153">
        <v>16</v>
      </c>
    </row>
    <row r="7154" spans="1:4" x14ac:dyDescent="0.25">
      <c r="A7154" s="1">
        <v>42949</v>
      </c>
      <c r="B7154">
        <v>1</v>
      </c>
      <c r="C7154">
        <v>4</v>
      </c>
      <c r="D7154">
        <v>20</v>
      </c>
    </row>
    <row r="7155" spans="1:4" x14ac:dyDescent="0.25">
      <c r="A7155" s="1">
        <v>42950</v>
      </c>
      <c r="B7155">
        <v>1</v>
      </c>
      <c r="C7155">
        <v>4</v>
      </c>
      <c r="D7155">
        <v>24</v>
      </c>
    </row>
    <row r="7156" spans="1:4" x14ac:dyDescent="0.25">
      <c r="A7156" s="1">
        <v>42951</v>
      </c>
      <c r="B7156">
        <v>1</v>
      </c>
      <c r="C7156">
        <v>4</v>
      </c>
      <c r="D7156">
        <v>25</v>
      </c>
    </row>
    <row r="7157" spans="1:4" x14ac:dyDescent="0.25">
      <c r="A7157" s="1">
        <v>42952</v>
      </c>
      <c r="B7157">
        <v>1</v>
      </c>
      <c r="C7157">
        <v>4</v>
      </c>
      <c r="D7157">
        <v>26</v>
      </c>
    </row>
    <row r="7158" spans="1:4" x14ac:dyDescent="0.25">
      <c r="A7158" s="1">
        <v>42953</v>
      </c>
      <c r="B7158">
        <v>1</v>
      </c>
      <c r="C7158">
        <v>4</v>
      </c>
      <c r="D7158">
        <v>23</v>
      </c>
    </row>
    <row r="7159" spans="1:4" x14ac:dyDescent="0.25">
      <c r="A7159" s="1">
        <v>42954</v>
      </c>
      <c r="B7159">
        <v>1</v>
      </c>
      <c r="C7159">
        <v>4</v>
      </c>
      <c r="D7159">
        <v>23</v>
      </c>
    </row>
    <row r="7160" spans="1:4" x14ac:dyDescent="0.25">
      <c r="A7160" s="1">
        <v>42955</v>
      </c>
      <c r="B7160">
        <v>1</v>
      </c>
      <c r="C7160">
        <v>4</v>
      </c>
      <c r="D7160">
        <v>24</v>
      </c>
    </row>
    <row r="7161" spans="1:4" x14ac:dyDescent="0.25">
      <c r="A7161" s="1">
        <v>42956</v>
      </c>
      <c r="B7161">
        <v>1</v>
      </c>
      <c r="C7161">
        <v>4</v>
      </c>
      <c r="D7161">
        <v>26</v>
      </c>
    </row>
    <row r="7162" spans="1:4" x14ac:dyDescent="0.25">
      <c r="A7162" s="1">
        <v>42957</v>
      </c>
      <c r="B7162">
        <v>1</v>
      </c>
      <c r="C7162">
        <v>4</v>
      </c>
      <c r="D7162">
        <v>21</v>
      </c>
    </row>
    <row r="7163" spans="1:4" x14ac:dyDescent="0.25">
      <c r="A7163" s="1">
        <v>42958</v>
      </c>
      <c r="B7163">
        <v>1</v>
      </c>
      <c r="C7163">
        <v>4</v>
      </c>
      <c r="D7163">
        <v>23</v>
      </c>
    </row>
    <row r="7164" spans="1:4" x14ac:dyDescent="0.25">
      <c r="A7164" s="1">
        <v>42959</v>
      </c>
      <c r="B7164">
        <v>1</v>
      </c>
      <c r="C7164">
        <v>4</v>
      </c>
      <c r="D7164">
        <v>39</v>
      </c>
    </row>
    <row r="7165" spans="1:4" x14ac:dyDescent="0.25">
      <c r="A7165" s="1">
        <v>42960</v>
      </c>
      <c r="B7165">
        <v>1</v>
      </c>
      <c r="C7165">
        <v>4</v>
      </c>
      <c r="D7165">
        <v>34</v>
      </c>
    </row>
    <row r="7166" spans="1:4" x14ac:dyDescent="0.25">
      <c r="A7166" s="1">
        <v>42961</v>
      </c>
      <c r="B7166">
        <v>1</v>
      </c>
      <c r="C7166">
        <v>4</v>
      </c>
      <c r="D7166">
        <v>23</v>
      </c>
    </row>
    <row r="7167" spans="1:4" x14ac:dyDescent="0.25">
      <c r="A7167" s="1">
        <v>42962</v>
      </c>
      <c r="B7167">
        <v>1</v>
      </c>
      <c r="C7167">
        <v>4</v>
      </c>
      <c r="D7167">
        <v>16</v>
      </c>
    </row>
    <row r="7168" spans="1:4" x14ac:dyDescent="0.25">
      <c r="A7168" s="1">
        <v>42963</v>
      </c>
      <c r="B7168">
        <v>1</v>
      </c>
      <c r="C7168">
        <v>4</v>
      </c>
      <c r="D7168">
        <v>16</v>
      </c>
    </row>
    <row r="7169" spans="1:4" x14ac:dyDescent="0.25">
      <c r="A7169" s="1">
        <v>42964</v>
      </c>
      <c r="B7169">
        <v>1</v>
      </c>
      <c r="C7169">
        <v>4</v>
      </c>
      <c r="D7169">
        <v>28</v>
      </c>
    </row>
    <row r="7170" spans="1:4" x14ac:dyDescent="0.25">
      <c r="A7170" s="1">
        <v>42965</v>
      </c>
      <c r="B7170">
        <v>1</v>
      </c>
      <c r="C7170">
        <v>4</v>
      </c>
      <c r="D7170">
        <v>31</v>
      </c>
    </row>
    <row r="7171" spans="1:4" x14ac:dyDescent="0.25">
      <c r="A7171" s="1">
        <v>42966</v>
      </c>
      <c r="B7171">
        <v>1</v>
      </c>
      <c r="C7171">
        <v>4</v>
      </c>
      <c r="D7171">
        <v>37</v>
      </c>
    </row>
    <row r="7172" spans="1:4" x14ac:dyDescent="0.25">
      <c r="A7172" s="1">
        <v>42967</v>
      </c>
      <c r="B7172">
        <v>1</v>
      </c>
      <c r="C7172">
        <v>4</v>
      </c>
      <c r="D7172">
        <v>27</v>
      </c>
    </row>
    <row r="7173" spans="1:4" x14ac:dyDescent="0.25">
      <c r="A7173" s="1">
        <v>42968</v>
      </c>
      <c r="B7173">
        <v>1</v>
      </c>
      <c r="C7173">
        <v>4</v>
      </c>
      <c r="D7173">
        <v>16</v>
      </c>
    </row>
    <row r="7174" spans="1:4" x14ac:dyDescent="0.25">
      <c r="A7174" s="1">
        <v>42969</v>
      </c>
      <c r="B7174">
        <v>1</v>
      </c>
      <c r="C7174">
        <v>4</v>
      </c>
      <c r="D7174">
        <v>22</v>
      </c>
    </row>
    <row r="7175" spans="1:4" x14ac:dyDescent="0.25">
      <c r="A7175" s="1">
        <v>42970</v>
      </c>
      <c r="B7175">
        <v>1</v>
      </c>
      <c r="C7175">
        <v>4</v>
      </c>
      <c r="D7175">
        <v>23</v>
      </c>
    </row>
    <row r="7176" spans="1:4" x14ac:dyDescent="0.25">
      <c r="A7176" s="1">
        <v>42971</v>
      </c>
      <c r="B7176">
        <v>1</v>
      </c>
      <c r="C7176">
        <v>4</v>
      </c>
      <c r="D7176">
        <v>33</v>
      </c>
    </row>
    <row r="7177" spans="1:4" x14ac:dyDescent="0.25">
      <c r="A7177" s="1">
        <v>42972</v>
      </c>
      <c r="B7177">
        <v>1</v>
      </c>
      <c r="C7177">
        <v>4</v>
      </c>
      <c r="D7177">
        <v>23</v>
      </c>
    </row>
    <row r="7178" spans="1:4" x14ac:dyDescent="0.25">
      <c r="A7178" s="1">
        <v>42973</v>
      </c>
      <c r="B7178">
        <v>1</v>
      </c>
      <c r="C7178">
        <v>4</v>
      </c>
      <c r="D7178">
        <v>26</v>
      </c>
    </row>
    <row r="7179" spans="1:4" x14ac:dyDescent="0.25">
      <c r="A7179" s="1">
        <v>42974</v>
      </c>
      <c r="B7179">
        <v>1</v>
      </c>
      <c r="C7179">
        <v>4</v>
      </c>
      <c r="D7179">
        <v>43</v>
      </c>
    </row>
    <row r="7180" spans="1:4" x14ac:dyDescent="0.25">
      <c r="A7180" s="1">
        <v>42975</v>
      </c>
      <c r="B7180">
        <v>1</v>
      </c>
      <c r="C7180">
        <v>4</v>
      </c>
      <c r="D7180">
        <v>17</v>
      </c>
    </row>
    <row r="7181" spans="1:4" x14ac:dyDescent="0.25">
      <c r="A7181" s="1">
        <v>42976</v>
      </c>
      <c r="B7181">
        <v>1</v>
      </c>
      <c r="C7181">
        <v>4</v>
      </c>
      <c r="D7181">
        <v>26</v>
      </c>
    </row>
    <row r="7182" spans="1:4" x14ac:dyDescent="0.25">
      <c r="A7182" s="1">
        <v>42977</v>
      </c>
      <c r="B7182">
        <v>1</v>
      </c>
      <c r="C7182">
        <v>4</v>
      </c>
      <c r="D7182">
        <v>22</v>
      </c>
    </row>
    <row r="7183" spans="1:4" x14ac:dyDescent="0.25">
      <c r="A7183" s="1">
        <v>42978</v>
      </c>
      <c r="B7183">
        <v>1</v>
      </c>
      <c r="C7183">
        <v>4</v>
      </c>
      <c r="D7183">
        <v>27</v>
      </c>
    </row>
    <row r="7184" spans="1:4" x14ac:dyDescent="0.25">
      <c r="A7184" s="1">
        <v>42979</v>
      </c>
      <c r="B7184">
        <v>1</v>
      </c>
      <c r="C7184">
        <v>4</v>
      </c>
      <c r="D7184">
        <v>20</v>
      </c>
    </row>
    <row r="7185" spans="1:4" x14ac:dyDescent="0.25">
      <c r="A7185" s="1">
        <v>42980</v>
      </c>
      <c r="B7185">
        <v>1</v>
      </c>
      <c r="C7185">
        <v>4</v>
      </c>
      <c r="D7185">
        <v>22</v>
      </c>
    </row>
    <row r="7186" spans="1:4" x14ac:dyDescent="0.25">
      <c r="A7186" s="1">
        <v>42981</v>
      </c>
      <c r="B7186">
        <v>1</v>
      </c>
      <c r="C7186">
        <v>4</v>
      </c>
      <c r="D7186">
        <v>20</v>
      </c>
    </row>
    <row r="7187" spans="1:4" x14ac:dyDescent="0.25">
      <c r="A7187" s="1">
        <v>42982</v>
      </c>
      <c r="B7187">
        <v>1</v>
      </c>
      <c r="C7187">
        <v>4</v>
      </c>
      <c r="D7187">
        <v>24</v>
      </c>
    </row>
    <row r="7188" spans="1:4" x14ac:dyDescent="0.25">
      <c r="A7188" s="1">
        <v>42983</v>
      </c>
      <c r="B7188">
        <v>1</v>
      </c>
      <c r="C7188">
        <v>4</v>
      </c>
      <c r="D7188">
        <v>20</v>
      </c>
    </row>
    <row r="7189" spans="1:4" x14ac:dyDescent="0.25">
      <c r="A7189" s="1">
        <v>42984</v>
      </c>
      <c r="B7189">
        <v>1</v>
      </c>
      <c r="C7189">
        <v>4</v>
      </c>
      <c r="D7189">
        <v>21</v>
      </c>
    </row>
    <row r="7190" spans="1:4" x14ac:dyDescent="0.25">
      <c r="A7190" s="1">
        <v>42985</v>
      </c>
      <c r="B7190">
        <v>1</v>
      </c>
      <c r="C7190">
        <v>4</v>
      </c>
      <c r="D7190">
        <v>20</v>
      </c>
    </row>
    <row r="7191" spans="1:4" x14ac:dyDescent="0.25">
      <c r="A7191" s="1">
        <v>42986</v>
      </c>
      <c r="B7191">
        <v>1</v>
      </c>
      <c r="C7191">
        <v>4</v>
      </c>
      <c r="D7191">
        <v>20</v>
      </c>
    </row>
    <row r="7192" spans="1:4" x14ac:dyDescent="0.25">
      <c r="A7192" s="1">
        <v>42987</v>
      </c>
      <c r="B7192">
        <v>1</v>
      </c>
      <c r="C7192">
        <v>4</v>
      </c>
      <c r="D7192">
        <v>20</v>
      </c>
    </row>
    <row r="7193" spans="1:4" x14ac:dyDescent="0.25">
      <c r="A7193" s="1">
        <v>42988</v>
      </c>
      <c r="B7193">
        <v>1</v>
      </c>
      <c r="C7193">
        <v>4</v>
      </c>
      <c r="D7193">
        <v>31</v>
      </c>
    </row>
    <row r="7194" spans="1:4" x14ac:dyDescent="0.25">
      <c r="A7194" s="1">
        <v>42989</v>
      </c>
      <c r="B7194">
        <v>1</v>
      </c>
      <c r="C7194">
        <v>4</v>
      </c>
      <c r="D7194">
        <v>15</v>
      </c>
    </row>
    <row r="7195" spans="1:4" x14ac:dyDescent="0.25">
      <c r="A7195" s="1">
        <v>42990</v>
      </c>
      <c r="B7195">
        <v>1</v>
      </c>
      <c r="C7195">
        <v>4</v>
      </c>
      <c r="D7195">
        <v>24</v>
      </c>
    </row>
    <row r="7196" spans="1:4" x14ac:dyDescent="0.25">
      <c r="A7196" s="1">
        <v>42991</v>
      </c>
      <c r="B7196">
        <v>1</v>
      </c>
      <c r="C7196">
        <v>4</v>
      </c>
      <c r="D7196">
        <v>23</v>
      </c>
    </row>
    <row r="7197" spans="1:4" x14ac:dyDescent="0.25">
      <c r="A7197" s="1">
        <v>42992</v>
      </c>
      <c r="B7197">
        <v>1</v>
      </c>
      <c r="C7197">
        <v>4</v>
      </c>
      <c r="D7197">
        <v>26</v>
      </c>
    </row>
    <row r="7198" spans="1:4" x14ac:dyDescent="0.25">
      <c r="A7198" s="1">
        <v>42993</v>
      </c>
      <c r="B7198">
        <v>1</v>
      </c>
      <c r="C7198">
        <v>4</v>
      </c>
      <c r="D7198">
        <v>19</v>
      </c>
    </row>
    <row r="7199" spans="1:4" x14ac:dyDescent="0.25">
      <c r="A7199" s="1">
        <v>42994</v>
      </c>
      <c r="B7199">
        <v>1</v>
      </c>
      <c r="C7199">
        <v>4</v>
      </c>
      <c r="D7199">
        <v>15</v>
      </c>
    </row>
    <row r="7200" spans="1:4" x14ac:dyDescent="0.25">
      <c r="A7200" s="1">
        <v>42995</v>
      </c>
      <c r="B7200">
        <v>1</v>
      </c>
      <c r="C7200">
        <v>4</v>
      </c>
      <c r="D7200">
        <v>22</v>
      </c>
    </row>
    <row r="7201" spans="1:4" x14ac:dyDescent="0.25">
      <c r="A7201" s="1">
        <v>42996</v>
      </c>
      <c r="B7201">
        <v>1</v>
      </c>
      <c r="C7201">
        <v>4</v>
      </c>
      <c r="D7201">
        <v>16</v>
      </c>
    </row>
    <row r="7202" spans="1:4" x14ac:dyDescent="0.25">
      <c r="A7202" s="1">
        <v>42997</v>
      </c>
      <c r="B7202">
        <v>1</v>
      </c>
      <c r="C7202">
        <v>4</v>
      </c>
      <c r="D7202">
        <v>26</v>
      </c>
    </row>
    <row r="7203" spans="1:4" x14ac:dyDescent="0.25">
      <c r="A7203" s="1">
        <v>42998</v>
      </c>
      <c r="B7203">
        <v>1</v>
      </c>
      <c r="C7203">
        <v>4</v>
      </c>
      <c r="D7203">
        <v>22</v>
      </c>
    </row>
    <row r="7204" spans="1:4" x14ac:dyDescent="0.25">
      <c r="A7204" s="1">
        <v>42999</v>
      </c>
      <c r="B7204">
        <v>1</v>
      </c>
      <c r="C7204">
        <v>4</v>
      </c>
      <c r="D7204">
        <v>29</v>
      </c>
    </row>
    <row r="7205" spans="1:4" x14ac:dyDescent="0.25">
      <c r="A7205" s="1">
        <v>43000</v>
      </c>
      <c r="B7205">
        <v>1</v>
      </c>
      <c r="C7205">
        <v>4</v>
      </c>
      <c r="D7205">
        <v>23</v>
      </c>
    </row>
    <row r="7206" spans="1:4" x14ac:dyDescent="0.25">
      <c r="A7206" s="1">
        <v>43001</v>
      </c>
      <c r="B7206">
        <v>1</v>
      </c>
      <c r="C7206">
        <v>4</v>
      </c>
      <c r="D7206">
        <v>27</v>
      </c>
    </row>
    <row r="7207" spans="1:4" x14ac:dyDescent="0.25">
      <c r="A7207" s="1">
        <v>43002</v>
      </c>
      <c r="B7207">
        <v>1</v>
      </c>
      <c r="C7207">
        <v>4</v>
      </c>
      <c r="D7207">
        <v>21</v>
      </c>
    </row>
    <row r="7208" spans="1:4" x14ac:dyDescent="0.25">
      <c r="A7208" s="1">
        <v>43003</v>
      </c>
      <c r="B7208">
        <v>1</v>
      </c>
      <c r="C7208">
        <v>4</v>
      </c>
      <c r="D7208">
        <v>19</v>
      </c>
    </row>
    <row r="7209" spans="1:4" x14ac:dyDescent="0.25">
      <c r="A7209" s="1">
        <v>43004</v>
      </c>
      <c r="B7209">
        <v>1</v>
      </c>
      <c r="C7209">
        <v>4</v>
      </c>
      <c r="D7209">
        <v>19</v>
      </c>
    </row>
    <row r="7210" spans="1:4" x14ac:dyDescent="0.25">
      <c r="A7210" s="1">
        <v>43005</v>
      </c>
      <c r="B7210">
        <v>1</v>
      </c>
      <c r="C7210">
        <v>4</v>
      </c>
      <c r="D7210">
        <v>27</v>
      </c>
    </row>
    <row r="7211" spans="1:4" x14ac:dyDescent="0.25">
      <c r="A7211" s="1">
        <v>43006</v>
      </c>
      <c r="B7211">
        <v>1</v>
      </c>
      <c r="C7211">
        <v>4</v>
      </c>
      <c r="D7211">
        <v>17</v>
      </c>
    </row>
    <row r="7212" spans="1:4" x14ac:dyDescent="0.25">
      <c r="A7212" s="1">
        <v>43007</v>
      </c>
      <c r="B7212">
        <v>1</v>
      </c>
      <c r="C7212">
        <v>4</v>
      </c>
      <c r="D7212">
        <v>19</v>
      </c>
    </row>
    <row r="7213" spans="1:4" x14ac:dyDescent="0.25">
      <c r="A7213" s="1">
        <v>43008</v>
      </c>
      <c r="B7213">
        <v>1</v>
      </c>
      <c r="C7213">
        <v>4</v>
      </c>
      <c r="D7213">
        <v>22</v>
      </c>
    </row>
    <row r="7214" spans="1:4" x14ac:dyDescent="0.25">
      <c r="A7214" s="1">
        <v>43009</v>
      </c>
      <c r="B7214">
        <v>1</v>
      </c>
      <c r="C7214">
        <v>4</v>
      </c>
      <c r="D7214">
        <v>22</v>
      </c>
    </row>
    <row r="7215" spans="1:4" x14ac:dyDescent="0.25">
      <c r="A7215" s="1">
        <v>43010</v>
      </c>
      <c r="B7215">
        <v>1</v>
      </c>
      <c r="C7215">
        <v>4</v>
      </c>
      <c r="D7215">
        <v>21</v>
      </c>
    </row>
    <row r="7216" spans="1:4" x14ac:dyDescent="0.25">
      <c r="A7216" s="1">
        <v>43011</v>
      </c>
      <c r="B7216">
        <v>1</v>
      </c>
      <c r="C7216">
        <v>4</v>
      </c>
      <c r="D7216">
        <v>17</v>
      </c>
    </row>
    <row r="7217" spans="1:4" x14ac:dyDescent="0.25">
      <c r="A7217" s="1">
        <v>43012</v>
      </c>
      <c r="B7217">
        <v>1</v>
      </c>
      <c r="C7217">
        <v>4</v>
      </c>
      <c r="D7217">
        <v>24</v>
      </c>
    </row>
    <row r="7218" spans="1:4" x14ac:dyDescent="0.25">
      <c r="A7218" s="1">
        <v>43013</v>
      </c>
      <c r="B7218">
        <v>1</v>
      </c>
      <c r="C7218">
        <v>4</v>
      </c>
      <c r="D7218">
        <v>25</v>
      </c>
    </row>
    <row r="7219" spans="1:4" x14ac:dyDescent="0.25">
      <c r="A7219" s="1">
        <v>43014</v>
      </c>
      <c r="B7219">
        <v>1</v>
      </c>
      <c r="C7219">
        <v>4</v>
      </c>
      <c r="D7219">
        <v>23</v>
      </c>
    </row>
    <row r="7220" spans="1:4" x14ac:dyDescent="0.25">
      <c r="A7220" s="1">
        <v>43015</v>
      </c>
      <c r="B7220">
        <v>1</v>
      </c>
      <c r="C7220">
        <v>4</v>
      </c>
      <c r="D7220">
        <v>19</v>
      </c>
    </row>
    <row r="7221" spans="1:4" x14ac:dyDescent="0.25">
      <c r="A7221" s="1">
        <v>43016</v>
      </c>
      <c r="B7221">
        <v>1</v>
      </c>
      <c r="C7221">
        <v>4</v>
      </c>
      <c r="D7221">
        <v>21</v>
      </c>
    </row>
    <row r="7222" spans="1:4" x14ac:dyDescent="0.25">
      <c r="A7222" s="1">
        <v>43017</v>
      </c>
      <c r="B7222">
        <v>1</v>
      </c>
      <c r="C7222">
        <v>4</v>
      </c>
      <c r="D7222">
        <v>21</v>
      </c>
    </row>
    <row r="7223" spans="1:4" x14ac:dyDescent="0.25">
      <c r="A7223" s="1">
        <v>43018</v>
      </c>
      <c r="B7223">
        <v>1</v>
      </c>
      <c r="C7223">
        <v>4</v>
      </c>
      <c r="D7223">
        <v>22</v>
      </c>
    </row>
    <row r="7224" spans="1:4" x14ac:dyDescent="0.25">
      <c r="A7224" s="1">
        <v>43019</v>
      </c>
      <c r="B7224">
        <v>1</v>
      </c>
      <c r="C7224">
        <v>4</v>
      </c>
      <c r="D7224">
        <v>26</v>
      </c>
    </row>
    <row r="7225" spans="1:4" x14ac:dyDescent="0.25">
      <c r="A7225" s="1">
        <v>43020</v>
      </c>
      <c r="B7225">
        <v>1</v>
      </c>
      <c r="C7225">
        <v>4</v>
      </c>
      <c r="D7225">
        <v>22</v>
      </c>
    </row>
    <row r="7226" spans="1:4" x14ac:dyDescent="0.25">
      <c r="A7226" s="1">
        <v>43021</v>
      </c>
      <c r="B7226">
        <v>1</v>
      </c>
      <c r="C7226">
        <v>4</v>
      </c>
      <c r="D7226">
        <v>24</v>
      </c>
    </row>
    <row r="7227" spans="1:4" x14ac:dyDescent="0.25">
      <c r="A7227" s="1">
        <v>43022</v>
      </c>
      <c r="B7227">
        <v>1</v>
      </c>
      <c r="C7227">
        <v>4</v>
      </c>
      <c r="D7227">
        <v>26</v>
      </c>
    </row>
    <row r="7228" spans="1:4" x14ac:dyDescent="0.25">
      <c r="A7228" s="1">
        <v>43023</v>
      </c>
      <c r="B7228">
        <v>1</v>
      </c>
      <c r="C7228">
        <v>4</v>
      </c>
      <c r="D7228">
        <v>30</v>
      </c>
    </row>
    <row r="7229" spans="1:4" x14ac:dyDescent="0.25">
      <c r="A7229" s="1">
        <v>43024</v>
      </c>
      <c r="B7229">
        <v>1</v>
      </c>
      <c r="C7229">
        <v>4</v>
      </c>
      <c r="D7229">
        <v>21</v>
      </c>
    </row>
    <row r="7230" spans="1:4" x14ac:dyDescent="0.25">
      <c r="A7230" s="1">
        <v>43025</v>
      </c>
      <c r="B7230">
        <v>1</v>
      </c>
      <c r="C7230">
        <v>4</v>
      </c>
      <c r="D7230">
        <v>14</v>
      </c>
    </row>
    <row r="7231" spans="1:4" x14ac:dyDescent="0.25">
      <c r="A7231" s="1">
        <v>43026</v>
      </c>
      <c r="B7231">
        <v>1</v>
      </c>
      <c r="C7231">
        <v>4</v>
      </c>
      <c r="D7231">
        <v>22</v>
      </c>
    </row>
    <row r="7232" spans="1:4" x14ac:dyDescent="0.25">
      <c r="A7232" s="1">
        <v>43027</v>
      </c>
      <c r="B7232">
        <v>1</v>
      </c>
      <c r="C7232">
        <v>4</v>
      </c>
      <c r="D7232">
        <v>28</v>
      </c>
    </row>
    <row r="7233" spans="1:4" x14ac:dyDescent="0.25">
      <c r="A7233" s="1">
        <v>43028</v>
      </c>
      <c r="B7233">
        <v>1</v>
      </c>
      <c r="C7233">
        <v>4</v>
      </c>
      <c r="D7233">
        <v>20</v>
      </c>
    </row>
    <row r="7234" spans="1:4" x14ac:dyDescent="0.25">
      <c r="A7234" s="1">
        <v>43029</v>
      </c>
      <c r="B7234">
        <v>1</v>
      </c>
      <c r="C7234">
        <v>4</v>
      </c>
      <c r="D7234">
        <v>23</v>
      </c>
    </row>
    <row r="7235" spans="1:4" x14ac:dyDescent="0.25">
      <c r="A7235" s="1">
        <v>43030</v>
      </c>
      <c r="B7235">
        <v>1</v>
      </c>
      <c r="C7235">
        <v>4</v>
      </c>
      <c r="D7235">
        <v>16</v>
      </c>
    </row>
    <row r="7236" spans="1:4" x14ac:dyDescent="0.25">
      <c r="A7236" s="1">
        <v>43031</v>
      </c>
      <c r="B7236">
        <v>1</v>
      </c>
      <c r="C7236">
        <v>4</v>
      </c>
      <c r="D7236">
        <v>17</v>
      </c>
    </row>
    <row r="7237" spans="1:4" x14ac:dyDescent="0.25">
      <c r="A7237" s="1">
        <v>43032</v>
      </c>
      <c r="B7237">
        <v>1</v>
      </c>
      <c r="C7237">
        <v>4</v>
      </c>
      <c r="D7237">
        <v>30</v>
      </c>
    </row>
    <row r="7238" spans="1:4" x14ac:dyDescent="0.25">
      <c r="A7238" s="1">
        <v>43033</v>
      </c>
      <c r="B7238">
        <v>1</v>
      </c>
      <c r="C7238">
        <v>4</v>
      </c>
      <c r="D7238">
        <v>21</v>
      </c>
    </row>
    <row r="7239" spans="1:4" x14ac:dyDescent="0.25">
      <c r="A7239" s="1">
        <v>43034</v>
      </c>
      <c r="B7239">
        <v>1</v>
      </c>
      <c r="C7239">
        <v>4</v>
      </c>
      <c r="D7239">
        <v>17</v>
      </c>
    </row>
    <row r="7240" spans="1:4" x14ac:dyDescent="0.25">
      <c r="A7240" s="1">
        <v>43035</v>
      </c>
      <c r="B7240">
        <v>1</v>
      </c>
      <c r="C7240">
        <v>4</v>
      </c>
      <c r="D7240">
        <v>24</v>
      </c>
    </row>
    <row r="7241" spans="1:4" x14ac:dyDescent="0.25">
      <c r="A7241" s="1">
        <v>43036</v>
      </c>
      <c r="B7241">
        <v>1</v>
      </c>
      <c r="C7241">
        <v>4</v>
      </c>
      <c r="D7241">
        <v>26</v>
      </c>
    </row>
    <row r="7242" spans="1:4" x14ac:dyDescent="0.25">
      <c r="A7242" s="1">
        <v>43037</v>
      </c>
      <c r="B7242">
        <v>1</v>
      </c>
      <c r="C7242">
        <v>4</v>
      </c>
      <c r="D7242">
        <v>31</v>
      </c>
    </row>
    <row r="7243" spans="1:4" x14ac:dyDescent="0.25">
      <c r="A7243" s="1">
        <v>43038</v>
      </c>
      <c r="B7243">
        <v>1</v>
      </c>
      <c r="C7243">
        <v>4</v>
      </c>
      <c r="D7243">
        <v>7</v>
      </c>
    </row>
    <row r="7244" spans="1:4" x14ac:dyDescent="0.25">
      <c r="A7244" s="1">
        <v>43039</v>
      </c>
      <c r="B7244">
        <v>1</v>
      </c>
      <c r="C7244">
        <v>4</v>
      </c>
      <c r="D7244">
        <v>20</v>
      </c>
    </row>
    <row r="7245" spans="1:4" x14ac:dyDescent="0.25">
      <c r="A7245" s="1">
        <v>43040</v>
      </c>
      <c r="B7245">
        <v>1</v>
      </c>
      <c r="C7245">
        <v>4</v>
      </c>
      <c r="D7245">
        <v>23</v>
      </c>
    </row>
    <row r="7246" spans="1:4" x14ac:dyDescent="0.25">
      <c r="A7246" s="1">
        <v>43041</v>
      </c>
      <c r="B7246">
        <v>1</v>
      </c>
      <c r="C7246">
        <v>4</v>
      </c>
      <c r="D7246">
        <v>22</v>
      </c>
    </row>
    <row r="7247" spans="1:4" x14ac:dyDescent="0.25">
      <c r="A7247" s="1">
        <v>43042</v>
      </c>
      <c r="B7247">
        <v>1</v>
      </c>
      <c r="C7247">
        <v>4</v>
      </c>
      <c r="D7247">
        <v>20</v>
      </c>
    </row>
    <row r="7248" spans="1:4" x14ac:dyDescent="0.25">
      <c r="A7248" s="1">
        <v>43043</v>
      </c>
      <c r="B7248">
        <v>1</v>
      </c>
      <c r="C7248">
        <v>4</v>
      </c>
      <c r="D7248">
        <v>17</v>
      </c>
    </row>
    <row r="7249" spans="1:4" x14ac:dyDescent="0.25">
      <c r="A7249" s="1">
        <v>43044</v>
      </c>
      <c r="B7249">
        <v>1</v>
      </c>
      <c r="C7249">
        <v>4</v>
      </c>
      <c r="D7249">
        <v>21</v>
      </c>
    </row>
    <row r="7250" spans="1:4" x14ac:dyDescent="0.25">
      <c r="A7250" s="1">
        <v>43045</v>
      </c>
      <c r="B7250">
        <v>1</v>
      </c>
      <c r="C7250">
        <v>4</v>
      </c>
      <c r="D7250">
        <v>20</v>
      </c>
    </row>
    <row r="7251" spans="1:4" x14ac:dyDescent="0.25">
      <c r="A7251" s="1">
        <v>43046</v>
      </c>
      <c r="B7251">
        <v>1</v>
      </c>
      <c r="C7251">
        <v>4</v>
      </c>
      <c r="D7251">
        <v>25</v>
      </c>
    </row>
    <row r="7252" spans="1:4" x14ac:dyDescent="0.25">
      <c r="A7252" s="1">
        <v>43047</v>
      </c>
      <c r="B7252">
        <v>1</v>
      </c>
      <c r="C7252">
        <v>4</v>
      </c>
      <c r="D7252">
        <v>16</v>
      </c>
    </row>
    <row r="7253" spans="1:4" x14ac:dyDescent="0.25">
      <c r="A7253" s="1">
        <v>43048</v>
      </c>
      <c r="B7253">
        <v>1</v>
      </c>
      <c r="C7253">
        <v>4</v>
      </c>
      <c r="D7253">
        <v>22</v>
      </c>
    </row>
    <row r="7254" spans="1:4" x14ac:dyDescent="0.25">
      <c r="A7254" s="1">
        <v>43049</v>
      </c>
      <c r="B7254">
        <v>1</v>
      </c>
      <c r="C7254">
        <v>4</v>
      </c>
      <c r="D7254">
        <v>31</v>
      </c>
    </row>
    <row r="7255" spans="1:4" x14ac:dyDescent="0.25">
      <c r="A7255" s="1">
        <v>43050</v>
      </c>
      <c r="B7255">
        <v>1</v>
      </c>
      <c r="C7255">
        <v>4</v>
      </c>
      <c r="D7255">
        <v>27</v>
      </c>
    </row>
    <row r="7256" spans="1:4" x14ac:dyDescent="0.25">
      <c r="A7256" s="1">
        <v>43051</v>
      </c>
      <c r="B7256">
        <v>1</v>
      </c>
      <c r="C7256">
        <v>4</v>
      </c>
      <c r="D7256">
        <v>36</v>
      </c>
    </row>
    <row r="7257" spans="1:4" x14ac:dyDescent="0.25">
      <c r="A7257" s="1">
        <v>43052</v>
      </c>
      <c r="B7257">
        <v>1</v>
      </c>
      <c r="C7257">
        <v>4</v>
      </c>
      <c r="D7257">
        <v>16</v>
      </c>
    </row>
    <row r="7258" spans="1:4" x14ac:dyDescent="0.25">
      <c r="A7258" s="1">
        <v>43053</v>
      </c>
      <c r="B7258">
        <v>1</v>
      </c>
      <c r="C7258">
        <v>4</v>
      </c>
      <c r="D7258">
        <v>19</v>
      </c>
    </row>
    <row r="7259" spans="1:4" x14ac:dyDescent="0.25">
      <c r="A7259" s="1">
        <v>43054</v>
      </c>
      <c r="B7259">
        <v>1</v>
      </c>
      <c r="C7259">
        <v>4</v>
      </c>
      <c r="D7259">
        <v>27</v>
      </c>
    </row>
    <row r="7260" spans="1:4" x14ac:dyDescent="0.25">
      <c r="A7260" s="1">
        <v>43055</v>
      </c>
      <c r="B7260">
        <v>1</v>
      </c>
      <c r="C7260">
        <v>4</v>
      </c>
      <c r="D7260">
        <v>21</v>
      </c>
    </row>
    <row r="7261" spans="1:4" x14ac:dyDescent="0.25">
      <c r="A7261" s="1">
        <v>43056</v>
      </c>
      <c r="B7261">
        <v>1</v>
      </c>
      <c r="C7261">
        <v>4</v>
      </c>
      <c r="D7261">
        <v>24</v>
      </c>
    </row>
    <row r="7262" spans="1:4" x14ac:dyDescent="0.25">
      <c r="A7262" s="1">
        <v>43057</v>
      </c>
      <c r="B7262">
        <v>1</v>
      </c>
      <c r="C7262">
        <v>4</v>
      </c>
      <c r="D7262">
        <v>29</v>
      </c>
    </row>
    <row r="7263" spans="1:4" x14ac:dyDescent="0.25">
      <c r="A7263" s="1">
        <v>43058</v>
      </c>
      <c r="B7263">
        <v>1</v>
      </c>
      <c r="C7263">
        <v>4</v>
      </c>
      <c r="D7263">
        <v>30</v>
      </c>
    </row>
    <row r="7264" spans="1:4" x14ac:dyDescent="0.25">
      <c r="A7264" s="1">
        <v>43059</v>
      </c>
      <c r="B7264">
        <v>1</v>
      </c>
      <c r="C7264">
        <v>4</v>
      </c>
      <c r="D7264">
        <v>18</v>
      </c>
    </row>
    <row r="7265" spans="1:4" x14ac:dyDescent="0.25">
      <c r="A7265" s="1">
        <v>43060</v>
      </c>
      <c r="B7265">
        <v>1</v>
      </c>
      <c r="C7265">
        <v>4</v>
      </c>
      <c r="D7265">
        <v>30</v>
      </c>
    </row>
    <row r="7266" spans="1:4" x14ac:dyDescent="0.25">
      <c r="A7266" s="1">
        <v>43061</v>
      </c>
      <c r="B7266">
        <v>1</v>
      </c>
      <c r="C7266">
        <v>4</v>
      </c>
      <c r="D7266">
        <v>24</v>
      </c>
    </row>
    <row r="7267" spans="1:4" x14ac:dyDescent="0.25">
      <c r="A7267" s="1">
        <v>43062</v>
      </c>
      <c r="B7267">
        <v>1</v>
      </c>
      <c r="C7267">
        <v>4</v>
      </c>
      <c r="D7267">
        <v>23</v>
      </c>
    </row>
    <row r="7268" spans="1:4" x14ac:dyDescent="0.25">
      <c r="A7268" s="1">
        <v>43063</v>
      </c>
      <c r="B7268">
        <v>1</v>
      </c>
      <c r="C7268">
        <v>4</v>
      </c>
      <c r="D7268">
        <v>25</v>
      </c>
    </row>
    <row r="7269" spans="1:4" x14ac:dyDescent="0.25">
      <c r="A7269" s="1">
        <v>43064</v>
      </c>
      <c r="B7269">
        <v>1</v>
      </c>
      <c r="C7269">
        <v>4</v>
      </c>
      <c r="D7269">
        <v>29</v>
      </c>
    </row>
    <row r="7270" spans="1:4" x14ac:dyDescent="0.25">
      <c r="A7270" s="1">
        <v>43065</v>
      </c>
      <c r="B7270">
        <v>1</v>
      </c>
      <c r="C7270">
        <v>4</v>
      </c>
      <c r="D7270">
        <v>28</v>
      </c>
    </row>
    <row r="7271" spans="1:4" x14ac:dyDescent="0.25">
      <c r="A7271" s="1">
        <v>43066</v>
      </c>
      <c r="B7271">
        <v>1</v>
      </c>
      <c r="C7271">
        <v>4</v>
      </c>
      <c r="D7271">
        <v>21</v>
      </c>
    </row>
    <row r="7272" spans="1:4" x14ac:dyDescent="0.25">
      <c r="A7272" s="1">
        <v>43067</v>
      </c>
      <c r="B7272">
        <v>1</v>
      </c>
      <c r="C7272">
        <v>4</v>
      </c>
      <c r="D7272">
        <v>23</v>
      </c>
    </row>
    <row r="7273" spans="1:4" x14ac:dyDescent="0.25">
      <c r="A7273" s="1">
        <v>43068</v>
      </c>
      <c r="B7273">
        <v>1</v>
      </c>
      <c r="C7273">
        <v>4</v>
      </c>
      <c r="D7273">
        <v>18</v>
      </c>
    </row>
    <row r="7274" spans="1:4" x14ac:dyDescent="0.25">
      <c r="A7274" s="1">
        <v>43069</v>
      </c>
      <c r="B7274">
        <v>1</v>
      </c>
      <c r="C7274">
        <v>4</v>
      </c>
      <c r="D7274">
        <v>16</v>
      </c>
    </row>
    <row r="7275" spans="1:4" x14ac:dyDescent="0.25">
      <c r="A7275" s="1">
        <v>43070</v>
      </c>
      <c r="B7275">
        <v>1</v>
      </c>
      <c r="C7275">
        <v>4</v>
      </c>
      <c r="D7275">
        <v>23</v>
      </c>
    </row>
    <row r="7276" spans="1:4" x14ac:dyDescent="0.25">
      <c r="A7276" s="1">
        <v>43071</v>
      </c>
      <c r="B7276">
        <v>1</v>
      </c>
      <c r="C7276">
        <v>4</v>
      </c>
      <c r="D7276">
        <v>16</v>
      </c>
    </row>
    <row r="7277" spans="1:4" x14ac:dyDescent="0.25">
      <c r="A7277" s="1">
        <v>43072</v>
      </c>
      <c r="B7277">
        <v>1</v>
      </c>
      <c r="C7277">
        <v>4</v>
      </c>
      <c r="D7277">
        <v>15</v>
      </c>
    </row>
    <row r="7278" spans="1:4" x14ac:dyDescent="0.25">
      <c r="A7278" s="1">
        <v>43073</v>
      </c>
      <c r="B7278">
        <v>1</v>
      </c>
      <c r="C7278">
        <v>4</v>
      </c>
      <c r="D7278">
        <v>10</v>
      </c>
    </row>
    <row r="7279" spans="1:4" x14ac:dyDescent="0.25">
      <c r="A7279" s="1">
        <v>43074</v>
      </c>
      <c r="B7279">
        <v>1</v>
      </c>
      <c r="C7279">
        <v>4</v>
      </c>
      <c r="D7279">
        <v>15</v>
      </c>
    </row>
    <row r="7280" spans="1:4" x14ac:dyDescent="0.25">
      <c r="A7280" s="1">
        <v>43075</v>
      </c>
      <c r="B7280">
        <v>1</v>
      </c>
      <c r="C7280">
        <v>4</v>
      </c>
      <c r="D7280">
        <v>13</v>
      </c>
    </row>
    <row r="7281" spans="1:4" x14ac:dyDescent="0.25">
      <c r="A7281" s="1">
        <v>43076</v>
      </c>
      <c r="B7281">
        <v>1</v>
      </c>
      <c r="C7281">
        <v>4</v>
      </c>
      <c r="D7281">
        <v>14</v>
      </c>
    </row>
    <row r="7282" spans="1:4" x14ac:dyDescent="0.25">
      <c r="A7282" s="1">
        <v>43077</v>
      </c>
      <c r="B7282">
        <v>1</v>
      </c>
      <c r="C7282">
        <v>4</v>
      </c>
      <c r="D7282">
        <v>16</v>
      </c>
    </row>
    <row r="7283" spans="1:4" x14ac:dyDescent="0.25">
      <c r="A7283" s="1">
        <v>43078</v>
      </c>
      <c r="B7283">
        <v>1</v>
      </c>
      <c r="C7283">
        <v>4</v>
      </c>
      <c r="D7283">
        <v>22</v>
      </c>
    </row>
    <row r="7284" spans="1:4" x14ac:dyDescent="0.25">
      <c r="A7284" s="1">
        <v>43079</v>
      </c>
      <c r="B7284">
        <v>1</v>
      </c>
      <c r="C7284">
        <v>4</v>
      </c>
      <c r="D7284">
        <v>18</v>
      </c>
    </row>
    <row r="7285" spans="1:4" x14ac:dyDescent="0.25">
      <c r="A7285" s="1">
        <v>43080</v>
      </c>
      <c r="B7285">
        <v>1</v>
      </c>
      <c r="C7285">
        <v>4</v>
      </c>
      <c r="D7285">
        <v>10</v>
      </c>
    </row>
    <row r="7286" spans="1:4" x14ac:dyDescent="0.25">
      <c r="A7286" s="1">
        <v>43081</v>
      </c>
      <c r="B7286">
        <v>1</v>
      </c>
      <c r="C7286">
        <v>4</v>
      </c>
      <c r="D7286">
        <v>17</v>
      </c>
    </row>
    <row r="7287" spans="1:4" x14ac:dyDescent="0.25">
      <c r="A7287" s="1">
        <v>43082</v>
      </c>
      <c r="B7287">
        <v>1</v>
      </c>
      <c r="C7287">
        <v>4</v>
      </c>
      <c r="D7287">
        <v>11</v>
      </c>
    </row>
    <row r="7288" spans="1:4" x14ac:dyDescent="0.25">
      <c r="A7288" s="1">
        <v>43083</v>
      </c>
      <c r="B7288">
        <v>1</v>
      </c>
      <c r="C7288">
        <v>4</v>
      </c>
      <c r="D7288">
        <v>18</v>
      </c>
    </row>
    <row r="7289" spans="1:4" x14ac:dyDescent="0.25">
      <c r="A7289" s="1">
        <v>43084</v>
      </c>
      <c r="B7289">
        <v>1</v>
      </c>
      <c r="C7289">
        <v>4</v>
      </c>
      <c r="D7289">
        <v>15</v>
      </c>
    </row>
    <row r="7290" spans="1:4" x14ac:dyDescent="0.25">
      <c r="A7290" s="1">
        <v>43085</v>
      </c>
      <c r="B7290">
        <v>1</v>
      </c>
      <c r="C7290">
        <v>4</v>
      </c>
      <c r="D7290">
        <v>19</v>
      </c>
    </row>
    <row r="7291" spans="1:4" x14ac:dyDescent="0.25">
      <c r="A7291" s="1">
        <v>43086</v>
      </c>
      <c r="B7291">
        <v>1</v>
      </c>
      <c r="C7291">
        <v>4</v>
      </c>
      <c r="D7291">
        <v>14</v>
      </c>
    </row>
    <row r="7292" spans="1:4" x14ac:dyDescent="0.25">
      <c r="A7292" s="1">
        <v>43087</v>
      </c>
      <c r="B7292">
        <v>1</v>
      </c>
      <c r="C7292">
        <v>4</v>
      </c>
      <c r="D7292">
        <v>11</v>
      </c>
    </row>
    <row r="7293" spans="1:4" x14ac:dyDescent="0.25">
      <c r="A7293" s="1">
        <v>43088</v>
      </c>
      <c r="B7293">
        <v>1</v>
      </c>
      <c r="C7293">
        <v>4</v>
      </c>
      <c r="D7293">
        <v>17</v>
      </c>
    </row>
    <row r="7294" spans="1:4" x14ac:dyDescent="0.25">
      <c r="A7294" s="1">
        <v>43089</v>
      </c>
      <c r="B7294">
        <v>1</v>
      </c>
      <c r="C7294">
        <v>4</v>
      </c>
      <c r="D7294">
        <v>22</v>
      </c>
    </row>
    <row r="7295" spans="1:4" x14ac:dyDescent="0.25">
      <c r="A7295" s="1">
        <v>43090</v>
      </c>
      <c r="B7295">
        <v>1</v>
      </c>
      <c r="C7295">
        <v>4</v>
      </c>
      <c r="D7295">
        <v>16</v>
      </c>
    </row>
    <row r="7296" spans="1:4" x14ac:dyDescent="0.25">
      <c r="A7296" s="1">
        <v>43091</v>
      </c>
      <c r="B7296">
        <v>1</v>
      </c>
      <c r="C7296">
        <v>4</v>
      </c>
      <c r="D7296">
        <v>16</v>
      </c>
    </row>
    <row r="7297" spans="1:4" x14ac:dyDescent="0.25">
      <c r="A7297" s="1">
        <v>43092</v>
      </c>
      <c r="B7297">
        <v>1</v>
      </c>
      <c r="C7297">
        <v>4</v>
      </c>
      <c r="D7297">
        <v>17</v>
      </c>
    </row>
    <row r="7298" spans="1:4" x14ac:dyDescent="0.25">
      <c r="A7298" s="1">
        <v>43093</v>
      </c>
      <c r="B7298">
        <v>1</v>
      </c>
      <c r="C7298">
        <v>4</v>
      </c>
      <c r="D7298">
        <v>11</v>
      </c>
    </row>
    <row r="7299" spans="1:4" x14ac:dyDescent="0.25">
      <c r="A7299" s="1">
        <v>43094</v>
      </c>
      <c r="B7299">
        <v>1</v>
      </c>
      <c r="C7299">
        <v>4</v>
      </c>
      <c r="D7299">
        <v>11</v>
      </c>
    </row>
    <row r="7300" spans="1:4" x14ac:dyDescent="0.25">
      <c r="A7300" s="1">
        <v>43095</v>
      </c>
      <c r="B7300">
        <v>1</v>
      </c>
      <c r="C7300">
        <v>4</v>
      </c>
      <c r="D7300">
        <v>15</v>
      </c>
    </row>
    <row r="7301" spans="1:4" x14ac:dyDescent="0.25">
      <c r="A7301" s="1">
        <v>43096</v>
      </c>
      <c r="B7301">
        <v>1</v>
      </c>
      <c r="C7301">
        <v>4</v>
      </c>
      <c r="D7301">
        <v>16</v>
      </c>
    </row>
    <row r="7302" spans="1:4" x14ac:dyDescent="0.25">
      <c r="A7302" s="1">
        <v>43097</v>
      </c>
      <c r="B7302">
        <v>1</v>
      </c>
      <c r="C7302">
        <v>4</v>
      </c>
      <c r="D7302">
        <v>20</v>
      </c>
    </row>
    <row r="7303" spans="1:4" x14ac:dyDescent="0.25">
      <c r="A7303" s="1">
        <v>43098</v>
      </c>
      <c r="B7303">
        <v>1</v>
      </c>
      <c r="C7303">
        <v>4</v>
      </c>
      <c r="D7303">
        <v>25</v>
      </c>
    </row>
    <row r="7304" spans="1:4" x14ac:dyDescent="0.25">
      <c r="A7304" s="1">
        <v>43099</v>
      </c>
      <c r="B7304">
        <v>1</v>
      </c>
      <c r="C7304">
        <v>4</v>
      </c>
      <c r="D7304">
        <v>19</v>
      </c>
    </row>
    <row r="7305" spans="1:4" x14ac:dyDescent="0.25">
      <c r="A7305" s="1">
        <v>43100</v>
      </c>
      <c r="B7305">
        <v>1</v>
      </c>
      <c r="C7305">
        <v>4</v>
      </c>
      <c r="D7305">
        <v>15</v>
      </c>
    </row>
    <row r="7306" spans="1:4" x14ac:dyDescent="0.25">
      <c r="A7306" s="1">
        <v>41275</v>
      </c>
      <c r="B7306">
        <v>1</v>
      </c>
      <c r="C7306">
        <v>5</v>
      </c>
      <c r="D7306">
        <v>11</v>
      </c>
    </row>
    <row r="7307" spans="1:4" x14ac:dyDescent="0.25">
      <c r="A7307" s="1">
        <v>41276</v>
      </c>
      <c r="B7307">
        <v>1</v>
      </c>
      <c r="C7307">
        <v>5</v>
      </c>
      <c r="D7307">
        <v>6</v>
      </c>
    </row>
    <row r="7308" spans="1:4" x14ac:dyDescent="0.25">
      <c r="A7308" s="1">
        <v>41277</v>
      </c>
      <c r="B7308">
        <v>1</v>
      </c>
      <c r="C7308">
        <v>5</v>
      </c>
      <c r="D7308">
        <v>8</v>
      </c>
    </row>
    <row r="7309" spans="1:4" x14ac:dyDescent="0.25">
      <c r="A7309" s="1">
        <v>41278</v>
      </c>
      <c r="B7309">
        <v>1</v>
      </c>
      <c r="C7309">
        <v>5</v>
      </c>
      <c r="D7309">
        <v>9</v>
      </c>
    </row>
    <row r="7310" spans="1:4" x14ac:dyDescent="0.25">
      <c r="A7310" s="1">
        <v>41279</v>
      </c>
      <c r="B7310">
        <v>1</v>
      </c>
      <c r="C7310">
        <v>5</v>
      </c>
      <c r="D7310">
        <v>8</v>
      </c>
    </row>
    <row r="7311" spans="1:4" x14ac:dyDescent="0.25">
      <c r="A7311" s="1">
        <v>41280</v>
      </c>
      <c r="B7311">
        <v>1</v>
      </c>
      <c r="C7311">
        <v>5</v>
      </c>
      <c r="D7311">
        <v>13</v>
      </c>
    </row>
    <row r="7312" spans="1:4" x14ac:dyDescent="0.25">
      <c r="A7312" s="1">
        <v>41281</v>
      </c>
      <c r="B7312">
        <v>1</v>
      </c>
      <c r="C7312">
        <v>5</v>
      </c>
      <c r="D7312">
        <v>11</v>
      </c>
    </row>
    <row r="7313" spans="1:4" x14ac:dyDescent="0.25">
      <c r="A7313" s="1">
        <v>41282</v>
      </c>
      <c r="B7313">
        <v>1</v>
      </c>
      <c r="C7313">
        <v>5</v>
      </c>
      <c r="D7313">
        <v>10</v>
      </c>
    </row>
    <row r="7314" spans="1:4" x14ac:dyDescent="0.25">
      <c r="A7314" s="1">
        <v>41283</v>
      </c>
      <c r="B7314">
        <v>1</v>
      </c>
      <c r="C7314">
        <v>5</v>
      </c>
      <c r="D7314">
        <v>7</v>
      </c>
    </row>
    <row r="7315" spans="1:4" x14ac:dyDescent="0.25">
      <c r="A7315" s="1">
        <v>41284</v>
      </c>
      <c r="B7315">
        <v>1</v>
      </c>
      <c r="C7315">
        <v>5</v>
      </c>
      <c r="D7315">
        <v>8</v>
      </c>
    </row>
    <row r="7316" spans="1:4" x14ac:dyDescent="0.25">
      <c r="A7316" s="1">
        <v>41285</v>
      </c>
      <c r="B7316">
        <v>1</v>
      </c>
      <c r="C7316">
        <v>5</v>
      </c>
      <c r="D7316">
        <v>10</v>
      </c>
    </row>
    <row r="7317" spans="1:4" x14ac:dyDescent="0.25">
      <c r="A7317" s="1">
        <v>41286</v>
      </c>
      <c r="B7317">
        <v>1</v>
      </c>
      <c r="C7317">
        <v>5</v>
      </c>
      <c r="D7317">
        <v>8</v>
      </c>
    </row>
    <row r="7318" spans="1:4" x14ac:dyDescent="0.25">
      <c r="A7318" s="1">
        <v>41287</v>
      </c>
      <c r="B7318">
        <v>1</v>
      </c>
      <c r="C7318">
        <v>5</v>
      </c>
      <c r="D7318">
        <v>11</v>
      </c>
    </row>
    <row r="7319" spans="1:4" x14ac:dyDescent="0.25">
      <c r="A7319" s="1">
        <v>41288</v>
      </c>
      <c r="B7319">
        <v>1</v>
      </c>
      <c r="C7319">
        <v>5</v>
      </c>
      <c r="D7319">
        <v>5</v>
      </c>
    </row>
    <row r="7320" spans="1:4" x14ac:dyDescent="0.25">
      <c r="A7320" s="1">
        <v>41289</v>
      </c>
      <c r="B7320">
        <v>1</v>
      </c>
      <c r="C7320">
        <v>5</v>
      </c>
      <c r="D7320">
        <v>10</v>
      </c>
    </row>
    <row r="7321" spans="1:4" x14ac:dyDescent="0.25">
      <c r="A7321" s="1">
        <v>41290</v>
      </c>
      <c r="B7321">
        <v>1</v>
      </c>
      <c r="C7321">
        <v>5</v>
      </c>
      <c r="D7321">
        <v>6</v>
      </c>
    </row>
    <row r="7322" spans="1:4" x14ac:dyDescent="0.25">
      <c r="A7322" s="1">
        <v>41291</v>
      </c>
      <c r="B7322">
        <v>1</v>
      </c>
      <c r="C7322">
        <v>5</v>
      </c>
      <c r="D7322">
        <v>7</v>
      </c>
    </row>
    <row r="7323" spans="1:4" x14ac:dyDescent="0.25">
      <c r="A7323" s="1">
        <v>41292</v>
      </c>
      <c r="B7323">
        <v>1</v>
      </c>
      <c r="C7323">
        <v>5</v>
      </c>
      <c r="D7323">
        <v>10</v>
      </c>
    </row>
    <row r="7324" spans="1:4" x14ac:dyDescent="0.25">
      <c r="A7324" s="1">
        <v>41293</v>
      </c>
      <c r="B7324">
        <v>1</v>
      </c>
      <c r="C7324">
        <v>5</v>
      </c>
      <c r="D7324">
        <v>8</v>
      </c>
    </row>
    <row r="7325" spans="1:4" x14ac:dyDescent="0.25">
      <c r="A7325" s="1">
        <v>41294</v>
      </c>
      <c r="B7325">
        <v>1</v>
      </c>
      <c r="C7325">
        <v>5</v>
      </c>
      <c r="D7325">
        <v>9</v>
      </c>
    </row>
    <row r="7326" spans="1:4" x14ac:dyDescent="0.25">
      <c r="A7326" s="1">
        <v>41295</v>
      </c>
      <c r="B7326">
        <v>1</v>
      </c>
      <c r="C7326">
        <v>5</v>
      </c>
      <c r="D7326">
        <v>4</v>
      </c>
    </row>
    <row r="7327" spans="1:4" x14ac:dyDescent="0.25">
      <c r="A7327" s="1">
        <v>41296</v>
      </c>
      <c r="B7327">
        <v>1</v>
      </c>
      <c r="C7327">
        <v>5</v>
      </c>
      <c r="D7327">
        <v>9</v>
      </c>
    </row>
    <row r="7328" spans="1:4" x14ac:dyDescent="0.25">
      <c r="A7328" s="1">
        <v>41297</v>
      </c>
      <c r="B7328">
        <v>1</v>
      </c>
      <c r="C7328">
        <v>5</v>
      </c>
      <c r="D7328">
        <v>6</v>
      </c>
    </row>
    <row r="7329" spans="1:4" x14ac:dyDescent="0.25">
      <c r="A7329" s="1">
        <v>41298</v>
      </c>
      <c r="B7329">
        <v>1</v>
      </c>
      <c r="C7329">
        <v>5</v>
      </c>
      <c r="D7329">
        <v>12</v>
      </c>
    </row>
    <row r="7330" spans="1:4" x14ac:dyDescent="0.25">
      <c r="A7330" s="1">
        <v>41299</v>
      </c>
      <c r="B7330">
        <v>1</v>
      </c>
      <c r="C7330">
        <v>5</v>
      </c>
      <c r="D7330">
        <v>5</v>
      </c>
    </row>
    <row r="7331" spans="1:4" x14ac:dyDescent="0.25">
      <c r="A7331" s="1">
        <v>41300</v>
      </c>
      <c r="B7331">
        <v>1</v>
      </c>
      <c r="C7331">
        <v>5</v>
      </c>
      <c r="D7331">
        <v>7</v>
      </c>
    </row>
    <row r="7332" spans="1:4" x14ac:dyDescent="0.25">
      <c r="A7332" s="1">
        <v>41301</v>
      </c>
      <c r="B7332">
        <v>1</v>
      </c>
      <c r="C7332">
        <v>5</v>
      </c>
      <c r="D7332">
        <v>18</v>
      </c>
    </row>
    <row r="7333" spans="1:4" x14ac:dyDescent="0.25">
      <c r="A7333" s="1">
        <v>41302</v>
      </c>
      <c r="B7333">
        <v>1</v>
      </c>
      <c r="C7333">
        <v>5</v>
      </c>
      <c r="D7333">
        <v>9</v>
      </c>
    </row>
    <row r="7334" spans="1:4" x14ac:dyDescent="0.25">
      <c r="A7334" s="1">
        <v>41303</v>
      </c>
      <c r="B7334">
        <v>1</v>
      </c>
      <c r="C7334">
        <v>5</v>
      </c>
      <c r="D7334">
        <v>9</v>
      </c>
    </row>
    <row r="7335" spans="1:4" x14ac:dyDescent="0.25">
      <c r="A7335" s="1">
        <v>41304</v>
      </c>
      <c r="B7335">
        <v>1</v>
      </c>
      <c r="C7335">
        <v>5</v>
      </c>
      <c r="D7335">
        <v>9</v>
      </c>
    </row>
    <row r="7336" spans="1:4" x14ac:dyDescent="0.25">
      <c r="A7336" s="1">
        <v>41305</v>
      </c>
      <c r="B7336">
        <v>1</v>
      </c>
      <c r="C7336">
        <v>5</v>
      </c>
      <c r="D7336">
        <v>13</v>
      </c>
    </row>
    <row r="7337" spans="1:4" x14ac:dyDescent="0.25">
      <c r="A7337" s="1">
        <v>41306</v>
      </c>
      <c r="B7337">
        <v>1</v>
      </c>
      <c r="C7337">
        <v>5</v>
      </c>
      <c r="D7337">
        <v>8</v>
      </c>
    </row>
    <row r="7338" spans="1:4" x14ac:dyDescent="0.25">
      <c r="A7338" s="1">
        <v>41307</v>
      </c>
      <c r="B7338">
        <v>1</v>
      </c>
      <c r="C7338">
        <v>5</v>
      </c>
      <c r="D7338">
        <v>16</v>
      </c>
    </row>
    <row r="7339" spans="1:4" x14ac:dyDescent="0.25">
      <c r="A7339" s="1">
        <v>41308</v>
      </c>
      <c r="B7339">
        <v>1</v>
      </c>
      <c r="C7339">
        <v>5</v>
      </c>
      <c r="D7339">
        <v>11</v>
      </c>
    </row>
    <row r="7340" spans="1:4" x14ac:dyDescent="0.25">
      <c r="A7340" s="1">
        <v>41309</v>
      </c>
      <c r="B7340">
        <v>1</v>
      </c>
      <c r="C7340">
        <v>5</v>
      </c>
      <c r="D7340">
        <v>8</v>
      </c>
    </row>
    <row r="7341" spans="1:4" x14ac:dyDescent="0.25">
      <c r="A7341" s="1">
        <v>41310</v>
      </c>
      <c r="B7341">
        <v>1</v>
      </c>
      <c r="C7341">
        <v>5</v>
      </c>
      <c r="D7341">
        <v>15</v>
      </c>
    </row>
    <row r="7342" spans="1:4" x14ac:dyDescent="0.25">
      <c r="A7342" s="1">
        <v>41311</v>
      </c>
      <c r="B7342">
        <v>1</v>
      </c>
      <c r="C7342">
        <v>5</v>
      </c>
      <c r="D7342">
        <v>7</v>
      </c>
    </row>
    <row r="7343" spans="1:4" x14ac:dyDescent="0.25">
      <c r="A7343" s="1">
        <v>41312</v>
      </c>
      <c r="B7343">
        <v>1</v>
      </c>
      <c r="C7343">
        <v>5</v>
      </c>
      <c r="D7343">
        <v>10</v>
      </c>
    </row>
    <row r="7344" spans="1:4" x14ac:dyDescent="0.25">
      <c r="A7344" s="1">
        <v>41313</v>
      </c>
      <c r="B7344">
        <v>1</v>
      </c>
      <c r="C7344">
        <v>5</v>
      </c>
      <c r="D7344">
        <v>7</v>
      </c>
    </row>
    <row r="7345" spans="1:4" x14ac:dyDescent="0.25">
      <c r="A7345" s="1">
        <v>41314</v>
      </c>
      <c r="B7345">
        <v>1</v>
      </c>
      <c r="C7345">
        <v>5</v>
      </c>
      <c r="D7345">
        <v>8</v>
      </c>
    </row>
    <row r="7346" spans="1:4" x14ac:dyDescent="0.25">
      <c r="A7346" s="1">
        <v>41315</v>
      </c>
      <c r="B7346">
        <v>1</v>
      </c>
      <c r="C7346">
        <v>5</v>
      </c>
      <c r="D7346">
        <v>10</v>
      </c>
    </row>
    <row r="7347" spans="1:4" x14ac:dyDescent="0.25">
      <c r="A7347" s="1">
        <v>41316</v>
      </c>
      <c r="B7347">
        <v>1</v>
      </c>
      <c r="C7347">
        <v>5</v>
      </c>
      <c r="D7347">
        <v>13</v>
      </c>
    </row>
    <row r="7348" spans="1:4" x14ac:dyDescent="0.25">
      <c r="A7348" s="1">
        <v>41317</v>
      </c>
      <c r="B7348">
        <v>1</v>
      </c>
      <c r="C7348">
        <v>5</v>
      </c>
      <c r="D7348">
        <v>13</v>
      </c>
    </row>
    <row r="7349" spans="1:4" x14ac:dyDescent="0.25">
      <c r="A7349" s="1">
        <v>41318</v>
      </c>
      <c r="B7349">
        <v>1</v>
      </c>
      <c r="C7349">
        <v>5</v>
      </c>
      <c r="D7349">
        <v>8</v>
      </c>
    </row>
    <row r="7350" spans="1:4" x14ac:dyDescent="0.25">
      <c r="A7350" s="1">
        <v>41319</v>
      </c>
      <c r="B7350">
        <v>1</v>
      </c>
      <c r="C7350">
        <v>5</v>
      </c>
      <c r="D7350">
        <v>10</v>
      </c>
    </row>
    <row r="7351" spans="1:4" x14ac:dyDescent="0.25">
      <c r="A7351" s="1">
        <v>41320</v>
      </c>
      <c r="B7351">
        <v>1</v>
      </c>
      <c r="C7351">
        <v>5</v>
      </c>
      <c r="D7351">
        <v>11</v>
      </c>
    </row>
    <row r="7352" spans="1:4" x14ac:dyDescent="0.25">
      <c r="A7352" s="1">
        <v>41321</v>
      </c>
      <c r="B7352">
        <v>1</v>
      </c>
      <c r="C7352">
        <v>5</v>
      </c>
      <c r="D7352">
        <v>10</v>
      </c>
    </row>
    <row r="7353" spans="1:4" x14ac:dyDescent="0.25">
      <c r="A7353" s="1">
        <v>41322</v>
      </c>
      <c r="B7353">
        <v>1</v>
      </c>
      <c r="C7353">
        <v>5</v>
      </c>
      <c r="D7353">
        <v>11</v>
      </c>
    </row>
    <row r="7354" spans="1:4" x14ac:dyDescent="0.25">
      <c r="A7354" s="1">
        <v>41323</v>
      </c>
      <c r="B7354">
        <v>1</v>
      </c>
      <c r="C7354">
        <v>5</v>
      </c>
      <c r="D7354">
        <v>5</v>
      </c>
    </row>
    <row r="7355" spans="1:4" x14ac:dyDescent="0.25">
      <c r="A7355" s="1">
        <v>41324</v>
      </c>
      <c r="B7355">
        <v>1</v>
      </c>
      <c r="C7355">
        <v>5</v>
      </c>
      <c r="D7355">
        <v>10</v>
      </c>
    </row>
    <row r="7356" spans="1:4" x14ac:dyDescent="0.25">
      <c r="A7356" s="1">
        <v>41325</v>
      </c>
      <c r="B7356">
        <v>1</v>
      </c>
      <c r="C7356">
        <v>5</v>
      </c>
      <c r="D7356">
        <v>7</v>
      </c>
    </row>
    <row r="7357" spans="1:4" x14ac:dyDescent="0.25">
      <c r="A7357" s="1">
        <v>41326</v>
      </c>
      <c r="B7357">
        <v>1</v>
      </c>
      <c r="C7357">
        <v>5</v>
      </c>
      <c r="D7357">
        <v>11</v>
      </c>
    </row>
    <row r="7358" spans="1:4" x14ac:dyDescent="0.25">
      <c r="A7358" s="1">
        <v>41327</v>
      </c>
      <c r="B7358">
        <v>1</v>
      </c>
      <c r="C7358">
        <v>5</v>
      </c>
      <c r="D7358">
        <v>15</v>
      </c>
    </row>
    <row r="7359" spans="1:4" x14ac:dyDescent="0.25">
      <c r="A7359" s="1">
        <v>41328</v>
      </c>
      <c r="B7359">
        <v>1</v>
      </c>
      <c r="C7359">
        <v>5</v>
      </c>
      <c r="D7359">
        <v>13</v>
      </c>
    </row>
    <row r="7360" spans="1:4" x14ac:dyDescent="0.25">
      <c r="A7360" s="1">
        <v>41329</v>
      </c>
      <c r="B7360">
        <v>1</v>
      </c>
      <c r="C7360">
        <v>5</v>
      </c>
      <c r="D7360">
        <v>9</v>
      </c>
    </row>
    <row r="7361" spans="1:4" x14ac:dyDescent="0.25">
      <c r="A7361" s="1">
        <v>41330</v>
      </c>
      <c r="B7361">
        <v>1</v>
      </c>
      <c r="C7361">
        <v>5</v>
      </c>
      <c r="D7361">
        <v>3</v>
      </c>
    </row>
    <row r="7362" spans="1:4" x14ac:dyDescent="0.25">
      <c r="A7362" s="1">
        <v>41331</v>
      </c>
      <c r="B7362">
        <v>1</v>
      </c>
      <c r="C7362">
        <v>5</v>
      </c>
      <c r="D7362">
        <v>6</v>
      </c>
    </row>
    <row r="7363" spans="1:4" x14ac:dyDescent="0.25">
      <c r="A7363" s="1">
        <v>41332</v>
      </c>
      <c r="B7363">
        <v>1</v>
      </c>
      <c r="C7363">
        <v>5</v>
      </c>
      <c r="D7363">
        <v>9</v>
      </c>
    </row>
    <row r="7364" spans="1:4" x14ac:dyDescent="0.25">
      <c r="A7364" s="1">
        <v>41333</v>
      </c>
      <c r="B7364">
        <v>1</v>
      </c>
      <c r="C7364">
        <v>5</v>
      </c>
      <c r="D7364">
        <v>12</v>
      </c>
    </row>
    <row r="7365" spans="1:4" x14ac:dyDescent="0.25">
      <c r="A7365" s="1">
        <v>41334</v>
      </c>
      <c r="B7365">
        <v>1</v>
      </c>
      <c r="C7365">
        <v>5</v>
      </c>
      <c r="D7365">
        <v>11</v>
      </c>
    </row>
    <row r="7366" spans="1:4" x14ac:dyDescent="0.25">
      <c r="A7366" s="1">
        <v>41335</v>
      </c>
      <c r="B7366">
        <v>1</v>
      </c>
      <c r="C7366">
        <v>5</v>
      </c>
      <c r="D7366">
        <v>16</v>
      </c>
    </row>
    <row r="7367" spans="1:4" x14ac:dyDescent="0.25">
      <c r="A7367" s="1">
        <v>41336</v>
      </c>
      <c r="B7367">
        <v>1</v>
      </c>
      <c r="C7367">
        <v>5</v>
      </c>
      <c r="D7367">
        <v>11</v>
      </c>
    </row>
    <row r="7368" spans="1:4" x14ac:dyDescent="0.25">
      <c r="A7368" s="1">
        <v>41337</v>
      </c>
      <c r="B7368">
        <v>1</v>
      </c>
      <c r="C7368">
        <v>5</v>
      </c>
      <c r="D7368">
        <v>6</v>
      </c>
    </row>
    <row r="7369" spans="1:4" x14ac:dyDescent="0.25">
      <c r="A7369" s="1">
        <v>41338</v>
      </c>
      <c r="B7369">
        <v>1</v>
      </c>
      <c r="C7369">
        <v>5</v>
      </c>
      <c r="D7369">
        <v>10</v>
      </c>
    </row>
    <row r="7370" spans="1:4" x14ac:dyDescent="0.25">
      <c r="A7370" s="1">
        <v>41339</v>
      </c>
      <c r="B7370">
        <v>1</v>
      </c>
      <c r="C7370">
        <v>5</v>
      </c>
      <c r="D7370">
        <v>9</v>
      </c>
    </row>
    <row r="7371" spans="1:4" x14ac:dyDescent="0.25">
      <c r="A7371" s="1">
        <v>41340</v>
      </c>
      <c r="B7371">
        <v>1</v>
      </c>
      <c r="C7371">
        <v>5</v>
      </c>
      <c r="D7371">
        <v>15</v>
      </c>
    </row>
    <row r="7372" spans="1:4" x14ac:dyDescent="0.25">
      <c r="A7372" s="1">
        <v>41341</v>
      </c>
      <c r="B7372">
        <v>1</v>
      </c>
      <c r="C7372">
        <v>5</v>
      </c>
      <c r="D7372">
        <v>9</v>
      </c>
    </row>
    <row r="7373" spans="1:4" x14ac:dyDescent="0.25">
      <c r="A7373" s="1">
        <v>41342</v>
      </c>
      <c r="B7373">
        <v>1</v>
      </c>
      <c r="C7373">
        <v>5</v>
      </c>
      <c r="D7373">
        <v>7</v>
      </c>
    </row>
    <row r="7374" spans="1:4" x14ac:dyDescent="0.25">
      <c r="A7374" s="1">
        <v>41343</v>
      </c>
      <c r="B7374">
        <v>1</v>
      </c>
      <c r="C7374">
        <v>5</v>
      </c>
      <c r="D7374">
        <v>18</v>
      </c>
    </row>
    <row r="7375" spans="1:4" x14ac:dyDescent="0.25">
      <c r="A7375" s="1">
        <v>41344</v>
      </c>
      <c r="B7375">
        <v>1</v>
      </c>
      <c r="C7375">
        <v>5</v>
      </c>
      <c r="D7375">
        <v>9</v>
      </c>
    </row>
    <row r="7376" spans="1:4" x14ac:dyDescent="0.25">
      <c r="A7376" s="1">
        <v>41345</v>
      </c>
      <c r="B7376">
        <v>1</v>
      </c>
      <c r="C7376">
        <v>5</v>
      </c>
      <c r="D7376">
        <v>11</v>
      </c>
    </row>
    <row r="7377" spans="1:4" x14ac:dyDescent="0.25">
      <c r="A7377" s="1">
        <v>41346</v>
      </c>
      <c r="B7377">
        <v>1</v>
      </c>
      <c r="C7377">
        <v>5</v>
      </c>
      <c r="D7377">
        <v>15</v>
      </c>
    </row>
    <row r="7378" spans="1:4" x14ac:dyDescent="0.25">
      <c r="A7378" s="1">
        <v>41347</v>
      </c>
      <c r="B7378">
        <v>1</v>
      </c>
      <c r="C7378">
        <v>5</v>
      </c>
      <c r="D7378">
        <v>9</v>
      </c>
    </row>
    <row r="7379" spans="1:4" x14ac:dyDescent="0.25">
      <c r="A7379" s="1">
        <v>41348</v>
      </c>
      <c r="B7379">
        <v>1</v>
      </c>
      <c r="C7379">
        <v>5</v>
      </c>
      <c r="D7379">
        <v>13</v>
      </c>
    </row>
    <row r="7380" spans="1:4" x14ac:dyDescent="0.25">
      <c r="A7380" s="1">
        <v>41349</v>
      </c>
      <c r="B7380">
        <v>1</v>
      </c>
      <c r="C7380">
        <v>5</v>
      </c>
      <c r="D7380">
        <v>15</v>
      </c>
    </row>
    <row r="7381" spans="1:4" x14ac:dyDescent="0.25">
      <c r="A7381" s="1">
        <v>41350</v>
      </c>
      <c r="B7381">
        <v>1</v>
      </c>
      <c r="C7381">
        <v>5</v>
      </c>
      <c r="D7381">
        <v>19</v>
      </c>
    </row>
    <row r="7382" spans="1:4" x14ac:dyDescent="0.25">
      <c r="A7382" s="1">
        <v>41351</v>
      </c>
      <c r="B7382">
        <v>1</v>
      </c>
      <c r="C7382">
        <v>5</v>
      </c>
      <c r="D7382">
        <v>7</v>
      </c>
    </row>
    <row r="7383" spans="1:4" x14ac:dyDescent="0.25">
      <c r="A7383" s="1">
        <v>41352</v>
      </c>
      <c r="B7383">
        <v>1</v>
      </c>
      <c r="C7383">
        <v>5</v>
      </c>
      <c r="D7383">
        <v>12</v>
      </c>
    </row>
    <row r="7384" spans="1:4" x14ac:dyDescent="0.25">
      <c r="A7384" s="1">
        <v>41353</v>
      </c>
      <c r="B7384">
        <v>1</v>
      </c>
      <c r="C7384">
        <v>5</v>
      </c>
      <c r="D7384">
        <v>12</v>
      </c>
    </row>
    <row r="7385" spans="1:4" x14ac:dyDescent="0.25">
      <c r="A7385" s="1">
        <v>41354</v>
      </c>
      <c r="B7385">
        <v>1</v>
      </c>
      <c r="C7385">
        <v>5</v>
      </c>
      <c r="D7385">
        <v>16</v>
      </c>
    </row>
    <row r="7386" spans="1:4" x14ac:dyDescent="0.25">
      <c r="A7386" s="1">
        <v>41355</v>
      </c>
      <c r="B7386">
        <v>1</v>
      </c>
      <c r="C7386">
        <v>5</v>
      </c>
      <c r="D7386">
        <v>7</v>
      </c>
    </row>
    <row r="7387" spans="1:4" x14ac:dyDescent="0.25">
      <c r="A7387" s="1">
        <v>41356</v>
      </c>
      <c r="B7387">
        <v>1</v>
      </c>
      <c r="C7387">
        <v>5</v>
      </c>
      <c r="D7387">
        <v>13</v>
      </c>
    </row>
    <row r="7388" spans="1:4" x14ac:dyDescent="0.25">
      <c r="A7388" s="1">
        <v>41357</v>
      </c>
      <c r="B7388">
        <v>1</v>
      </c>
      <c r="C7388">
        <v>5</v>
      </c>
      <c r="D7388">
        <v>14</v>
      </c>
    </row>
    <row r="7389" spans="1:4" x14ac:dyDescent="0.25">
      <c r="A7389" s="1">
        <v>41358</v>
      </c>
      <c r="B7389">
        <v>1</v>
      </c>
      <c r="C7389">
        <v>5</v>
      </c>
      <c r="D7389">
        <v>10</v>
      </c>
    </row>
    <row r="7390" spans="1:4" x14ac:dyDescent="0.25">
      <c r="A7390" s="1">
        <v>41359</v>
      </c>
      <c r="B7390">
        <v>1</v>
      </c>
      <c r="C7390">
        <v>5</v>
      </c>
      <c r="D7390">
        <v>11</v>
      </c>
    </row>
    <row r="7391" spans="1:4" x14ac:dyDescent="0.25">
      <c r="A7391" s="1">
        <v>41360</v>
      </c>
      <c r="B7391">
        <v>1</v>
      </c>
      <c r="C7391">
        <v>5</v>
      </c>
      <c r="D7391">
        <v>16</v>
      </c>
    </row>
    <row r="7392" spans="1:4" x14ac:dyDescent="0.25">
      <c r="A7392" s="1">
        <v>41361</v>
      </c>
      <c r="B7392">
        <v>1</v>
      </c>
      <c r="C7392">
        <v>5</v>
      </c>
      <c r="D7392">
        <v>11</v>
      </c>
    </row>
    <row r="7393" spans="1:4" x14ac:dyDescent="0.25">
      <c r="A7393" s="1">
        <v>41362</v>
      </c>
      <c r="B7393">
        <v>1</v>
      </c>
      <c r="C7393">
        <v>5</v>
      </c>
      <c r="D7393">
        <v>15</v>
      </c>
    </row>
    <row r="7394" spans="1:4" x14ac:dyDescent="0.25">
      <c r="A7394" s="1">
        <v>41363</v>
      </c>
      <c r="B7394">
        <v>1</v>
      </c>
      <c r="C7394">
        <v>5</v>
      </c>
      <c r="D7394">
        <v>16</v>
      </c>
    </row>
    <row r="7395" spans="1:4" x14ac:dyDescent="0.25">
      <c r="A7395" s="1">
        <v>41364</v>
      </c>
      <c r="B7395">
        <v>1</v>
      </c>
      <c r="C7395">
        <v>5</v>
      </c>
      <c r="D7395">
        <v>15</v>
      </c>
    </row>
    <row r="7396" spans="1:4" x14ac:dyDescent="0.25">
      <c r="A7396" s="1">
        <v>41365</v>
      </c>
      <c r="B7396">
        <v>1</v>
      </c>
      <c r="C7396">
        <v>5</v>
      </c>
      <c r="D7396">
        <v>14</v>
      </c>
    </row>
    <row r="7397" spans="1:4" x14ac:dyDescent="0.25">
      <c r="A7397" s="1">
        <v>41366</v>
      </c>
      <c r="B7397">
        <v>1</v>
      </c>
      <c r="C7397">
        <v>5</v>
      </c>
      <c r="D7397">
        <v>13</v>
      </c>
    </row>
    <row r="7398" spans="1:4" x14ac:dyDescent="0.25">
      <c r="A7398" s="1">
        <v>41367</v>
      </c>
      <c r="B7398">
        <v>1</v>
      </c>
      <c r="C7398">
        <v>5</v>
      </c>
      <c r="D7398">
        <v>8</v>
      </c>
    </row>
    <row r="7399" spans="1:4" x14ac:dyDescent="0.25">
      <c r="A7399" s="1">
        <v>41368</v>
      </c>
      <c r="B7399">
        <v>1</v>
      </c>
      <c r="C7399">
        <v>5</v>
      </c>
      <c r="D7399">
        <v>22</v>
      </c>
    </row>
    <row r="7400" spans="1:4" x14ac:dyDescent="0.25">
      <c r="A7400" s="1">
        <v>41369</v>
      </c>
      <c r="B7400">
        <v>1</v>
      </c>
      <c r="C7400">
        <v>5</v>
      </c>
      <c r="D7400">
        <v>13</v>
      </c>
    </row>
    <row r="7401" spans="1:4" x14ac:dyDescent="0.25">
      <c r="A7401" s="1">
        <v>41370</v>
      </c>
      <c r="B7401">
        <v>1</v>
      </c>
      <c r="C7401">
        <v>5</v>
      </c>
      <c r="D7401">
        <v>18</v>
      </c>
    </row>
    <row r="7402" spans="1:4" x14ac:dyDescent="0.25">
      <c r="A7402" s="1">
        <v>41371</v>
      </c>
      <c r="B7402">
        <v>1</v>
      </c>
      <c r="C7402">
        <v>5</v>
      </c>
      <c r="D7402">
        <v>11</v>
      </c>
    </row>
    <row r="7403" spans="1:4" x14ac:dyDescent="0.25">
      <c r="A7403" s="1">
        <v>41372</v>
      </c>
      <c r="B7403">
        <v>1</v>
      </c>
      <c r="C7403">
        <v>5</v>
      </c>
      <c r="D7403">
        <v>15</v>
      </c>
    </row>
    <row r="7404" spans="1:4" x14ac:dyDescent="0.25">
      <c r="A7404" s="1">
        <v>41373</v>
      </c>
      <c r="B7404">
        <v>1</v>
      </c>
      <c r="C7404">
        <v>5</v>
      </c>
      <c r="D7404">
        <v>7</v>
      </c>
    </row>
    <row r="7405" spans="1:4" x14ac:dyDescent="0.25">
      <c r="A7405" s="1">
        <v>41374</v>
      </c>
      <c r="B7405">
        <v>1</v>
      </c>
      <c r="C7405">
        <v>5</v>
      </c>
      <c r="D7405">
        <v>8</v>
      </c>
    </row>
    <row r="7406" spans="1:4" x14ac:dyDescent="0.25">
      <c r="A7406" s="1">
        <v>41375</v>
      </c>
      <c r="B7406">
        <v>1</v>
      </c>
      <c r="C7406">
        <v>5</v>
      </c>
      <c r="D7406">
        <v>16</v>
      </c>
    </row>
    <row r="7407" spans="1:4" x14ac:dyDescent="0.25">
      <c r="A7407" s="1">
        <v>41376</v>
      </c>
      <c r="B7407">
        <v>1</v>
      </c>
      <c r="C7407">
        <v>5</v>
      </c>
      <c r="D7407">
        <v>15</v>
      </c>
    </row>
    <row r="7408" spans="1:4" x14ac:dyDescent="0.25">
      <c r="A7408" s="1">
        <v>41377</v>
      </c>
      <c r="B7408">
        <v>1</v>
      </c>
      <c r="C7408">
        <v>5</v>
      </c>
      <c r="D7408">
        <v>18</v>
      </c>
    </row>
    <row r="7409" spans="1:4" x14ac:dyDescent="0.25">
      <c r="A7409" s="1">
        <v>41378</v>
      </c>
      <c r="B7409">
        <v>1</v>
      </c>
      <c r="C7409">
        <v>5</v>
      </c>
      <c r="D7409">
        <v>18</v>
      </c>
    </row>
    <row r="7410" spans="1:4" x14ac:dyDescent="0.25">
      <c r="A7410" s="1">
        <v>41379</v>
      </c>
      <c r="B7410">
        <v>1</v>
      </c>
      <c r="C7410">
        <v>5</v>
      </c>
      <c r="D7410">
        <v>11</v>
      </c>
    </row>
    <row r="7411" spans="1:4" x14ac:dyDescent="0.25">
      <c r="A7411" s="1">
        <v>41380</v>
      </c>
      <c r="B7411">
        <v>1</v>
      </c>
      <c r="C7411">
        <v>5</v>
      </c>
      <c r="D7411">
        <v>10</v>
      </c>
    </row>
    <row r="7412" spans="1:4" x14ac:dyDescent="0.25">
      <c r="A7412" s="1">
        <v>41381</v>
      </c>
      <c r="B7412">
        <v>1</v>
      </c>
      <c r="C7412">
        <v>5</v>
      </c>
      <c r="D7412">
        <v>14</v>
      </c>
    </row>
    <row r="7413" spans="1:4" x14ac:dyDescent="0.25">
      <c r="A7413" s="1">
        <v>41382</v>
      </c>
      <c r="B7413">
        <v>1</v>
      </c>
      <c r="C7413">
        <v>5</v>
      </c>
      <c r="D7413">
        <v>17</v>
      </c>
    </row>
    <row r="7414" spans="1:4" x14ac:dyDescent="0.25">
      <c r="A7414" s="1">
        <v>41383</v>
      </c>
      <c r="B7414">
        <v>1</v>
      </c>
      <c r="C7414">
        <v>5</v>
      </c>
      <c r="D7414">
        <v>17</v>
      </c>
    </row>
    <row r="7415" spans="1:4" x14ac:dyDescent="0.25">
      <c r="A7415" s="1">
        <v>41384</v>
      </c>
      <c r="B7415">
        <v>1</v>
      </c>
      <c r="C7415">
        <v>5</v>
      </c>
      <c r="D7415">
        <v>13</v>
      </c>
    </row>
    <row r="7416" spans="1:4" x14ac:dyDescent="0.25">
      <c r="A7416" s="1">
        <v>41385</v>
      </c>
      <c r="B7416">
        <v>1</v>
      </c>
      <c r="C7416">
        <v>5</v>
      </c>
      <c r="D7416">
        <v>20</v>
      </c>
    </row>
    <row r="7417" spans="1:4" x14ac:dyDescent="0.25">
      <c r="A7417" s="1">
        <v>41386</v>
      </c>
      <c r="B7417">
        <v>1</v>
      </c>
      <c r="C7417">
        <v>5</v>
      </c>
      <c r="D7417">
        <v>11</v>
      </c>
    </row>
    <row r="7418" spans="1:4" x14ac:dyDescent="0.25">
      <c r="A7418" s="1">
        <v>41387</v>
      </c>
      <c r="B7418">
        <v>1</v>
      </c>
      <c r="C7418">
        <v>5</v>
      </c>
      <c r="D7418">
        <v>11</v>
      </c>
    </row>
    <row r="7419" spans="1:4" x14ac:dyDescent="0.25">
      <c r="A7419" s="1">
        <v>41388</v>
      </c>
      <c r="B7419">
        <v>1</v>
      </c>
      <c r="C7419">
        <v>5</v>
      </c>
      <c r="D7419">
        <v>16</v>
      </c>
    </row>
    <row r="7420" spans="1:4" x14ac:dyDescent="0.25">
      <c r="A7420" s="1">
        <v>41389</v>
      </c>
      <c r="B7420">
        <v>1</v>
      </c>
      <c r="C7420">
        <v>5</v>
      </c>
      <c r="D7420">
        <v>13</v>
      </c>
    </row>
    <row r="7421" spans="1:4" x14ac:dyDescent="0.25">
      <c r="A7421" s="1">
        <v>41390</v>
      </c>
      <c r="B7421">
        <v>1</v>
      </c>
      <c r="C7421">
        <v>5</v>
      </c>
      <c r="D7421">
        <v>15</v>
      </c>
    </row>
    <row r="7422" spans="1:4" x14ac:dyDescent="0.25">
      <c r="A7422" s="1">
        <v>41391</v>
      </c>
      <c r="B7422">
        <v>1</v>
      </c>
      <c r="C7422">
        <v>5</v>
      </c>
      <c r="D7422">
        <v>15</v>
      </c>
    </row>
    <row r="7423" spans="1:4" x14ac:dyDescent="0.25">
      <c r="A7423" s="1">
        <v>41392</v>
      </c>
      <c r="B7423">
        <v>1</v>
      </c>
      <c r="C7423">
        <v>5</v>
      </c>
      <c r="D7423">
        <v>14</v>
      </c>
    </row>
    <row r="7424" spans="1:4" x14ac:dyDescent="0.25">
      <c r="A7424" s="1">
        <v>41393</v>
      </c>
      <c r="B7424">
        <v>1</v>
      </c>
      <c r="C7424">
        <v>5</v>
      </c>
      <c r="D7424">
        <v>14</v>
      </c>
    </row>
    <row r="7425" spans="1:4" x14ac:dyDescent="0.25">
      <c r="A7425" s="1">
        <v>41394</v>
      </c>
      <c r="B7425">
        <v>1</v>
      </c>
      <c r="C7425">
        <v>5</v>
      </c>
      <c r="D7425">
        <v>10</v>
      </c>
    </row>
    <row r="7426" spans="1:4" x14ac:dyDescent="0.25">
      <c r="A7426" s="1">
        <v>41395</v>
      </c>
      <c r="B7426">
        <v>1</v>
      </c>
      <c r="C7426">
        <v>5</v>
      </c>
      <c r="D7426">
        <v>15</v>
      </c>
    </row>
    <row r="7427" spans="1:4" x14ac:dyDescent="0.25">
      <c r="A7427" s="1">
        <v>41396</v>
      </c>
      <c r="B7427">
        <v>1</v>
      </c>
      <c r="C7427">
        <v>5</v>
      </c>
      <c r="D7427">
        <v>11</v>
      </c>
    </row>
    <row r="7428" spans="1:4" x14ac:dyDescent="0.25">
      <c r="A7428" s="1">
        <v>41397</v>
      </c>
      <c r="B7428">
        <v>1</v>
      </c>
      <c r="C7428">
        <v>5</v>
      </c>
      <c r="D7428">
        <v>18</v>
      </c>
    </row>
    <row r="7429" spans="1:4" x14ac:dyDescent="0.25">
      <c r="A7429" s="1">
        <v>41398</v>
      </c>
      <c r="B7429">
        <v>1</v>
      </c>
      <c r="C7429">
        <v>5</v>
      </c>
      <c r="D7429">
        <v>15</v>
      </c>
    </row>
    <row r="7430" spans="1:4" x14ac:dyDescent="0.25">
      <c r="A7430" s="1">
        <v>41399</v>
      </c>
      <c r="B7430">
        <v>1</v>
      </c>
      <c r="C7430">
        <v>5</v>
      </c>
      <c r="D7430">
        <v>19</v>
      </c>
    </row>
    <row r="7431" spans="1:4" x14ac:dyDescent="0.25">
      <c r="A7431" s="1">
        <v>41400</v>
      </c>
      <c r="B7431">
        <v>1</v>
      </c>
      <c r="C7431">
        <v>5</v>
      </c>
      <c r="D7431">
        <v>12</v>
      </c>
    </row>
    <row r="7432" spans="1:4" x14ac:dyDescent="0.25">
      <c r="A7432" s="1">
        <v>41401</v>
      </c>
      <c r="B7432">
        <v>1</v>
      </c>
      <c r="C7432">
        <v>5</v>
      </c>
      <c r="D7432">
        <v>17</v>
      </c>
    </row>
    <row r="7433" spans="1:4" x14ac:dyDescent="0.25">
      <c r="A7433" s="1">
        <v>41402</v>
      </c>
      <c r="B7433">
        <v>1</v>
      </c>
      <c r="C7433">
        <v>5</v>
      </c>
      <c r="D7433">
        <v>16</v>
      </c>
    </row>
    <row r="7434" spans="1:4" x14ac:dyDescent="0.25">
      <c r="A7434" s="1">
        <v>41403</v>
      </c>
      <c r="B7434">
        <v>1</v>
      </c>
      <c r="C7434">
        <v>5</v>
      </c>
      <c r="D7434">
        <v>20</v>
      </c>
    </row>
    <row r="7435" spans="1:4" x14ac:dyDescent="0.25">
      <c r="A7435" s="1">
        <v>41404</v>
      </c>
      <c r="B7435">
        <v>1</v>
      </c>
      <c r="C7435">
        <v>5</v>
      </c>
      <c r="D7435">
        <v>10</v>
      </c>
    </row>
    <row r="7436" spans="1:4" x14ac:dyDescent="0.25">
      <c r="A7436" s="1">
        <v>41405</v>
      </c>
      <c r="B7436">
        <v>1</v>
      </c>
      <c r="C7436">
        <v>5</v>
      </c>
      <c r="D7436">
        <v>21</v>
      </c>
    </row>
    <row r="7437" spans="1:4" x14ac:dyDescent="0.25">
      <c r="A7437" s="1">
        <v>41406</v>
      </c>
      <c r="B7437">
        <v>1</v>
      </c>
      <c r="C7437">
        <v>5</v>
      </c>
      <c r="D7437">
        <v>15</v>
      </c>
    </row>
    <row r="7438" spans="1:4" x14ac:dyDescent="0.25">
      <c r="A7438" s="1">
        <v>41407</v>
      </c>
      <c r="B7438">
        <v>1</v>
      </c>
      <c r="C7438">
        <v>5</v>
      </c>
      <c r="D7438">
        <v>5</v>
      </c>
    </row>
    <row r="7439" spans="1:4" x14ac:dyDescent="0.25">
      <c r="A7439" s="1">
        <v>41408</v>
      </c>
      <c r="B7439">
        <v>1</v>
      </c>
      <c r="C7439">
        <v>5</v>
      </c>
      <c r="D7439">
        <v>12</v>
      </c>
    </row>
    <row r="7440" spans="1:4" x14ac:dyDescent="0.25">
      <c r="A7440" s="1">
        <v>41409</v>
      </c>
      <c r="B7440">
        <v>1</v>
      </c>
      <c r="C7440">
        <v>5</v>
      </c>
      <c r="D7440">
        <v>23</v>
      </c>
    </row>
    <row r="7441" spans="1:4" x14ac:dyDescent="0.25">
      <c r="A7441" s="1">
        <v>41410</v>
      </c>
      <c r="B7441">
        <v>1</v>
      </c>
      <c r="C7441">
        <v>5</v>
      </c>
      <c r="D7441">
        <v>19</v>
      </c>
    </row>
    <row r="7442" spans="1:4" x14ac:dyDescent="0.25">
      <c r="A7442" s="1">
        <v>41411</v>
      </c>
      <c r="B7442">
        <v>1</v>
      </c>
      <c r="C7442">
        <v>5</v>
      </c>
      <c r="D7442">
        <v>18</v>
      </c>
    </row>
    <row r="7443" spans="1:4" x14ac:dyDescent="0.25">
      <c r="A7443" s="1">
        <v>41412</v>
      </c>
      <c r="B7443">
        <v>1</v>
      </c>
      <c r="C7443">
        <v>5</v>
      </c>
      <c r="D7443">
        <v>18</v>
      </c>
    </row>
    <row r="7444" spans="1:4" x14ac:dyDescent="0.25">
      <c r="A7444" s="1">
        <v>41413</v>
      </c>
      <c r="B7444">
        <v>1</v>
      </c>
      <c r="C7444">
        <v>5</v>
      </c>
      <c r="D7444">
        <v>21</v>
      </c>
    </row>
    <row r="7445" spans="1:4" x14ac:dyDescent="0.25">
      <c r="A7445" s="1">
        <v>41414</v>
      </c>
      <c r="B7445">
        <v>1</v>
      </c>
      <c r="C7445">
        <v>5</v>
      </c>
      <c r="D7445">
        <v>12</v>
      </c>
    </row>
    <row r="7446" spans="1:4" x14ac:dyDescent="0.25">
      <c r="A7446" s="1">
        <v>41415</v>
      </c>
      <c r="B7446">
        <v>1</v>
      </c>
      <c r="C7446">
        <v>5</v>
      </c>
      <c r="D7446">
        <v>10</v>
      </c>
    </row>
    <row r="7447" spans="1:4" x14ac:dyDescent="0.25">
      <c r="A7447" s="1">
        <v>41416</v>
      </c>
      <c r="B7447">
        <v>1</v>
      </c>
      <c r="C7447">
        <v>5</v>
      </c>
      <c r="D7447">
        <v>22</v>
      </c>
    </row>
    <row r="7448" spans="1:4" x14ac:dyDescent="0.25">
      <c r="A7448" s="1">
        <v>41417</v>
      </c>
      <c r="B7448">
        <v>1</v>
      </c>
      <c r="C7448">
        <v>5</v>
      </c>
      <c r="D7448">
        <v>24</v>
      </c>
    </row>
    <row r="7449" spans="1:4" x14ac:dyDescent="0.25">
      <c r="A7449" s="1">
        <v>41418</v>
      </c>
      <c r="B7449">
        <v>1</v>
      </c>
      <c r="C7449">
        <v>5</v>
      </c>
      <c r="D7449">
        <v>20</v>
      </c>
    </row>
    <row r="7450" spans="1:4" x14ac:dyDescent="0.25">
      <c r="A7450" s="1">
        <v>41419</v>
      </c>
      <c r="B7450">
        <v>1</v>
      </c>
      <c r="C7450">
        <v>5</v>
      </c>
      <c r="D7450">
        <v>21</v>
      </c>
    </row>
    <row r="7451" spans="1:4" x14ac:dyDescent="0.25">
      <c r="A7451" s="1">
        <v>41420</v>
      </c>
      <c r="B7451">
        <v>1</v>
      </c>
      <c r="C7451">
        <v>5</v>
      </c>
      <c r="D7451">
        <v>14</v>
      </c>
    </row>
    <row r="7452" spans="1:4" x14ac:dyDescent="0.25">
      <c r="A7452" s="1">
        <v>41421</v>
      </c>
      <c r="B7452">
        <v>1</v>
      </c>
      <c r="C7452">
        <v>5</v>
      </c>
      <c r="D7452">
        <v>14</v>
      </c>
    </row>
    <row r="7453" spans="1:4" x14ac:dyDescent="0.25">
      <c r="A7453" s="1">
        <v>41422</v>
      </c>
      <c r="B7453">
        <v>1</v>
      </c>
      <c r="C7453">
        <v>5</v>
      </c>
      <c r="D7453">
        <v>15</v>
      </c>
    </row>
    <row r="7454" spans="1:4" x14ac:dyDescent="0.25">
      <c r="A7454" s="1">
        <v>41423</v>
      </c>
      <c r="B7454">
        <v>1</v>
      </c>
      <c r="C7454">
        <v>5</v>
      </c>
      <c r="D7454">
        <v>13</v>
      </c>
    </row>
    <row r="7455" spans="1:4" x14ac:dyDescent="0.25">
      <c r="A7455" s="1">
        <v>41424</v>
      </c>
      <c r="B7455">
        <v>1</v>
      </c>
      <c r="C7455">
        <v>5</v>
      </c>
      <c r="D7455">
        <v>14</v>
      </c>
    </row>
    <row r="7456" spans="1:4" x14ac:dyDescent="0.25">
      <c r="A7456" s="1">
        <v>41425</v>
      </c>
      <c r="B7456">
        <v>1</v>
      </c>
      <c r="C7456">
        <v>5</v>
      </c>
      <c r="D7456">
        <v>13</v>
      </c>
    </row>
    <row r="7457" spans="1:4" x14ac:dyDescent="0.25">
      <c r="A7457" s="1">
        <v>41426</v>
      </c>
      <c r="B7457">
        <v>1</v>
      </c>
      <c r="C7457">
        <v>5</v>
      </c>
      <c r="D7457">
        <v>18</v>
      </c>
    </row>
    <row r="7458" spans="1:4" x14ac:dyDescent="0.25">
      <c r="A7458" s="1">
        <v>41427</v>
      </c>
      <c r="B7458">
        <v>1</v>
      </c>
      <c r="C7458">
        <v>5</v>
      </c>
      <c r="D7458">
        <v>18</v>
      </c>
    </row>
    <row r="7459" spans="1:4" x14ac:dyDescent="0.25">
      <c r="A7459" s="1">
        <v>41428</v>
      </c>
      <c r="B7459">
        <v>1</v>
      </c>
      <c r="C7459">
        <v>5</v>
      </c>
      <c r="D7459">
        <v>17</v>
      </c>
    </row>
    <row r="7460" spans="1:4" x14ac:dyDescent="0.25">
      <c r="A7460" s="1">
        <v>41429</v>
      </c>
      <c r="B7460">
        <v>1</v>
      </c>
      <c r="C7460">
        <v>5</v>
      </c>
      <c r="D7460">
        <v>12</v>
      </c>
    </row>
    <row r="7461" spans="1:4" x14ac:dyDescent="0.25">
      <c r="A7461" s="1">
        <v>41430</v>
      </c>
      <c r="B7461">
        <v>1</v>
      </c>
      <c r="C7461">
        <v>5</v>
      </c>
      <c r="D7461">
        <v>10</v>
      </c>
    </row>
    <row r="7462" spans="1:4" x14ac:dyDescent="0.25">
      <c r="A7462" s="1">
        <v>41431</v>
      </c>
      <c r="B7462">
        <v>1</v>
      </c>
      <c r="C7462">
        <v>5</v>
      </c>
      <c r="D7462">
        <v>20</v>
      </c>
    </row>
    <row r="7463" spans="1:4" x14ac:dyDescent="0.25">
      <c r="A7463" s="1">
        <v>41432</v>
      </c>
      <c r="B7463">
        <v>1</v>
      </c>
      <c r="C7463">
        <v>5</v>
      </c>
      <c r="D7463">
        <v>14</v>
      </c>
    </row>
    <row r="7464" spans="1:4" x14ac:dyDescent="0.25">
      <c r="A7464" s="1">
        <v>41433</v>
      </c>
      <c r="B7464">
        <v>1</v>
      </c>
      <c r="C7464">
        <v>5</v>
      </c>
      <c r="D7464">
        <v>22</v>
      </c>
    </row>
    <row r="7465" spans="1:4" x14ac:dyDescent="0.25">
      <c r="A7465" s="1">
        <v>41434</v>
      </c>
      <c r="B7465">
        <v>1</v>
      </c>
      <c r="C7465">
        <v>5</v>
      </c>
      <c r="D7465">
        <v>19</v>
      </c>
    </row>
    <row r="7466" spans="1:4" x14ac:dyDescent="0.25">
      <c r="A7466" s="1">
        <v>41435</v>
      </c>
      <c r="B7466">
        <v>1</v>
      </c>
      <c r="C7466">
        <v>5</v>
      </c>
      <c r="D7466">
        <v>16</v>
      </c>
    </row>
    <row r="7467" spans="1:4" x14ac:dyDescent="0.25">
      <c r="A7467" s="1">
        <v>41436</v>
      </c>
      <c r="B7467">
        <v>1</v>
      </c>
      <c r="C7467">
        <v>5</v>
      </c>
      <c r="D7467">
        <v>14</v>
      </c>
    </row>
    <row r="7468" spans="1:4" x14ac:dyDescent="0.25">
      <c r="A7468" s="1">
        <v>41437</v>
      </c>
      <c r="B7468">
        <v>1</v>
      </c>
      <c r="C7468">
        <v>5</v>
      </c>
      <c r="D7468">
        <v>14</v>
      </c>
    </row>
    <row r="7469" spans="1:4" x14ac:dyDescent="0.25">
      <c r="A7469" s="1">
        <v>41438</v>
      </c>
      <c r="B7469">
        <v>1</v>
      </c>
      <c r="C7469">
        <v>5</v>
      </c>
      <c r="D7469">
        <v>8</v>
      </c>
    </row>
    <row r="7470" spans="1:4" x14ac:dyDescent="0.25">
      <c r="A7470" s="1">
        <v>41439</v>
      </c>
      <c r="B7470">
        <v>1</v>
      </c>
      <c r="C7470">
        <v>5</v>
      </c>
      <c r="D7470">
        <v>18</v>
      </c>
    </row>
    <row r="7471" spans="1:4" x14ac:dyDescent="0.25">
      <c r="A7471" s="1">
        <v>41440</v>
      </c>
      <c r="B7471">
        <v>1</v>
      </c>
      <c r="C7471">
        <v>5</v>
      </c>
      <c r="D7471">
        <v>19</v>
      </c>
    </row>
    <row r="7472" spans="1:4" x14ac:dyDescent="0.25">
      <c r="A7472" s="1">
        <v>41441</v>
      </c>
      <c r="B7472">
        <v>1</v>
      </c>
      <c r="C7472">
        <v>5</v>
      </c>
      <c r="D7472">
        <v>19</v>
      </c>
    </row>
    <row r="7473" spans="1:4" x14ac:dyDescent="0.25">
      <c r="A7473" s="1">
        <v>41442</v>
      </c>
      <c r="B7473">
        <v>1</v>
      </c>
      <c r="C7473">
        <v>5</v>
      </c>
      <c r="D7473">
        <v>11</v>
      </c>
    </row>
    <row r="7474" spans="1:4" x14ac:dyDescent="0.25">
      <c r="A7474" s="1">
        <v>41443</v>
      </c>
      <c r="B7474">
        <v>1</v>
      </c>
      <c r="C7474">
        <v>5</v>
      </c>
      <c r="D7474">
        <v>14</v>
      </c>
    </row>
    <row r="7475" spans="1:4" x14ac:dyDescent="0.25">
      <c r="A7475" s="1">
        <v>41444</v>
      </c>
      <c r="B7475">
        <v>1</v>
      </c>
      <c r="C7475">
        <v>5</v>
      </c>
      <c r="D7475">
        <v>15</v>
      </c>
    </row>
    <row r="7476" spans="1:4" x14ac:dyDescent="0.25">
      <c r="A7476" s="1">
        <v>41445</v>
      </c>
      <c r="B7476">
        <v>1</v>
      </c>
      <c r="C7476">
        <v>5</v>
      </c>
      <c r="D7476">
        <v>16</v>
      </c>
    </row>
    <row r="7477" spans="1:4" x14ac:dyDescent="0.25">
      <c r="A7477" s="1">
        <v>41446</v>
      </c>
      <c r="B7477">
        <v>1</v>
      </c>
      <c r="C7477">
        <v>5</v>
      </c>
      <c r="D7477">
        <v>16</v>
      </c>
    </row>
    <row r="7478" spans="1:4" x14ac:dyDescent="0.25">
      <c r="A7478" s="1">
        <v>41447</v>
      </c>
      <c r="B7478">
        <v>1</v>
      </c>
      <c r="C7478">
        <v>5</v>
      </c>
      <c r="D7478">
        <v>13</v>
      </c>
    </row>
    <row r="7479" spans="1:4" x14ac:dyDescent="0.25">
      <c r="A7479" s="1">
        <v>41448</v>
      </c>
      <c r="B7479">
        <v>1</v>
      </c>
      <c r="C7479">
        <v>5</v>
      </c>
      <c r="D7479">
        <v>17</v>
      </c>
    </row>
    <row r="7480" spans="1:4" x14ac:dyDescent="0.25">
      <c r="A7480" s="1">
        <v>41449</v>
      </c>
      <c r="B7480">
        <v>1</v>
      </c>
      <c r="C7480">
        <v>5</v>
      </c>
      <c r="D7480">
        <v>13</v>
      </c>
    </row>
    <row r="7481" spans="1:4" x14ac:dyDescent="0.25">
      <c r="A7481" s="1">
        <v>41450</v>
      </c>
      <c r="B7481">
        <v>1</v>
      </c>
      <c r="C7481">
        <v>5</v>
      </c>
      <c r="D7481">
        <v>17</v>
      </c>
    </row>
    <row r="7482" spans="1:4" x14ac:dyDescent="0.25">
      <c r="A7482" s="1">
        <v>41451</v>
      </c>
      <c r="B7482">
        <v>1</v>
      </c>
      <c r="C7482">
        <v>5</v>
      </c>
      <c r="D7482">
        <v>15</v>
      </c>
    </row>
    <row r="7483" spans="1:4" x14ac:dyDescent="0.25">
      <c r="A7483" s="1">
        <v>41452</v>
      </c>
      <c r="B7483">
        <v>1</v>
      </c>
      <c r="C7483">
        <v>5</v>
      </c>
      <c r="D7483">
        <v>24</v>
      </c>
    </row>
    <row r="7484" spans="1:4" x14ac:dyDescent="0.25">
      <c r="A7484" s="1">
        <v>41453</v>
      </c>
      <c r="B7484">
        <v>1</v>
      </c>
      <c r="C7484">
        <v>5</v>
      </c>
      <c r="D7484">
        <v>19</v>
      </c>
    </row>
    <row r="7485" spans="1:4" x14ac:dyDescent="0.25">
      <c r="A7485" s="1">
        <v>41454</v>
      </c>
      <c r="B7485">
        <v>1</v>
      </c>
      <c r="C7485">
        <v>5</v>
      </c>
      <c r="D7485">
        <v>19</v>
      </c>
    </row>
    <row r="7486" spans="1:4" x14ac:dyDescent="0.25">
      <c r="A7486" s="1">
        <v>41455</v>
      </c>
      <c r="B7486">
        <v>1</v>
      </c>
      <c r="C7486">
        <v>5</v>
      </c>
      <c r="D7486">
        <v>30</v>
      </c>
    </row>
    <row r="7487" spans="1:4" x14ac:dyDescent="0.25">
      <c r="A7487" s="1">
        <v>41456</v>
      </c>
      <c r="B7487">
        <v>1</v>
      </c>
      <c r="C7487">
        <v>5</v>
      </c>
      <c r="D7487">
        <v>13</v>
      </c>
    </row>
    <row r="7488" spans="1:4" x14ac:dyDescent="0.25">
      <c r="A7488" s="1">
        <v>41457</v>
      </c>
      <c r="B7488">
        <v>1</v>
      </c>
      <c r="C7488">
        <v>5</v>
      </c>
      <c r="D7488">
        <v>9</v>
      </c>
    </row>
    <row r="7489" spans="1:4" x14ac:dyDescent="0.25">
      <c r="A7489" s="1">
        <v>41458</v>
      </c>
      <c r="B7489">
        <v>1</v>
      </c>
      <c r="C7489">
        <v>5</v>
      </c>
      <c r="D7489">
        <v>16</v>
      </c>
    </row>
    <row r="7490" spans="1:4" x14ac:dyDescent="0.25">
      <c r="A7490" s="1">
        <v>41459</v>
      </c>
      <c r="B7490">
        <v>1</v>
      </c>
      <c r="C7490">
        <v>5</v>
      </c>
      <c r="D7490">
        <v>19</v>
      </c>
    </row>
    <row r="7491" spans="1:4" x14ac:dyDescent="0.25">
      <c r="A7491" s="1">
        <v>41460</v>
      </c>
      <c r="B7491">
        <v>1</v>
      </c>
      <c r="C7491">
        <v>5</v>
      </c>
      <c r="D7491">
        <v>16</v>
      </c>
    </row>
    <row r="7492" spans="1:4" x14ac:dyDescent="0.25">
      <c r="A7492" s="1">
        <v>41461</v>
      </c>
      <c r="B7492">
        <v>1</v>
      </c>
      <c r="C7492">
        <v>5</v>
      </c>
      <c r="D7492">
        <v>17</v>
      </c>
    </row>
    <row r="7493" spans="1:4" x14ac:dyDescent="0.25">
      <c r="A7493" s="1">
        <v>41462</v>
      </c>
      <c r="B7493">
        <v>1</v>
      </c>
      <c r="C7493">
        <v>5</v>
      </c>
      <c r="D7493">
        <v>14</v>
      </c>
    </row>
    <row r="7494" spans="1:4" x14ac:dyDescent="0.25">
      <c r="A7494" s="1">
        <v>41463</v>
      </c>
      <c r="B7494">
        <v>1</v>
      </c>
      <c r="C7494">
        <v>5</v>
      </c>
      <c r="D7494">
        <v>16</v>
      </c>
    </row>
    <row r="7495" spans="1:4" x14ac:dyDescent="0.25">
      <c r="A7495" s="1">
        <v>41464</v>
      </c>
      <c r="B7495">
        <v>1</v>
      </c>
      <c r="C7495">
        <v>5</v>
      </c>
      <c r="D7495">
        <v>17</v>
      </c>
    </row>
    <row r="7496" spans="1:4" x14ac:dyDescent="0.25">
      <c r="A7496" s="1">
        <v>41465</v>
      </c>
      <c r="B7496">
        <v>1</v>
      </c>
      <c r="C7496">
        <v>5</v>
      </c>
      <c r="D7496">
        <v>18</v>
      </c>
    </row>
    <row r="7497" spans="1:4" x14ac:dyDescent="0.25">
      <c r="A7497" s="1">
        <v>41466</v>
      </c>
      <c r="B7497">
        <v>1</v>
      </c>
      <c r="C7497">
        <v>5</v>
      </c>
      <c r="D7497">
        <v>19</v>
      </c>
    </row>
    <row r="7498" spans="1:4" x14ac:dyDescent="0.25">
      <c r="A7498" s="1">
        <v>41467</v>
      </c>
      <c r="B7498">
        <v>1</v>
      </c>
      <c r="C7498">
        <v>5</v>
      </c>
      <c r="D7498">
        <v>16</v>
      </c>
    </row>
    <row r="7499" spans="1:4" x14ac:dyDescent="0.25">
      <c r="A7499" s="1">
        <v>41468</v>
      </c>
      <c r="B7499">
        <v>1</v>
      </c>
      <c r="C7499">
        <v>5</v>
      </c>
      <c r="D7499">
        <v>17</v>
      </c>
    </row>
    <row r="7500" spans="1:4" x14ac:dyDescent="0.25">
      <c r="A7500" s="1">
        <v>41469</v>
      </c>
      <c r="B7500">
        <v>1</v>
      </c>
      <c r="C7500">
        <v>5</v>
      </c>
      <c r="D7500">
        <v>15</v>
      </c>
    </row>
    <row r="7501" spans="1:4" x14ac:dyDescent="0.25">
      <c r="A7501" s="1">
        <v>41470</v>
      </c>
      <c r="B7501">
        <v>1</v>
      </c>
      <c r="C7501">
        <v>5</v>
      </c>
      <c r="D7501">
        <v>12</v>
      </c>
    </row>
    <row r="7502" spans="1:4" x14ac:dyDescent="0.25">
      <c r="A7502" s="1">
        <v>41471</v>
      </c>
      <c r="B7502">
        <v>1</v>
      </c>
      <c r="C7502">
        <v>5</v>
      </c>
      <c r="D7502">
        <v>17</v>
      </c>
    </row>
    <row r="7503" spans="1:4" x14ac:dyDescent="0.25">
      <c r="A7503" s="1">
        <v>41472</v>
      </c>
      <c r="B7503">
        <v>1</v>
      </c>
      <c r="C7503">
        <v>5</v>
      </c>
      <c r="D7503">
        <v>11</v>
      </c>
    </row>
    <row r="7504" spans="1:4" x14ac:dyDescent="0.25">
      <c r="A7504" s="1">
        <v>41473</v>
      </c>
      <c r="B7504">
        <v>1</v>
      </c>
      <c r="C7504">
        <v>5</v>
      </c>
      <c r="D7504">
        <v>26</v>
      </c>
    </row>
    <row r="7505" spans="1:4" x14ac:dyDescent="0.25">
      <c r="A7505" s="1">
        <v>41474</v>
      </c>
      <c r="B7505">
        <v>1</v>
      </c>
      <c r="C7505">
        <v>5</v>
      </c>
      <c r="D7505">
        <v>17</v>
      </c>
    </row>
    <row r="7506" spans="1:4" x14ac:dyDescent="0.25">
      <c r="A7506" s="1">
        <v>41475</v>
      </c>
      <c r="B7506">
        <v>1</v>
      </c>
      <c r="C7506">
        <v>5</v>
      </c>
      <c r="D7506">
        <v>20</v>
      </c>
    </row>
    <row r="7507" spans="1:4" x14ac:dyDescent="0.25">
      <c r="A7507" s="1">
        <v>41476</v>
      </c>
      <c r="B7507">
        <v>1</v>
      </c>
      <c r="C7507">
        <v>5</v>
      </c>
      <c r="D7507">
        <v>19</v>
      </c>
    </row>
    <row r="7508" spans="1:4" x14ac:dyDescent="0.25">
      <c r="A7508" s="1">
        <v>41477</v>
      </c>
      <c r="B7508">
        <v>1</v>
      </c>
      <c r="C7508">
        <v>5</v>
      </c>
      <c r="D7508">
        <v>17</v>
      </c>
    </row>
    <row r="7509" spans="1:4" x14ac:dyDescent="0.25">
      <c r="A7509" s="1">
        <v>41478</v>
      </c>
      <c r="B7509">
        <v>1</v>
      </c>
      <c r="C7509">
        <v>5</v>
      </c>
      <c r="D7509">
        <v>17</v>
      </c>
    </row>
    <row r="7510" spans="1:4" x14ac:dyDescent="0.25">
      <c r="A7510" s="1">
        <v>41479</v>
      </c>
      <c r="B7510">
        <v>1</v>
      </c>
      <c r="C7510">
        <v>5</v>
      </c>
      <c r="D7510">
        <v>22</v>
      </c>
    </row>
    <row r="7511" spans="1:4" x14ac:dyDescent="0.25">
      <c r="A7511" s="1">
        <v>41480</v>
      </c>
      <c r="B7511">
        <v>1</v>
      </c>
      <c r="C7511">
        <v>5</v>
      </c>
      <c r="D7511">
        <v>20</v>
      </c>
    </row>
    <row r="7512" spans="1:4" x14ac:dyDescent="0.25">
      <c r="A7512" s="1">
        <v>41481</v>
      </c>
      <c r="B7512">
        <v>1</v>
      </c>
      <c r="C7512">
        <v>5</v>
      </c>
      <c r="D7512">
        <v>18</v>
      </c>
    </row>
    <row r="7513" spans="1:4" x14ac:dyDescent="0.25">
      <c r="A7513" s="1">
        <v>41482</v>
      </c>
      <c r="B7513">
        <v>1</v>
      </c>
      <c r="C7513">
        <v>5</v>
      </c>
      <c r="D7513">
        <v>19</v>
      </c>
    </row>
    <row r="7514" spans="1:4" x14ac:dyDescent="0.25">
      <c r="A7514" s="1">
        <v>41483</v>
      </c>
      <c r="B7514">
        <v>1</v>
      </c>
      <c r="C7514">
        <v>5</v>
      </c>
      <c r="D7514">
        <v>18</v>
      </c>
    </row>
    <row r="7515" spans="1:4" x14ac:dyDescent="0.25">
      <c r="A7515" s="1">
        <v>41484</v>
      </c>
      <c r="B7515">
        <v>1</v>
      </c>
      <c r="C7515">
        <v>5</v>
      </c>
      <c r="D7515">
        <v>14</v>
      </c>
    </row>
    <row r="7516" spans="1:4" x14ac:dyDescent="0.25">
      <c r="A7516" s="1">
        <v>41485</v>
      </c>
      <c r="B7516">
        <v>1</v>
      </c>
      <c r="C7516">
        <v>5</v>
      </c>
      <c r="D7516">
        <v>17</v>
      </c>
    </row>
    <row r="7517" spans="1:4" x14ac:dyDescent="0.25">
      <c r="A7517" s="1">
        <v>41486</v>
      </c>
      <c r="B7517">
        <v>1</v>
      </c>
      <c r="C7517">
        <v>5</v>
      </c>
      <c r="D7517">
        <v>13</v>
      </c>
    </row>
    <row r="7518" spans="1:4" x14ac:dyDescent="0.25">
      <c r="A7518" s="1">
        <v>41487</v>
      </c>
      <c r="B7518">
        <v>1</v>
      </c>
      <c r="C7518">
        <v>5</v>
      </c>
      <c r="D7518">
        <v>9</v>
      </c>
    </row>
    <row r="7519" spans="1:4" x14ac:dyDescent="0.25">
      <c r="A7519" s="1">
        <v>41488</v>
      </c>
      <c r="B7519">
        <v>1</v>
      </c>
      <c r="C7519">
        <v>5</v>
      </c>
      <c r="D7519">
        <v>17</v>
      </c>
    </row>
    <row r="7520" spans="1:4" x14ac:dyDescent="0.25">
      <c r="A7520" s="1">
        <v>41489</v>
      </c>
      <c r="B7520">
        <v>1</v>
      </c>
      <c r="C7520">
        <v>5</v>
      </c>
      <c r="D7520">
        <v>17</v>
      </c>
    </row>
    <row r="7521" spans="1:4" x14ac:dyDescent="0.25">
      <c r="A7521" s="1">
        <v>41490</v>
      </c>
      <c r="B7521">
        <v>1</v>
      </c>
      <c r="C7521">
        <v>5</v>
      </c>
      <c r="D7521">
        <v>15</v>
      </c>
    </row>
    <row r="7522" spans="1:4" x14ac:dyDescent="0.25">
      <c r="A7522" s="1">
        <v>41491</v>
      </c>
      <c r="B7522">
        <v>1</v>
      </c>
      <c r="C7522">
        <v>5</v>
      </c>
      <c r="D7522">
        <v>6</v>
      </c>
    </row>
    <row r="7523" spans="1:4" x14ac:dyDescent="0.25">
      <c r="A7523" s="1">
        <v>41492</v>
      </c>
      <c r="B7523">
        <v>1</v>
      </c>
      <c r="C7523">
        <v>5</v>
      </c>
      <c r="D7523">
        <v>16</v>
      </c>
    </row>
    <row r="7524" spans="1:4" x14ac:dyDescent="0.25">
      <c r="A7524" s="1">
        <v>41493</v>
      </c>
      <c r="B7524">
        <v>1</v>
      </c>
      <c r="C7524">
        <v>5</v>
      </c>
      <c r="D7524">
        <v>12</v>
      </c>
    </row>
    <row r="7525" spans="1:4" x14ac:dyDescent="0.25">
      <c r="A7525" s="1">
        <v>41494</v>
      </c>
      <c r="B7525">
        <v>1</v>
      </c>
      <c r="C7525">
        <v>5</v>
      </c>
      <c r="D7525">
        <v>12</v>
      </c>
    </row>
    <row r="7526" spans="1:4" x14ac:dyDescent="0.25">
      <c r="A7526" s="1">
        <v>41495</v>
      </c>
      <c r="B7526">
        <v>1</v>
      </c>
      <c r="C7526">
        <v>5</v>
      </c>
      <c r="D7526">
        <v>12</v>
      </c>
    </row>
    <row r="7527" spans="1:4" x14ac:dyDescent="0.25">
      <c r="A7527" s="1">
        <v>41496</v>
      </c>
      <c r="B7527">
        <v>1</v>
      </c>
      <c r="C7527">
        <v>5</v>
      </c>
      <c r="D7527">
        <v>17</v>
      </c>
    </row>
    <row r="7528" spans="1:4" x14ac:dyDescent="0.25">
      <c r="A7528" s="1">
        <v>41497</v>
      </c>
      <c r="B7528">
        <v>1</v>
      </c>
      <c r="C7528">
        <v>5</v>
      </c>
      <c r="D7528">
        <v>17</v>
      </c>
    </row>
    <row r="7529" spans="1:4" x14ac:dyDescent="0.25">
      <c r="A7529" s="1">
        <v>41498</v>
      </c>
      <c r="B7529">
        <v>1</v>
      </c>
      <c r="C7529">
        <v>5</v>
      </c>
      <c r="D7529">
        <v>8</v>
      </c>
    </row>
    <row r="7530" spans="1:4" x14ac:dyDescent="0.25">
      <c r="A7530" s="1">
        <v>41499</v>
      </c>
      <c r="B7530">
        <v>1</v>
      </c>
      <c r="C7530">
        <v>5</v>
      </c>
      <c r="D7530">
        <v>16</v>
      </c>
    </row>
    <row r="7531" spans="1:4" x14ac:dyDescent="0.25">
      <c r="A7531" s="1">
        <v>41500</v>
      </c>
      <c r="B7531">
        <v>1</v>
      </c>
      <c r="C7531">
        <v>5</v>
      </c>
      <c r="D7531">
        <v>22</v>
      </c>
    </row>
    <row r="7532" spans="1:4" x14ac:dyDescent="0.25">
      <c r="A7532" s="1">
        <v>41501</v>
      </c>
      <c r="B7532">
        <v>1</v>
      </c>
      <c r="C7532">
        <v>5</v>
      </c>
      <c r="D7532">
        <v>23</v>
      </c>
    </row>
    <row r="7533" spans="1:4" x14ac:dyDescent="0.25">
      <c r="A7533" s="1">
        <v>41502</v>
      </c>
      <c r="B7533">
        <v>1</v>
      </c>
      <c r="C7533">
        <v>5</v>
      </c>
      <c r="D7533">
        <v>29</v>
      </c>
    </row>
    <row r="7534" spans="1:4" x14ac:dyDescent="0.25">
      <c r="A7534" s="1">
        <v>41503</v>
      </c>
      <c r="B7534">
        <v>1</v>
      </c>
      <c r="C7534">
        <v>5</v>
      </c>
      <c r="D7534">
        <v>16</v>
      </c>
    </row>
    <row r="7535" spans="1:4" x14ac:dyDescent="0.25">
      <c r="A7535" s="1">
        <v>41504</v>
      </c>
      <c r="B7535">
        <v>1</v>
      </c>
      <c r="C7535">
        <v>5</v>
      </c>
      <c r="D7535">
        <v>22</v>
      </c>
    </row>
    <row r="7536" spans="1:4" x14ac:dyDescent="0.25">
      <c r="A7536" s="1">
        <v>41505</v>
      </c>
      <c r="B7536">
        <v>1</v>
      </c>
      <c r="C7536">
        <v>5</v>
      </c>
      <c r="D7536">
        <v>16</v>
      </c>
    </row>
    <row r="7537" spans="1:4" x14ac:dyDescent="0.25">
      <c r="A7537" s="1">
        <v>41506</v>
      </c>
      <c r="B7537">
        <v>1</v>
      </c>
      <c r="C7537">
        <v>5</v>
      </c>
      <c r="D7537">
        <v>16</v>
      </c>
    </row>
    <row r="7538" spans="1:4" x14ac:dyDescent="0.25">
      <c r="A7538" s="1">
        <v>41507</v>
      </c>
      <c r="B7538">
        <v>1</v>
      </c>
      <c r="C7538">
        <v>5</v>
      </c>
      <c r="D7538">
        <v>13</v>
      </c>
    </row>
    <row r="7539" spans="1:4" x14ac:dyDescent="0.25">
      <c r="A7539" s="1">
        <v>41508</v>
      </c>
      <c r="B7539">
        <v>1</v>
      </c>
      <c r="C7539">
        <v>5</v>
      </c>
      <c r="D7539">
        <v>17</v>
      </c>
    </row>
    <row r="7540" spans="1:4" x14ac:dyDescent="0.25">
      <c r="A7540" s="1">
        <v>41509</v>
      </c>
      <c r="B7540">
        <v>1</v>
      </c>
      <c r="C7540">
        <v>5</v>
      </c>
      <c r="D7540">
        <v>24</v>
      </c>
    </row>
    <row r="7541" spans="1:4" x14ac:dyDescent="0.25">
      <c r="A7541" s="1">
        <v>41510</v>
      </c>
      <c r="B7541">
        <v>1</v>
      </c>
      <c r="C7541">
        <v>5</v>
      </c>
      <c r="D7541">
        <v>13</v>
      </c>
    </row>
    <row r="7542" spans="1:4" x14ac:dyDescent="0.25">
      <c r="A7542" s="1">
        <v>41511</v>
      </c>
      <c r="B7542">
        <v>1</v>
      </c>
      <c r="C7542">
        <v>5</v>
      </c>
      <c r="D7542">
        <v>25</v>
      </c>
    </row>
    <row r="7543" spans="1:4" x14ac:dyDescent="0.25">
      <c r="A7543" s="1">
        <v>41512</v>
      </c>
      <c r="B7543">
        <v>1</v>
      </c>
      <c r="C7543">
        <v>5</v>
      </c>
      <c r="D7543">
        <v>17</v>
      </c>
    </row>
    <row r="7544" spans="1:4" x14ac:dyDescent="0.25">
      <c r="A7544" s="1">
        <v>41513</v>
      </c>
      <c r="B7544">
        <v>1</v>
      </c>
      <c r="C7544">
        <v>5</v>
      </c>
      <c r="D7544">
        <v>11</v>
      </c>
    </row>
    <row r="7545" spans="1:4" x14ac:dyDescent="0.25">
      <c r="A7545" s="1">
        <v>41514</v>
      </c>
      <c r="B7545">
        <v>1</v>
      </c>
      <c r="C7545">
        <v>5</v>
      </c>
      <c r="D7545">
        <v>10</v>
      </c>
    </row>
    <row r="7546" spans="1:4" x14ac:dyDescent="0.25">
      <c r="A7546" s="1">
        <v>41515</v>
      </c>
      <c r="B7546">
        <v>1</v>
      </c>
      <c r="C7546">
        <v>5</v>
      </c>
      <c r="D7546">
        <v>13</v>
      </c>
    </row>
    <row r="7547" spans="1:4" x14ac:dyDescent="0.25">
      <c r="A7547" s="1">
        <v>41516</v>
      </c>
      <c r="B7547">
        <v>1</v>
      </c>
      <c r="C7547">
        <v>5</v>
      </c>
      <c r="D7547">
        <v>20</v>
      </c>
    </row>
    <row r="7548" spans="1:4" x14ac:dyDescent="0.25">
      <c r="A7548" s="1">
        <v>41517</v>
      </c>
      <c r="B7548">
        <v>1</v>
      </c>
      <c r="C7548">
        <v>5</v>
      </c>
      <c r="D7548">
        <v>27</v>
      </c>
    </row>
    <row r="7549" spans="1:4" x14ac:dyDescent="0.25">
      <c r="A7549" s="1">
        <v>41518</v>
      </c>
      <c r="B7549">
        <v>1</v>
      </c>
      <c r="C7549">
        <v>5</v>
      </c>
      <c r="D7549">
        <v>14</v>
      </c>
    </row>
    <row r="7550" spans="1:4" x14ac:dyDescent="0.25">
      <c r="A7550" s="1">
        <v>41519</v>
      </c>
      <c r="B7550">
        <v>1</v>
      </c>
      <c r="C7550">
        <v>5</v>
      </c>
      <c r="D7550">
        <v>13</v>
      </c>
    </row>
    <row r="7551" spans="1:4" x14ac:dyDescent="0.25">
      <c r="A7551" s="1">
        <v>41520</v>
      </c>
      <c r="B7551">
        <v>1</v>
      </c>
      <c r="C7551">
        <v>5</v>
      </c>
      <c r="D7551">
        <v>18</v>
      </c>
    </row>
    <row r="7552" spans="1:4" x14ac:dyDescent="0.25">
      <c r="A7552" s="1">
        <v>41521</v>
      </c>
      <c r="B7552">
        <v>1</v>
      </c>
      <c r="C7552">
        <v>5</v>
      </c>
      <c r="D7552">
        <v>6</v>
      </c>
    </row>
    <row r="7553" spans="1:4" x14ac:dyDescent="0.25">
      <c r="A7553" s="1">
        <v>41522</v>
      </c>
      <c r="B7553">
        <v>1</v>
      </c>
      <c r="C7553">
        <v>5</v>
      </c>
      <c r="D7553">
        <v>15</v>
      </c>
    </row>
    <row r="7554" spans="1:4" x14ac:dyDescent="0.25">
      <c r="A7554" s="1">
        <v>41523</v>
      </c>
      <c r="B7554">
        <v>1</v>
      </c>
      <c r="C7554">
        <v>5</v>
      </c>
      <c r="D7554">
        <v>8</v>
      </c>
    </row>
    <row r="7555" spans="1:4" x14ac:dyDescent="0.25">
      <c r="A7555" s="1">
        <v>41524</v>
      </c>
      <c r="B7555">
        <v>1</v>
      </c>
      <c r="C7555">
        <v>5</v>
      </c>
      <c r="D7555">
        <v>12</v>
      </c>
    </row>
    <row r="7556" spans="1:4" x14ac:dyDescent="0.25">
      <c r="A7556" s="1">
        <v>41525</v>
      </c>
      <c r="B7556">
        <v>1</v>
      </c>
      <c r="C7556">
        <v>5</v>
      </c>
      <c r="D7556">
        <v>14</v>
      </c>
    </row>
    <row r="7557" spans="1:4" x14ac:dyDescent="0.25">
      <c r="A7557" s="1">
        <v>41526</v>
      </c>
      <c r="B7557">
        <v>1</v>
      </c>
      <c r="C7557">
        <v>5</v>
      </c>
      <c r="D7557">
        <v>14</v>
      </c>
    </row>
    <row r="7558" spans="1:4" x14ac:dyDescent="0.25">
      <c r="A7558" s="1">
        <v>41527</v>
      </c>
      <c r="B7558">
        <v>1</v>
      </c>
      <c r="C7558">
        <v>5</v>
      </c>
      <c r="D7558">
        <v>17</v>
      </c>
    </row>
    <row r="7559" spans="1:4" x14ac:dyDescent="0.25">
      <c r="A7559" s="1">
        <v>41528</v>
      </c>
      <c r="B7559">
        <v>1</v>
      </c>
      <c r="C7559">
        <v>5</v>
      </c>
      <c r="D7559">
        <v>12</v>
      </c>
    </row>
    <row r="7560" spans="1:4" x14ac:dyDescent="0.25">
      <c r="A7560" s="1">
        <v>41529</v>
      </c>
      <c r="B7560">
        <v>1</v>
      </c>
      <c r="C7560">
        <v>5</v>
      </c>
      <c r="D7560">
        <v>19</v>
      </c>
    </row>
    <row r="7561" spans="1:4" x14ac:dyDescent="0.25">
      <c r="A7561" s="1">
        <v>41530</v>
      </c>
      <c r="B7561">
        <v>1</v>
      </c>
      <c r="C7561">
        <v>5</v>
      </c>
      <c r="D7561">
        <v>11</v>
      </c>
    </row>
    <row r="7562" spans="1:4" x14ac:dyDescent="0.25">
      <c r="A7562" s="1">
        <v>41531</v>
      </c>
      <c r="B7562">
        <v>1</v>
      </c>
      <c r="C7562">
        <v>5</v>
      </c>
      <c r="D7562">
        <v>20</v>
      </c>
    </row>
    <row r="7563" spans="1:4" x14ac:dyDescent="0.25">
      <c r="A7563" s="1">
        <v>41532</v>
      </c>
      <c r="B7563">
        <v>1</v>
      </c>
      <c r="C7563">
        <v>5</v>
      </c>
      <c r="D7563">
        <v>15</v>
      </c>
    </row>
    <row r="7564" spans="1:4" x14ac:dyDescent="0.25">
      <c r="A7564" s="1">
        <v>41533</v>
      </c>
      <c r="B7564">
        <v>1</v>
      </c>
      <c r="C7564">
        <v>5</v>
      </c>
      <c r="D7564">
        <v>12</v>
      </c>
    </row>
    <row r="7565" spans="1:4" x14ac:dyDescent="0.25">
      <c r="A7565" s="1">
        <v>41534</v>
      </c>
      <c r="B7565">
        <v>1</v>
      </c>
      <c r="C7565">
        <v>5</v>
      </c>
      <c r="D7565">
        <v>14</v>
      </c>
    </row>
    <row r="7566" spans="1:4" x14ac:dyDescent="0.25">
      <c r="A7566" s="1">
        <v>41535</v>
      </c>
      <c r="B7566">
        <v>1</v>
      </c>
      <c r="C7566">
        <v>5</v>
      </c>
      <c r="D7566">
        <v>10</v>
      </c>
    </row>
    <row r="7567" spans="1:4" x14ac:dyDescent="0.25">
      <c r="A7567" s="1">
        <v>41536</v>
      </c>
      <c r="B7567">
        <v>1</v>
      </c>
      <c r="C7567">
        <v>5</v>
      </c>
      <c r="D7567">
        <v>11</v>
      </c>
    </row>
    <row r="7568" spans="1:4" x14ac:dyDescent="0.25">
      <c r="A7568" s="1">
        <v>41537</v>
      </c>
      <c r="B7568">
        <v>1</v>
      </c>
      <c r="C7568">
        <v>5</v>
      </c>
      <c r="D7568">
        <v>15</v>
      </c>
    </row>
    <row r="7569" spans="1:4" x14ac:dyDescent="0.25">
      <c r="A7569" s="1">
        <v>41538</v>
      </c>
      <c r="B7569">
        <v>1</v>
      </c>
      <c r="C7569">
        <v>5</v>
      </c>
      <c r="D7569">
        <v>16</v>
      </c>
    </row>
    <row r="7570" spans="1:4" x14ac:dyDescent="0.25">
      <c r="A7570" s="1">
        <v>41539</v>
      </c>
      <c r="B7570">
        <v>1</v>
      </c>
      <c r="C7570">
        <v>5</v>
      </c>
      <c r="D7570">
        <v>18</v>
      </c>
    </row>
    <row r="7571" spans="1:4" x14ac:dyDescent="0.25">
      <c r="A7571" s="1">
        <v>41540</v>
      </c>
      <c r="B7571">
        <v>1</v>
      </c>
      <c r="C7571">
        <v>5</v>
      </c>
      <c r="D7571">
        <v>19</v>
      </c>
    </row>
    <row r="7572" spans="1:4" x14ac:dyDescent="0.25">
      <c r="A7572" s="1">
        <v>41541</v>
      </c>
      <c r="B7572">
        <v>1</v>
      </c>
      <c r="C7572">
        <v>5</v>
      </c>
      <c r="D7572">
        <v>19</v>
      </c>
    </row>
    <row r="7573" spans="1:4" x14ac:dyDescent="0.25">
      <c r="A7573" s="1">
        <v>41542</v>
      </c>
      <c r="B7573">
        <v>1</v>
      </c>
      <c r="C7573">
        <v>5</v>
      </c>
      <c r="D7573">
        <v>16</v>
      </c>
    </row>
    <row r="7574" spans="1:4" x14ac:dyDescent="0.25">
      <c r="A7574" s="1">
        <v>41543</v>
      </c>
      <c r="B7574">
        <v>1</v>
      </c>
      <c r="C7574">
        <v>5</v>
      </c>
      <c r="D7574">
        <v>7</v>
      </c>
    </row>
    <row r="7575" spans="1:4" x14ac:dyDescent="0.25">
      <c r="A7575" s="1">
        <v>41544</v>
      </c>
      <c r="B7575">
        <v>1</v>
      </c>
      <c r="C7575">
        <v>5</v>
      </c>
      <c r="D7575">
        <v>17</v>
      </c>
    </row>
    <row r="7576" spans="1:4" x14ac:dyDescent="0.25">
      <c r="A7576" s="1">
        <v>41545</v>
      </c>
      <c r="B7576">
        <v>1</v>
      </c>
      <c r="C7576">
        <v>5</v>
      </c>
      <c r="D7576">
        <v>12</v>
      </c>
    </row>
    <row r="7577" spans="1:4" x14ac:dyDescent="0.25">
      <c r="A7577" s="1">
        <v>41546</v>
      </c>
      <c r="B7577">
        <v>1</v>
      </c>
      <c r="C7577">
        <v>5</v>
      </c>
      <c r="D7577">
        <v>21</v>
      </c>
    </row>
    <row r="7578" spans="1:4" x14ac:dyDescent="0.25">
      <c r="A7578" s="1">
        <v>41547</v>
      </c>
      <c r="B7578">
        <v>1</v>
      </c>
      <c r="C7578">
        <v>5</v>
      </c>
      <c r="D7578">
        <v>15</v>
      </c>
    </row>
    <row r="7579" spans="1:4" x14ac:dyDescent="0.25">
      <c r="A7579" s="1">
        <v>41548</v>
      </c>
      <c r="B7579">
        <v>1</v>
      </c>
      <c r="C7579">
        <v>5</v>
      </c>
      <c r="D7579">
        <v>11</v>
      </c>
    </row>
    <row r="7580" spans="1:4" x14ac:dyDescent="0.25">
      <c r="A7580" s="1">
        <v>41549</v>
      </c>
      <c r="B7580">
        <v>1</v>
      </c>
      <c r="C7580">
        <v>5</v>
      </c>
      <c r="D7580">
        <v>16</v>
      </c>
    </row>
    <row r="7581" spans="1:4" x14ac:dyDescent="0.25">
      <c r="A7581" s="1">
        <v>41550</v>
      </c>
      <c r="B7581">
        <v>1</v>
      </c>
      <c r="C7581">
        <v>5</v>
      </c>
      <c r="D7581">
        <v>19</v>
      </c>
    </row>
    <row r="7582" spans="1:4" x14ac:dyDescent="0.25">
      <c r="A7582" s="1">
        <v>41551</v>
      </c>
      <c r="B7582">
        <v>1</v>
      </c>
      <c r="C7582">
        <v>5</v>
      </c>
      <c r="D7582">
        <v>23</v>
      </c>
    </row>
    <row r="7583" spans="1:4" x14ac:dyDescent="0.25">
      <c r="A7583" s="1">
        <v>41552</v>
      </c>
      <c r="B7583">
        <v>1</v>
      </c>
      <c r="C7583">
        <v>5</v>
      </c>
      <c r="D7583">
        <v>17</v>
      </c>
    </row>
    <row r="7584" spans="1:4" x14ac:dyDescent="0.25">
      <c r="A7584" s="1">
        <v>41553</v>
      </c>
      <c r="B7584">
        <v>1</v>
      </c>
      <c r="C7584">
        <v>5</v>
      </c>
      <c r="D7584">
        <v>19</v>
      </c>
    </row>
    <row r="7585" spans="1:4" x14ac:dyDescent="0.25">
      <c r="A7585" s="1">
        <v>41554</v>
      </c>
      <c r="B7585">
        <v>1</v>
      </c>
      <c r="C7585">
        <v>5</v>
      </c>
      <c r="D7585">
        <v>8</v>
      </c>
    </row>
    <row r="7586" spans="1:4" x14ac:dyDescent="0.25">
      <c r="A7586" s="1">
        <v>41555</v>
      </c>
      <c r="B7586">
        <v>1</v>
      </c>
      <c r="C7586">
        <v>5</v>
      </c>
      <c r="D7586">
        <v>12</v>
      </c>
    </row>
    <row r="7587" spans="1:4" x14ac:dyDescent="0.25">
      <c r="A7587" s="1">
        <v>41556</v>
      </c>
      <c r="B7587">
        <v>1</v>
      </c>
      <c r="C7587">
        <v>5</v>
      </c>
      <c r="D7587">
        <v>8</v>
      </c>
    </row>
    <row r="7588" spans="1:4" x14ac:dyDescent="0.25">
      <c r="A7588" s="1">
        <v>41557</v>
      </c>
      <c r="B7588">
        <v>1</v>
      </c>
      <c r="C7588">
        <v>5</v>
      </c>
      <c r="D7588">
        <v>8</v>
      </c>
    </row>
    <row r="7589" spans="1:4" x14ac:dyDescent="0.25">
      <c r="A7589" s="1">
        <v>41558</v>
      </c>
      <c r="B7589">
        <v>1</v>
      </c>
      <c r="C7589">
        <v>5</v>
      </c>
      <c r="D7589">
        <v>11</v>
      </c>
    </row>
    <row r="7590" spans="1:4" x14ac:dyDescent="0.25">
      <c r="A7590" s="1">
        <v>41559</v>
      </c>
      <c r="B7590">
        <v>1</v>
      </c>
      <c r="C7590">
        <v>5</v>
      </c>
      <c r="D7590">
        <v>13</v>
      </c>
    </row>
    <row r="7591" spans="1:4" x14ac:dyDescent="0.25">
      <c r="A7591" s="1">
        <v>41560</v>
      </c>
      <c r="B7591">
        <v>1</v>
      </c>
      <c r="C7591">
        <v>5</v>
      </c>
      <c r="D7591">
        <v>15</v>
      </c>
    </row>
    <row r="7592" spans="1:4" x14ac:dyDescent="0.25">
      <c r="A7592" s="1">
        <v>41561</v>
      </c>
      <c r="B7592">
        <v>1</v>
      </c>
      <c r="C7592">
        <v>5</v>
      </c>
      <c r="D7592">
        <v>16</v>
      </c>
    </row>
    <row r="7593" spans="1:4" x14ac:dyDescent="0.25">
      <c r="A7593" s="1">
        <v>41562</v>
      </c>
      <c r="B7593">
        <v>1</v>
      </c>
      <c r="C7593">
        <v>5</v>
      </c>
      <c r="D7593">
        <v>17</v>
      </c>
    </row>
    <row r="7594" spans="1:4" x14ac:dyDescent="0.25">
      <c r="A7594" s="1">
        <v>41563</v>
      </c>
      <c r="B7594">
        <v>1</v>
      </c>
      <c r="C7594">
        <v>5</v>
      </c>
      <c r="D7594">
        <v>11</v>
      </c>
    </row>
    <row r="7595" spans="1:4" x14ac:dyDescent="0.25">
      <c r="A7595" s="1">
        <v>41564</v>
      </c>
      <c r="B7595">
        <v>1</v>
      </c>
      <c r="C7595">
        <v>5</v>
      </c>
      <c r="D7595">
        <v>13</v>
      </c>
    </row>
    <row r="7596" spans="1:4" x14ac:dyDescent="0.25">
      <c r="A7596" s="1">
        <v>41565</v>
      </c>
      <c r="B7596">
        <v>1</v>
      </c>
      <c r="C7596">
        <v>5</v>
      </c>
      <c r="D7596">
        <v>10</v>
      </c>
    </row>
    <row r="7597" spans="1:4" x14ac:dyDescent="0.25">
      <c r="A7597" s="1">
        <v>41566</v>
      </c>
      <c r="B7597">
        <v>1</v>
      </c>
      <c r="C7597">
        <v>5</v>
      </c>
      <c r="D7597">
        <v>16</v>
      </c>
    </row>
    <row r="7598" spans="1:4" x14ac:dyDescent="0.25">
      <c r="A7598" s="1">
        <v>41567</v>
      </c>
      <c r="B7598">
        <v>1</v>
      </c>
      <c r="C7598">
        <v>5</v>
      </c>
      <c r="D7598">
        <v>19</v>
      </c>
    </row>
    <row r="7599" spans="1:4" x14ac:dyDescent="0.25">
      <c r="A7599" s="1">
        <v>41568</v>
      </c>
      <c r="B7599">
        <v>1</v>
      </c>
      <c r="C7599">
        <v>5</v>
      </c>
      <c r="D7599">
        <v>7</v>
      </c>
    </row>
    <row r="7600" spans="1:4" x14ac:dyDescent="0.25">
      <c r="A7600" s="1">
        <v>41569</v>
      </c>
      <c r="B7600">
        <v>1</v>
      </c>
      <c r="C7600">
        <v>5</v>
      </c>
      <c r="D7600">
        <v>14</v>
      </c>
    </row>
    <row r="7601" spans="1:4" x14ac:dyDescent="0.25">
      <c r="A7601" s="1">
        <v>41570</v>
      </c>
      <c r="B7601">
        <v>1</v>
      </c>
      <c r="C7601">
        <v>5</v>
      </c>
      <c r="D7601">
        <v>15</v>
      </c>
    </row>
    <row r="7602" spans="1:4" x14ac:dyDescent="0.25">
      <c r="A7602" s="1">
        <v>41571</v>
      </c>
      <c r="B7602">
        <v>1</v>
      </c>
      <c r="C7602">
        <v>5</v>
      </c>
      <c r="D7602">
        <v>23</v>
      </c>
    </row>
    <row r="7603" spans="1:4" x14ac:dyDescent="0.25">
      <c r="A7603" s="1">
        <v>41572</v>
      </c>
      <c r="B7603">
        <v>1</v>
      </c>
      <c r="C7603">
        <v>5</v>
      </c>
      <c r="D7603">
        <v>10</v>
      </c>
    </row>
    <row r="7604" spans="1:4" x14ac:dyDescent="0.25">
      <c r="A7604" s="1">
        <v>41573</v>
      </c>
      <c r="B7604">
        <v>1</v>
      </c>
      <c r="C7604">
        <v>5</v>
      </c>
      <c r="D7604">
        <v>13</v>
      </c>
    </row>
    <row r="7605" spans="1:4" x14ac:dyDescent="0.25">
      <c r="A7605" s="1">
        <v>41574</v>
      </c>
      <c r="B7605">
        <v>1</v>
      </c>
      <c r="C7605">
        <v>5</v>
      </c>
      <c r="D7605">
        <v>11</v>
      </c>
    </row>
    <row r="7606" spans="1:4" x14ac:dyDescent="0.25">
      <c r="A7606" s="1">
        <v>41575</v>
      </c>
      <c r="B7606">
        <v>1</v>
      </c>
      <c r="C7606">
        <v>5</v>
      </c>
      <c r="D7606">
        <v>11</v>
      </c>
    </row>
    <row r="7607" spans="1:4" x14ac:dyDescent="0.25">
      <c r="A7607" s="1">
        <v>41576</v>
      </c>
      <c r="B7607">
        <v>1</v>
      </c>
      <c r="C7607">
        <v>5</v>
      </c>
      <c r="D7607">
        <v>13</v>
      </c>
    </row>
    <row r="7608" spans="1:4" x14ac:dyDescent="0.25">
      <c r="A7608" s="1">
        <v>41577</v>
      </c>
      <c r="B7608">
        <v>1</v>
      </c>
      <c r="C7608">
        <v>5</v>
      </c>
      <c r="D7608">
        <v>13</v>
      </c>
    </row>
    <row r="7609" spans="1:4" x14ac:dyDescent="0.25">
      <c r="A7609" s="1">
        <v>41578</v>
      </c>
      <c r="B7609">
        <v>1</v>
      </c>
      <c r="C7609">
        <v>5</v>
      </c>
      <c r="D7609">
        <v>14</v>
      </c>
    </row>
    <row r="7610" spans="1:4" x14ac:dyDescent="0.25">
      <c r="A7610" s="1">
        <v>41579</v>
      </c>
      <c r="B7610">
        <v>1</v>
      </c>
      <c r="C7610">
        <v>5</v>
      </c>
      <c r="D7610">
        <v>18</v>
      </c>
    </row>
    <row r="7611" spans="1:4" x14ac:dyDescent="0.25">
      <c r="A7611" s="1">
        <v>41580</v>
      </c>
      <c r="B7611">
        <v>1</v>
      </c>
      <c r="C7611">
        <v>5</v>
      </c>
      <c r="D7611">
        <v>11</v>
      </c>
    </row>
    <row r="7612" spans="1:4" x14ac:dyDescent="0.25">
      <c r="A7612" s="1">
        <v>41581</v>
      </c>
      <c r="B7612">
        <v>1</v>
      </c>
      <c r="C7612">
        <v>5</v>
      </c>
      <c r="D7612">
        <v>18</v>
      </c>
    </row>
    <row r="7613" spans="1:4" x14ac:dyDescent="0.25">
      <c r="A7613" s="1">
        <v>41582</v>
      </c>
      <c r="B7613">
        <v>1</v>
      </c>
      <c r="C7613">
        <v>5</v>
      </c>
      <c r="D7613">
        <v>3</v>
      </c>
    </row>
    <row r="7614" spans="1:4" x14ac:dyDescent="0.25">
      <c r="A7614" s="1">
        <v>41583</v>
      </c>
      <c r="B7614">
        <v>1</v>
      </c>
      <c r="C7614">
        <v>5</v>
      </c>
      <c r="D7614">
        <v>21</v>
      </c>
    </row>
    <row r="7615" spans="1:4" x14ac:dyDescent="0.25">
      <c r="A7615" s="1">
        <v>41584</v>
      </c>
      <c r="B7615">
        <v>1</v>
      </c>
      <c r="C7615">
        <v>5</v>
      </c>
      <c r="D7615">
        <v>15</v>
      </c>
    </row>
    <row r="7616" spans="1:4" x14ac:dyDescent="0.25">
      <c r="A7616" s="1">
        <v>41585</v>
      </c>
      <c r="B7616">
        <v>1</v>
      </c>
      <c r="C7616">
        <v>5</v>
      </c>
      <c r="D7616">
        <v>13</v>
      </c>
    </row>
    <row r="7617" spans="1:4" x14ac:dyDescent="0.25">
      <c r="A7617" s="1">
        <v>41586</v>
      </c>
      <c r="B7617">
        <v>1</v>
      </c>
      <c r="C7617">
        <v>5</v>
      </c>
      <c r="D7617">
        <v>12</v>
      </c>
    </row>
    <row r="7618" spans="1:4" x14ac:dyDescent="0.25">
      <c r="A7618" s="1">
        <v>41587</v>
      </c>
      <c r="B7618">
        <v>1</v>
      </c>
      <c r="C7618">
        <v>5</v>
      </c>
      <c r="D7618">
        <v>11</v>
      </c>
    </row>
    <row r="7619" spans="1:4" x14ac:dyDescent="0.25">
      <c r="A7619" s="1">
        <v>41588</v>
      </c>
      <c r="B7619">
        <v>1</v>
      </c>
      <c r="C7619">
        <v>5</v>
      </c>
      <c r="D7619">
        <v>14</v>
      </c>
    </row>
    <row r="7620" spans="1:4" x14ac:dyDescent="0.25">
      <c r="A7620" s="1">
        <v>41589</v>
      </c>
      <c r="B7620">
        <v>1</v>
      </c>
      <c r="C7620">
        <v>5</v>
      </c>
      <c r="D7620">
        <v>11</v>
      </c>
    </row>
    <row r="7621" spans="1:4" x14ac:dyDescent="0.25">
      <c r="A7621" s="1">
        <v>41590</v>
      </c>
      <c r="B7621">
        <v>1</v>
      </c>
      <c r="C7621">
        <v>5</v>
      </c>
      <c r="D7621">
        <v>16</v>
      </c>
    </row>
    <row r="7622" spans="1:4" x14ac:dyDescent="0.25">
      <c r="A7622" s="1">
        <v>41591</v>
      </c>
      <c r="B7622">
        <v>1</v>
      </c>
      <c r="C7622">
        <v>5</v>
      </c>
      <c r="D7622">
        <v>10</v>
      </c>
    </row>
    <row r="7623" spans="1:4" x14ac:dyDescent="0.25">
      <c r="A7623" s="1">
        <v>41592</v>
      </c>
      <c r="B7623">
        <v>1</v>
      </c>
      <c r="C7623">
        <v>5</v>
      </c>
      <c r="D7623">
        <v>11</v>
      </c>
    </row>
    <row r="7624" spans="1:4" x14ac:dyDescent="0.25">
      <c r="A7624" s="1">
        <v>41593</v>
      </c>
      <c r="B7624">
        <v>1</v>
      </c>
      <c r="C7624">
        <v>5</v>
      </c>
      <c r="D7624">
        <v>16</v>
      </c>
    </row>
    <row r="7625" spans="1:4" x14ac:dyDescent="0.25">
      <c r="A7625" s="1">
        <v>41594</v>
      </c>
      <c r="B7625">
        <v>1</v>
      </c>
      <c r="C7625">
        <v>5</v>
      </c>
      <c r="D7625">
        <v>15</v>
      </c>
    </row>
    <row r="7626" spans="1:4" x14ac:dyDescent="0.25">
      <c r="A7626" s="1">
        <v>41595</v>
      </c>
      <c r="B7626">
        <v>1</v>
      </c>
      <c r="C7626">
        <v>5</v>
      </c>
      <c r="D7626">
        <v>14</v>
      </c>
    </row>
    <row r="7627" spans="1:4" x14ac:dyDescent="0.25">
      <c r="A7627" s="1">
        <v>41596</v>
      </c>
      <c r="B7627">
        <v>1</v>
      </c>
      <c r="C7627">
        <v>5</v>
      </c>
      <c r="D7627">
        <v>6</v>
      </c>
    </row>
    <row r="7628" spans="1:4" x14ac:dyDescent="0.25">
      <c r="A7628" s="1">
        <v>41597</v>
      </c>
      <c r="B7628">
        <v>1</v>
      </c>
      <c r="C7628">
        <v>5</v>
      </c>
      <c r="D7628">
        <v>16</v>
      </c>
    </row>
    <row r="7629" spans="1:4" x14ac:dyDescent="0.25">
      <c r="A7629" s="1">
        <v>41598</v>
      </c>
      <c r="B7629">
        <v>1</v>
      </c>
      <c r="C7629">
        <v>5</v>
      </c>
      <c r="D7629">
        <v>22</v>
      </c>
    </row>
    <row r="7630" spans="1:4" x14ac:dyDescent="0.25">
      <c r="A7630" s="1">
        <v>41599</v>
      </c>
      <c r="B7630">
        <v>1</v>
      </c>
      <c r="C7630">
        <v>5</v>
      </c>
      <c r="D7630">
        <v>12</v>
      </c>
    </row>
    <row r="7631" spans="1:4" x14ac:dyDescent="0.25">
      <c r="A7631" s="1">
        <v>41600</v>
      </c>
      <c r="B7631">
        <v>1</v>
      </c>
      <c r="C7631">
        <v>5</v>
      </c>
      <c r="D7631">
        <v>13</v>
      </c>
    </row>
    <row r="7632" spans="1:4" x14ac:dyDescent="0.25">
      <c r="A7632" s="1">
        <v>41601</v>
      </c>
      <c r="B7632">
        <v>1</v>
      </c>
      <c r="C7632">
        <v>5</v>
      </c>
      <c r="D7632">
        <v>19</v>
      </c>
    </row>
    <row r="7633" spans="1:4" x14ac:dyDescent="0.25">
      <c r="A7633" s="1">
        <v>41602</v>
      </c>
      <c r="B7633">
        <v>1</v>
      </c>
      <c r="C7633">
        <v>5</v>
      </c>
      <c r="D7633">
        <v>15</v>
      </c>
    </row>
    <row r="7634" spans="1:4" x14ac:dyDescent="0.25">
      <c r="A7634" s="1">
        <v>41603</v>
      </c>
      <c r="B7634">
        <v>1</v>
      </c>
      <c r="C7634">
        <v>5</v>
      </c>
      <c r="D7634">
        <v>16</v>
      </c>
    </row>
    <row r="7635" spans="1:4" x14ac:dyDescent="0.25">
      <c r="A7635" s="1">
        <v>41604</v>
      </c>
      <c r="B7635">
        <v>1</v>
      </c>
      <c r="C7635">
        <v>5</v>
      </c>
      <c r="D7635">
        <v>19</v>
      </c>
    </row>
    <row r="7636" spans="1:4" x14ac:dyDescent="0.25">
      <c r="A7636" s="1">
        <v>41605</v>
      </c>
      <c r="B7636">
        <v>1</v>
      </c>
      <c r="C7636">
        <v>5</v>
      </c>
      <c r="D7636">
        <v>10</v>
      </c>
    </row>
    <row r="7637" spans="1:4" x14ac:dyDescent="0.25">
      <c r="A7637" s="1">
        <v>41606</v>
      </c>
      <c r="B7637">
        <v>1</v>
      </c>
      <c r="C7637">
        <v>5</v>
      </c>
      <c r="D7637">
        <v>12</v>
      </c>
    </row>
    <row r="7638" spans="1:4" x14ac:dyDescent="0.25">
      <c r="A7638" s="1">
        <v>41607</v>
      </c>
      <c r="B7638">
        <v>1</v>
      </c>
      <c r="C7638">
        <v>5</v>
      </c>
      <c r="D7638">
        <v>19</v>
      </c>
    </row>
    <row r="7639" spans="1:4" x14ac:dyDescent="0.25">
      <c r="A7639" s="1">
        <v>41608</v>
      </c>
      <c r="B7639">
        <v>1</v>
      </c>
      <c r="C7639">
        <v>5</v>
      </c>
      <c r="D7639">
        <v>14</v>
      </c>
    </row>
    <row r="7640" spans="1:4" x14ac:dyDescent="0.25">
      <c r="A7640" s="1">
        <v>41609</v>
      </c>
      <c r="B7640">
        <v>1</v>
      </c>
      <c r="C7640">
        <v>5</v>
      </c>
      <c r="D7640">
        <v>10</v>
      </c>
    </row>
    <row r="7641" spans="1:4" x14ac:dyDescent="0.25">
      <c r="A7641" s="1">
        <v>41610</v>
      </c>
      <c r="B7641">
        <v>1</v>
      </c>
      <c r="C7641">
        <v>5</v>
      </c>
      <c r="D7641">
        <v>13</v>
      </c>
    </row>
    <row r="7642" spans="1:4" x14ac:dyDescent="0.25">
      <c r="A7642" s="1">
        <v>41611</v>
      </c>
      <c r="B7642">
        <v>1</v>
      </c>
      <c r="C7642">
        <v>5</v>
      </c>
      <c r="D7642">
        <v>8</v>
      </c>
    </row>
    <row r="7643" spans="1:4" x14ac:dyDescent="0.25">
      <c r="A7643" s="1">
        <v>41612</v>
      </c>
      <c r="B7643">
        <v>1</v>
      </c>
      <c r="C7643">
        <v>5</v>
      </c>
      <c r="D7643">
        <v>16</v>
      </c>
    </row>
    <row r="7644" spans="1:4" x14ac:dyDescent="0.25">
      <c r="A7644" s="1">
        <v>41613</v>
      </c>
      <c r="B7644">
        <v>1</v>
      </c>
      <c r="C7644">
        <v>5</v>
      </c>
      <c r="D7644">
        <v>9</v>
      </c>
    </row>
    <row r="7645" spans="1:4" x14ac:dyDescent="0.25">
      <c r="A7645" s="1">
        <v>41614</v>
      </c>
      <c r="B7645">
        <v>1</v>
      </c>
      <c r="C7645">
        <v>5</v>
      </c>
      <c r="D7645">
        <v>12</v>
      </c>
    </row>
    <row r="7646" spans="1:4" x14ac:dyDescent="0.25">
      <c r="A7646" s="1">
        <v>41615</v>
      </c>
      <c r="B7646">
        <v>1</v>
      </c>
      <c r="C7646">
        <v>5</v>
      </c>
      <c r="D7646">
        <v>12</v>
      </c>
    </row>
    <row r="7647" spans="1:4" x14ac:dyDescent="0.25">
      <c r="A7647" s="1">
        <v>41616</v>
      </c>
      <c r="B7647">
        <v>1</v>
      </c>
      <c r="C7647">
        <v>5</v>
      </c>
      <c r="D7647">
        <v>15</v>
      </c>
    </row>
    <row r="7648" spans="1:4" x14ac:dyDescent="0.25">
      <c r="A7648" s="1">
        <v>41617</v>
      </c>
      <c r="B7648">
        <v>1</v>
      </c>
      <c r="C7648">
        <v>5</v>
      </c>
      <c r="D7648">
        <v>7</v>
      </c>
    </row>
    <row r="7649" spans="1:4" x14ac:dyDescent="0.25">
      <c r="A7649" s="1">
        <v>41618</v>
      </c>
      <c r="B7649">
        <v>1</v>
      </c>
      <c r="C7649">
        <v>5</v>
      </c>
      <c r="D7649">
        <v>6</v>
      </c>
    </row>
    <row r="7650" spans="1:4" x14ac:dyDescent="0.25">
      <c r="A7650" s="1">
        <v>41619</v>
      </c>
      <c r="B7650">
        <v>1</v>
      </c>
      <c r="C7650">
        <v>5</v>
      </c>
      <c r="D7650">
        <v>13</v>
      </c>
    </row>
    <row r="7651" spans="1:4" x14ac:dyDescent="0.25">
      <c r="A7651" s="1">
        <v>41620</v>
      </c>
      <c r="B7651">
        <v>1</v>
      </c>
      <c r="C7651">
        <v>5</v>
      </c>
      <c r="D7651">
        <v>15</v>
      </c>
    </row>
    <row r="7652" spans="1:4" x14ac:dyDescent="0.25">
      <c r="A7652" s="1">
        <v>41621</v>
      </c>
      <c r="B7652">
        <v>1</v>
      </c>
      <c r="C7652">
        <v>5</v>
      </c>
      <c r="D7652">
        <v>15</v>
      </c>
    </row>
    <row r="7653" spans="1:4" x14ac:dyDescent="0.25">
      <c r="A7653" s="1">
        <v>41622</v>
      </c>
      <c r="B7653">
        <v>1</v>
      </c>
      <c r="C7653">
        <v>5</v>
      </c>
      <c r="D7653">
        <v>15</v>
      </c>
    </row>
    <row r="7654" spans="1:4" x14ac:dyDescent="0.25">
      <c r="A7654" s="1">
        <v>41623</v>
      </c>
      <c r="B7654">
        <v>1</v>
      </c>
      <c r="C7654">
        <v>5</v>
      </c>
      <c r="D7654">
        <v>15</v>
      </c>
    </row>
    <row r="7655" spans="1:4" x14ac:dyDescent="0.25">
      <c r="A7655" s="1">
        <v>41624</v>
      </c>
      <c r="B7655">
        <v>1</v>
      </c>
      <c r="C7655">
        <v>5</v>
      </c>
      <c r="D7655">
        <v>7</v>
      </c>
    </row>
    <row r="7656" spans="1:4" x14ac:dyDescent="0.25">
      <c r="A7656" s="1">
        <v>41625</v>
      </c>
      <c r="B7656">
        <v>1</v>
      </c>
      <c r="C7656">
        <v>5</v>
      </c>
      <c r="D7656">
        <v>10</v>
      </c>
    </row>
    <row r="7657" spans="1:4" x14ac:dyDescent="0.25">
      <c r="A7657" s="1">
        <v>41626</v>
      </c>
      <c r="B7657">
        <v>1</v>
      </c>
      <c r="C7657">
        <v>5</v>
      </c>
      <c r="D7657">
        <v>9</v>
      </c>
    </row>
    <row r="7658" spans="1:4" x14ac:dyDescent="0.25">
      <c r="A7658" s="1">
        <v>41627</v>
      </c>
      <c r="B7658">
        <v>1</v>
      </c>
      <c r="C7658">
        <v>5</v>
      </c>
      <c r="D7658">
        <v>13</v>
      </c>
    </row>
    <row r="7659" spans="1:4" x14ac:dyDescent="0.25">
      <c r="A7659" s="1">
        <v>41628</v>
      </c>
      <c r="B7659">
        <v>1</v>
      </c>
      <c r="C7659">
        <v>5</v>
      </c>
      <c r="D7659">
        <v>10</v>
      </c>
    </row>
    <row r="7660" spans="1:4" x14ac:dyDescent="0.25">
      <c r="A7660" s="1">
        <v>41629</v>
      </c>
      <c r="B7660">
        <v>1</v>
      </c>
      <c r="C7660">
        <v>5</v>
      </c>
      <c r="D7660">
        <v>18</v>
      </c>
    </row>
    <row r="7661" spans="1:4" x14ac:dyDescent="0.25">
      <c r="A7661" s="1">
        <v>41630</v>
      </c>
      <c r="B7661">
        <v>1</v>
      </c>
      <c r="C7661">
        <v>5</v>
      </c>
      <c r="D7661">
        <v>17</v>
      </c>
    </row>
    <row r="7662" spans="1:4" x14ac:dyDescent="0.25">
      <c r="A7662" s="1">
        <v>41631</v>
      </c>
      <c r="B7662">
        <v>1</v>
      </c>
      <c r="C7662">
        <v>5</v>
      </c>
      <c r="D7662">
        <v>12</v>
      </c>
    </row>
    <row r="7663" spans="1:4" x14ac:dyDescent="0.25">
      <c r="A7663" s="1">
        <v>41632</v>
      </c>
      <c r="B7663">
        <v>1</v>
      </c>
      <c r="C7663">
        <v>5</v>
      </c>
      <c r="D7663">
        <v>12</v>
      </c>
    </row>
    <row r="7664" spans="1:4" x14ac:dyDescent="0.25">
      <c r="A7664" s="1">
        <v>41633</v>
      </c>
      <c r="B7664">
        <v>1</v>
      </c>
      <c r="C7664">
        <v>5</v>
      </c>
      <c r="D7664">
        <v>5</v>
      </c>
    </row>
    <row r="7665" spans="1:4" x14ac:dyDescent="0.25">
      <c r="A7665" s="1">
        <v>41634</v>
      </c>
      <c r="B7665">
        <v>1</v>
      </c>
      <c r="C7665">
        <v>5</v>
      </c>
      <c r="D7665">
        <v>12</v>
      </c>
    </row>
    <row r="7666" spans="1:4" x14ac:dyDescent="0.25">
      <c r="A7666" s="1">
        <v>41635</v>
      </c>
      <c r="B7666">
        <v>1</v>
      </c>
      <c r="C7666">
        <v>5</v>
      </c>
      <c r="D7666">
        <v>11</v>
      </c>
    </row>
    <row r="7667" spans="1:4" x14ac:dyDescent="0.25">
      <c r="A7667" s="1">
        <v>41636</v>
      </c>
      <c r="B7667">
        <v>1</v>
      </c>
      <c r="C7667">
        <v>5</v>
      </c>
      <c r="D7667">
        <v>10</v>
      </c>
    </row>
    <row r="7668" spans="1:4" x14ac:dyDescent="0.25">
      <c r="A7668" s="1">
        <v>41637</v>
      </c>
      <c r="B7668">
        <v>1</v>
      </c>
      <c r="C7668">
        <v>5</v>
      </c>
      <c r="D7668">
        <v>14</v>
      </c>
    </row>
    <row r="7669" spans="1:4" x14ac:dyDescent="0.25">
      <c r="A7669" s="1">
        <v>41638</v>
      </c>
      <c r="B7669">
        <v>1</v>
      </c>
      <c r="C7669">
        <v>5</v>
      </c>
      <c r="D7669">
        <v>9</v>
      </c>
    </row>
    <row r="7670" spans="1:4" x14ac:dyDescent="0.25">
      <c r="A7670" s="1">
        <v>41639</v>
      </c>
      <c r="B7670">
        <v>1</v>
      </c>
      <c r="C7670">
        <v>5</v>
      </c>
      <c r="D7670">
        <v>6</v>
      </c>
    </row>
    <row r="7671" spans="1:4" x14ac:dyDescent="0.25">
      <c r="A7671" s="1">
        <v>41640</v>
      </c>
      <c r="B7671">
        <v>1</v>
      </c>
      <c r="C7671">
        <v>5</v>
      </c>
      <c r="D7671">
        <v>6</v>
      </c>
    </row>
    <row r="7672" spans="1:4" x14ac:dyDescent="0.25">
      <c r="A7672" s="1">
        <v>41641</v>
      </c>
      <c r="B7672">
        <v>1</v>
      </c>
      <c r="C7672">
        <v>5</v>
      </c>
      <c r="D7672">
        <v>6</v>
      </c>
    </row>
    <row r="7673" spans="1:4" x14ac:dyDescent="0.25">
      <c r="A7673" s="1">
        <v>41642</v>
      </c>
      <c r="B7673">
        <v>1</v>
      </c>
      <c r="C7673">
        <v>5</v>
      </c>
      <c r="D7673">
        <v>9</v>
      </c>
    </row>
    <row r="7674" spans="1:4" x14ac:dyDescent="0.25">
      <c r="A7674" s="1">
        <v>41643</v>
      </c>
      <c r="B7674">
        <v>1</v>
      </c>
      <c r="C7674">
        <v>5</v>
      </c>
      <c r="D7674">
        <v>11</v>
      </c>
    </row>
    <row r="7675" spans="1:4" x14ac:dyDescent="0.25">
      <c r="A7675" s="1">
        <v>41644</v>
      </c>
      <c r="B7675">
        <v>1</v>
      </c>
      <c r="C7675">
        <v>5</v>
      </c>
      <c r="D7675">
        <v>13</v>
      </c>
    </row>
    <row r="7676" spans="1:4" x14ac:dyDescent="0.25">
      <c r="A7676" s="1">
        <v>41645</v>
      </c>
      <c r="B7676">
        <v>1</v>
      </c>
      <c r="C7676">
        <v>5</v>
      </c>
      <c r="D7676">
        <v>7</v>
      </c>
    </row>
    <row r="7677" spans="1:4" x14ac:dyDescent="0.25">
      <c r="A7677" s="1">
        <v>41646</v>
      </c>
      <c r="B7677">
        <v>1</v>
      </c>
      <c r="C7677">
        <v>5</v>
      </c>
      <c r="D7677">
        <v>12</v>
      </c>
    </row>
    <row r="7678" spans="1:4" x14ac:dyDescent="0.25">
      <c r="A7678" s="1">
        <v>41647</v>
      </c>
      <c r="B7678">
        <v>1</v>
      </c>
      <c r="C7678">
        <v>5</v>
      </c>
      <c r="D7678">
        <v>11</v>
      </c>
    </row>
    <row r="7679" spans="1:4" x14ac:dyDescent="0.25">
      <c r="A7679" s="1">
        <v>41648</v>
      </c>
      <c r="B7679">
        <v>1</v>
      </c>
      <c r="C7679">
        <v>5</v>
      </c>
      <c r="D7679">
        <v>10</v>
      </c>
    </row>
    <row r="7680" spans="1:4" x14ac:dyDescent="0.25">
      <c r="A7680" s="1">
        <v>41649</v>
      </c>
      <c r="B7680">
        <v>1</v>
      </c>
      <c r="C7680">
        <v>5</v>
      </c>
      <c r="D7680">
        <v>8</v>
      </c>
    </row>
    <row r="7681" spans="1:4" x14ac:dyDescent="0.25">
      <c r="A7681" s="1">
        <v>41650</v>
      </c>
      <c r="B7681">
        <v>1</v>
      </c>
      <c r="C7681">
        <v>5</v>
      </c>
      <c r="D7681">
        <v>12</v>
      </c>
    </row>
    <row r="7682" spans="1:4" x14ac:dyDescent="0.25">
      <c r="A7682" s="1">
        <v>41651</v>
      </c>
      <c r="B7682">
        <v>1</v>
      </c>
      <c r="C7682">
        <v>5</v>
      </c>
      <c r="D7682">
        <v>10</v>
      </c>
    </row>
    <row r="7683" spans="1:4" x14ac:dyDescent="0.25">
      <c r="A7683" s="1">
        <v>41652</v>
      </c>
      <c r="B7683">
        <v>1</v>
      </c>
      <c r="C7683">
        <v>5</v>
      </c>
      <c r="D7683">
        <v>10</v>
      </c>
    </row>
    <row r="7684" spans="1:4" x14ac:dyDescent="0.25">
      <c r="A7684" s="1">
        <v>41653</v>
      </c>
      <c r="B7684">
        <v>1</v>
      </c>
      <c r="C7684">
        <v>5</v>
      </c>
      <c r="D7684">
        <v>10</v>
      </c>
    </row>
    <row r="7685" spans="1:4" x14ac:dyDescent="0.25">
      <c r="A7685" s="1">
        <v>41654</v>
      </c>
      <c r="B7685">
        <v>1</v>
      </c>
      <c r="C7685">
        <v>5</v>
      </c>
      <c r="D7685">
        <v>8</v>
      </c>
    </row>
    <row r="7686" spans="1:4" x14ac:dyDescent="0.25">
      <c r="A7686" s="1">
        <v>41655</v>
      </c>
      <c r="B7686">
        <v>1</v>
      </c>
      <c r="C7686">
        <v>5</v>
      </c>
      <c r="D7686">
        <v>10</v>
      </c>
    </row>
    <row r="7687" spans="1:4" x14ac:dyDescent="0.25">
      <c r="A7687" s="1">
        <v>41656</v>
      </c>
      <c r="B7687">
        <v>1</v>
      </c>
      <c r="C7687">
        <v>5</v>
      </c>
      <c r="D7687">
        <v>7</v>
      </c>
    </row>
    <row r="7688" spans="1:4" x14ac:dyDescent="0.25">
      <c r="A7688" s="1">
        <v>41657</v>
      </c>
      <c r="B7688">
        <v>1</v>
      </c>
      <c r="C7688">
        <v>5</v>
      </c>
      <c r="D7688">
        <v>12</v>
      </c>
    </row>
    <row r="7689" spans="1:4" x14ac:dyDescent="0.25">
      <c r="A7689" s="1">
        <v>41658</v>
      </c>
      <c r="B7689">
        <v>1</v>
      </c>
      <c r="C7689">
        <v>5</v>
      </c>
      <c r="D7689">
        <v>9</v>
      </c>
    </row>
    <row r="7690" spans="1:4" x14ac:dyDescent="0.25">
      <c r="A7690" s="1">
        <v>41659</v>
      </c>
      <c r="B7690">
        <v>1</v>
      </c>
      <c r="C7690">
        <v>5</v>
      </c>
      <c r="D7690">
        <v>9</v>
      </c>
    </row>
    <row r="7691" spans="1:4" x14ac:dyDescent="0.25">
      <c r="A7691" s="1">
        <v>41660</v>
      </c>
      <c r="B7691">
        <v>1</v>
      </c>
      <c r="C7691">
        <v>5</v>
      </c>
      <c r="D7691">
        <v>10</v>
      </c>
    </row>
    <row r="7692" spans="1:4" x14ac:dyDescent="0.25">
      <c r="A7692" s="1">
        <v>41661</v>
      </c>
      <c r="B7692">
        <v>1</v>
      </c>
      <c r="C7692">
        <v>5</v>
      </c>
      <c r="D7692">
        <v>11</v>
      </c>
    </row>
    <row r="7693" spans="1:4" x14ac:dyDescent="0.25">
      <c r="A7693" s="1">
        <v>41662</v>
      </c>
      <c r="B7693">
        <v>1</v>
      </c>
      <c r="C7693">
        <v>5</v>
      </c>
      <c r="D7693">
        <v>13</v>
      </c>
    </row>
    <row r="7694" spans="1:4" x14ac:dyDescent="0.25">
      <c r="A7694" s="1">
        <v>41663</v>
      </c>
      <c r="B7694">
        <v>1</v>
      </c>
      <c r="C7694">
        <v>5</v>
      </c>
      <c r="D7694">
        <v>14</v>
      </c>
    </row>
    <row r="7695" spans="1:4" x14ac:dyDescent="0.25">
      <c r="A7695" s="1">
        <v>41664</v>
      </c>
      <c r="B7695">
        <v>1</v>
      </c>
      <c r="C7695">
        <v>5</v>
      </c>
      <c r="D7695">
        <v>8</v>
      </c>
    </row>
    <row r="7696" spans="1:4" x14ac:dyDescent="0.25">
      <c r="A7696" s="1">
        <v>41665</v>
      </c>
      <c r="B7696">
        <v>1</v>
      </c>
      <c r="C7696">
        <v>5</v>
      </c>
      <c r="D7696">
        <v>24</v>
      </c>
    </row>
    <row r="7697" spans="1:4" x14ac:dyDescent="0.25">
      <c r="A7697" s="1">
        <v>41666</v>
      </c>
      <c r="B7697">
        <v>1</v>
      </c>
      <c r="C7697">
        <v>5</v>
      </c>
      <c r="D7697">
        <v>13</v>
      </c>
    </row>
    <row r="7698" spans="1:4" x14ac:dyDescent="0.25">
      <c r="A7698" s="1">
        <v>41667</v>
      </c>
      <c r="B7698">
        <v>1</v>
      </c>
      <c r="C7698">
        <v>5</v>
      </c>
      <c r="D7698">
        <v>8</v>
      </c>
    </row>
    <row r="7699" spans="1:4" x14ac:dyDescent="0.25">
      <c r="A7699" s="1">
        <v>41668</v>
      </c>
      <c r="B7699">
        <v>1</v>
      </c>
      <c r="C7699">
        <v>5</v>
      </c>
      <c r="D7699">
        <v>16</v>
      </c>
    </row>
    <row r="7700" spans="1:4" x14ac:dyDescent="0.25">
      <c r="A7700" s="1">
        <v>41669</v>
      </c>
      <c r="B7700">
        <v>1</v>
      </c>
      <c r="C7700">
        <v>5</v>
      </c>
      <c r="D7700">
        <v>8</v>
      </c>
    </row>
    <row r="7701" spans="1:4" x14ac:dyDescent="0.25">
      <c r="A7701" s="1">
        <v>41670</v>
      </c>
      <c r="B7701">
        <v>1</v>
      </c>
      <c r="C7701">
        <v>5</v>
      </c>
      <c r="D7701">
        <v>15</v>
      </c>
    </row>
    <row r="7702" spans="1:4" x14ac:dyDescent="0.25">
      <c r="A7702" s="1">
        <v>41671</v>
      </c>
      <c r="B7702">
        <v>1</v>
      </c>
      <c r="C7702">
        <v>5</v>
      </c>
      <c r="D7702">
        <v>9</v>
      </c>
    </row>
    <row r="7703" spans="1:4" x14ac:dyDescent="0.25">
      <c r="A7703" s="1">
        <v>41672</v>
      </c>
      <c r="B7703">
        <v>1</v>
      </c>
      <c r="C7703">
        <v>5</v>
      </c>
      <c r="D7703">
        <v>13</v>
      </c>
    </row>
    <row r="7704" spans="1:4" x14ac:dyDescent="0.25">
      <c r="A7704" s="1">
        <v>41673</v>
      </c>
      <c r="B7704">
        <v>1</v>
      </c>
      <c r="C7704">
        <v>5</v>
      </c>
      <c r="D7704">
        <v>12</v>
      </c>
    </row>
    <row r="7705" spans="1:4" x14ac:dyDescent="0.25">
      <c r="A7705" s="1">
        <v>41674</v>
      </c>
      <c r="B7705">
        <v>1</v>
      </c>
      <c r="C7705">
        <v>5</v>
      </c>
      <c r="D7705">
        <v>10</v>
      </c>
    </row>
    <row r="7706" spans="1:4" x14ac:dyDescent="0.25">
      <c r="A7706" s="1">
        <v>41675</v>
      </c>
      <c r="B7706">
        <v>1</v>
      </c>
      <c r="C7706">
        <v>5</v>
      </c>
      <c r="D7706">
        <v>10</v>
      </c>
    </row>
    <row r="7707" spans="1:4" x14ac:dyDescent="0.25">
      <c r="A7707" s="1">
        <v>41676</v>
      </c>
      <c r="B7707">
        <v>1</v>
      </c>
      <c r="C7707">
        <v>5</v>
      </c>
      <c r="D7707">
        <v>5</v>
      </c>
    </row>
    <row r="7708" spans="1:4" x14ac:dyDescent="0.25">
      <c r="A7708" s="1">
        <v>41677</v>
      </c>
      <c r="B7708">
        <v>1</v>
      </c>
      <c r="C7708">
        <v>5</v>
      </c>
      <c r="D7708">
        <v>17</v>
      </c>
    </row>
    <row r="7709" spans="1:4" x14ac:dyDescent="0.25">
      <c r="A7709" s="1">
        <v>41678</v>
      </c>
      <c r="B7709">
        <v>1</v>
      </c>
      <c r="C7709">
        <v>5</v>
      </c>
      <c r="D7709">
        <v>7</v>
      </c>
    </row>
    <row r="7710" spans="1:4" x14ac:dyDescent="0.25">
      <c r="A7710" s="1">
        <v>41679</v>
      </c>
      <c r="B7710">
        <v>1</v>
      </c>
      <c r="C7710">
        <v>5</v>
      </c>
      <c r="D7710">
        <v>11</v>
      </c>
    </row>
    <row r="7711" spans="1:4" x14ac:dyDescent="0.25">
      <c r="A7711" s="1">
        <v>41680</v>
      </c>
      <c r="B7711">
        <v>1</v>
      </c>
      <c r="C7711">
        <v>5</v>
      </c>
      <c r="D7711">
        <v>10</v>
      </c>
    </row>
    <row r="7712" spans="1:4" x14ac:dyDescent="0.25">
      <c r="A7712" s="1">
        <v>41681</v>
      </c>
      <c r="B7712">
        <v>1</v>
      </c>
      <c r="C7712">
        <v>5</v>
      </c>
      <c r="D7712">
        <v>10</v>
      </c>
    </row>
    <row r="7713" spans="1:4" x14ac:dyDescent="0.25">
      <c r="A7713" s="1">
        <v>41682</v>
      </c>
      <c r="B7713">
        <v>1</v>
      </c>
      <c r="C7713">
        <v>5</v>
      </c>
      <c r="D7713">
        <v>11</v>
      </c>
    </row>
    <row r="7714" spans="1:4" x14ac:dyDescent="0.25">
      <c r="A7714" s="1">
        <v>41683</v>
      </c>
      <c r="B7714">
        <v>1</v>
      </c>
      <c r="C7714">
        <v>5</v>
      </c>
      <c r="D7714">
        <v>10</v>
      </c>
    </row>
    <row r="7715" spans="1:4" x14ac:dyDescent="0.25">
      <c r="A7715" s="1">
        <v>41684</v>
      </c>
      <c r="B7715">
        <v>1</v>
      </c>
      <c r="C7715">
        <v>5</v>
      </c>
      <c r="D7715">
        <v>10</v>
      </c>
    </row>
    <row r="7716" spans="1:4" x14ac:dyDescent="0.25">
      <c r="A7716" s="1">
        <v>41685</v>
      </c>
      <c r="B7716">
        <v>1</v>
      </c>
      <c r="C7716">
        <v>5</v>
      </c>
      <c r="D7716">
        <v>13</v>
      </c>
    </row>
    <row r="7717" spans="1:4" x14ac:dyDescent="0.25">
      <c r="A7717" s="1">
        <v>41686</v>
      </c>
      <c r="B7717">
        <v>1</v>
      </c>
      <c r="C7717">
        <v>5</v>
      </c>
      <c r="D7717">
        <v>15</v>
      </c>
    </row>
    <row r="7718" spans="1:4" x14ac:dyDescent="0.25">
      <c r="A7718" s="1">
        <v>41687</v>
      </c>
      <c r="B7718">
        <v>1</v>
      </c>
      <c r="C7718">
        <v>5</v>
      </c>
      <c r="D7718">
        <v>10</v>
      </c>
    </row>
    <row r="7719" spans="1:4" x14ac:dyDescent="0.25">
      <c r="A7719" s="1">
        <v>41688</v>
      </c>
      <c r="B7719">
        <v>1</v>
      </c>
      <c r="C7719">
        <v>5</v>
      </c>
      <c r="D7719">
        <v>6</v>
      </c>
    </row>
    <row r="7720" spans="1:4" x14ac:dyDescent="0.25">
      <c r="A7720" s="1">
        <v>41689</v>
      </c>
      <c r="B7720">
        <v>1</v>
      </c>
      <c r="C7720">
        <v>5</v>
      </c>
      <c r="D7720">
        <v>7</v>
      </c>
    </row>
    <row r="7721" spans="1:4" x14ac:dyDescent="0.25">
      <c r="A7721" s="1">
        <v>41690</v>
      </c>
      <c r="B7721">
        <v>1</v>
      </c>
      <c r="C7721">
        <v>5</v>
      </c>
      <c r="D7721">
        <v>11</v>
      </c>
    </row>
    <row r="7722" spans="1:4" x14ac:dyDescent="0.25">
      <c r="A7722" s="1">
        <v>41691</v>
      </c>
      <c r="B7722">
        <v>1</v>
      </c>
      <c r="C7722">
        <v>5</v>
      </c>
      <c r="D7722">
        <v>14</v>
      </c>
    </row>
    <row r="7723" spans="1:4" x14ac:dyDescent="0.25">
      <c r="A7723" s="1">
        <v>41692</v>
      </c>
      <c r="B7723">
        <v>1</v>
      </c>
      <c r="C7723">
        <v>5</v>
      </c>
      <c r="D7723">
        <v>14</v>
      </c>
    </row>
    <row r="7724" spans="1:4" x14ac:dyDescent="0.25">
      <c r="A7724" s="1">
        <v>41693</v>
      </c>
      <c r="B7724">
        <v>1</v>
      </c>
      <c r="C7724">
        <v>5</v>
      </c>
      <c r="D7724">
        <v>19</v>
      </c>
    </row>
    <row r="7725" spans="1:4" x14ac:dyDescent="0.25">
      <c r="A7725" s="1">
        <v>41694</v>
      </c>
      <c r="B7725">
        <v>1</v>
      </c>
      <c r="C7725">
        <v>5</v>
      </c>
      <c r="D7725">
        <v>11</v>
      </c>
    </row>
    <row r="7726" spans="1:4" x14ac:dyDescent="0.25">
      <c r="A7726" s="1">
        <v>41695</v>
      </c>
      <c r="B7726">
        <v>1</v>
      </c>
      <c r="C7726">
        <v>5</v>
      </c>
      <c r="D7726">
        <v>12</v>
      </c>
    </row>
    <row r="7727" spans="1:4" x14ac:dyDescent="0.25">
      <c r="A7727" s="1">
        <v>41696</v>
      </c>
      <c r="B7727">
        <v>1</v>
      </c>
      <c r="C7727">
        <v>5</v>
      </c>
      <c r="D7727">
        <v>10</v>
      </c>
    </row>
    <row r="7728" spans="1:4" x14ac:dyDescent="0.25">
      <c r="A7728" s="1">
        <v>41697</v>
      </c>
      <c r="B7728">
        <v>1</v>
      </c>
      <c r="C7728">
        <v>5</v>
      </c>
      <c r="D7728">
        <v>14</v>
      </c>
    </row>
    <row r="7729" spans="1:4" x14ac:dyDescent="0.25">
      <c r="A7729" s="1">
        <v>41698</v>
      </c>
      <c r="B7729">
        <v>1</v>
      </c>
      <c r="C7729">
        <v>5</v>
      </c>
      <c r="D7729">
        <v>13</v>
      </c>
    </row>
    <row r="7730" spans="1:4" x14ac:dyDescent="0.25">
      <c r="A7730" s="1">
        <v>41699</v>
      </c>
      <c r="B7730">
        <v>1</v>
      </c>
      <c r="C7730">
        <v>5</v>
      </c>
      <c r="D7730">
        <v>16</v>
      </c>
    </row>
    <row r="7731" spans="1:4" x14ac:dyDescent="0.25">
      <c r="A7731" s="1">
        <v>41700</v>
      </c>
      <c r="B7731">
        <v>1</v>
      </c>
      <c r="C7731">
        <v>5</v>
      </c>
      <c r="D7731">
        <v>16</v>
      </c>
    </row>
    <row r="7732" spans="1:4" x14ac:dyDescent="0.25">
      <c r="A7732" s="1">
        <v>41701</v>
      </c>
      <c r="B7732">
        <v>1</v>
      </c>
      <c r="C7732">
        <v>5</v>
      </c>
      <c r="D7732">
        <v>13</v>
      </c>
    </row>
    <row r="7733" spans="1:4" x14ac:dyDescent="0.25">
      <c r="A7733" s="1">
        <v>41702</v>
      </c>
      <c r="B7733">
        <v>1</v>
      </c>
      <c r="C7733">
        <v>5</v>
      </c>
      <c r="D7733">
        <v>10</v>
      </c>
    </row>
    <row r="7734" spans="1:4" x14ac:dyDescent="0.25">
      <c r="A7734" s="1">
        <v>41703</v>
      </c>
      <c r="B7734">
        <v>1</v>
      </c>
      <c r="C7734">
        <v>5</v>
      </c>
      <c r="D7734">
        <v>14</v>
      </c>
    </row>
    <row r="7735" spans="1:4" x14ac:dyDescent="0.25">
      <c r="A7735" s="1">
        <v>41704</v>
      </c>
      <c r="B7735">
        <v>1</v>
      </c>
      <c r="C7735">
        <v>5</v>
      </c>
      <c r="D7735">
        <v>17</v>
      </c>
    </row>
    <row r="7736" spans="1:4" x14ac:dyDescent="0.25">
      <c r="A7736" s="1">
        <v>41705</v>
      </c>
      <c r="B7736">
        <v>1</v>
      </c>
      <c r="C7736">
        <v>5</v>
      </c>
      <c r="D7736">
        <v>19</v>
      </c>
    </row>
    <row r="7737" spans="1:4" x14ac:dyDescent="0.25">
      <c r="A7737" s="1">
        <v>41706</v>
      </c>
      <c r="B7737">
        <v>1</v>
      </c>
      <c r="C7737">
        <v>5</v>
      </c>
      <c r="D7737">
        <v>7</v>
      </c>
    </row>
    <row r="7738" spans="1:4" x14ac:dyDescent="0.25">
      <c r="A7738" s="1">
        <v>41707</v>
      </c>
      <c r="B7738">
        <v>1</v>
      </c>
      <c r="C7738">
        <v>5</v>
      </c>
      <c r="D7738">
        <v>13</v>
      </c>
    </row>
    <row r="7739" spans="1:4" x14ac:dyDescent="0.25">
      <c r="A7739" s="1">
        <v>41708</v>
      </c>
      <c r="B7739">
        <v>1</v>
      </c>
      <c r="C7739">
        <v>5</v>
      </c>
      <c r="D7739">
        <v>10</v>
      </c>
    </row>
    <row r="7740" spans="1:4" x14ac:dyDescent="0.25">
      <c r="A7740" s="1">
        <v>41709</v>
      </c>
      <c r="B7740">
        <v>1</v>
      </c>
      <c r="C7740">
        <v>5</v>
      </c>
      <c r="D7740">
        <v>9</v>
      </c>
    </row>
    <row r="7741" spans="1:4" x14ac:dyDescent="0.25">
      <c r="A7741" s="1">
        <v>41710</v>
      </c>
      <c r="B7741">
        <v>1</v>
      </c>
      <c r="C7741">
        <v>5</v>
      </c>
      <c r="D7741">
        <v>18</v>
      </c>
    </row>
    <row r="7742" spans="1:4" x14ac:dyDescent="0.25">
      <c r="A7742" s="1">
        <v>41711</v>
      </c>
      <c r="B7742">
        <v>1</v>
      </c>
      <c r="C7742">
        <v>5</v>
      </c>
      <c r="D7742">
        <v>20</v>
      </c>
    </row>
    <row r="7743" spans="1:4" x14ac:dyDescent="0.25">
      <c r="A7743" s="1">
        <v>41712</v>
      </c>
      <c r="B7743">
        <v>1</v>
      </c>
      <c r="C7743">
        <v>5</v>
      </c>
      <c r="D7743">
        <v>19</v>
      </c>
    </row>
    <row r="7744" spans="1:4" x14ac:dyDescent="0.25">
      <c r="A7744" s="1">
        <v>41713</v>
      </c>
      <c r="B7744">
        <v>1</v>
      </c>
      <c r="C7744">
        <v>5</v>
      </c>
      <c r="D7744">
        <v>17</v>
      </c>
    </row>
    <row r="7745" spans="1:4" x14ac:dyDescent="0.25">
      <c r="A7745" s="1">
        <v>41714</v>
      </c>
      <c r="B7745">
        <v>1</v>
      </c>
      <c r="C7745">
        <v>5</v>
      </c>
      <c r="D7745">
        <v>18</v>
      </c>
    </row>
    <row r="7746" spans="1:4" x14ac:dyDescent="0.25">
      <c r="A7746" s="1">
        <v>41715</v>
      </c>
      <c r="B7746">
        <v>1</v>
      </c>
      <c r="C7746">
        <v>5</v>
      </c>
      <c r="D7746">
        <v>19</v>
      </c>
    </row>
    <row r="7747" spans="1:4" x14ac:dyDescent="0.25">
      <c r="A7747" s="1">
        <v>41716</v>
      </c>
      <c r="B7747">
        <v>1</v>
      </c>
      <c r="C7747">
        <v>5</v>
      </c>
      <c r="D7747">
        <v>14</v>
      </c>
    </row>
    <row r="7748" spans="1:4" x14ac:dyDescent="0.25">
      <c r="A7748" s="1">
        <v>41717</v>
      </c>
      <c r="B7748">
        <v>1</v>
      </c>
      <c r="C7748">
        <v>5</v>
      </c>
      <c r="D7748">
        <v>19</v>
      </c>
    </row>
    <row r="7749" spans="1:4" x14ac:dyDescent="0.25">
      <c r="A7749" s="1">
        <v>41718</v>
      </c>
      <c r="B7749">
        <v>1</v>
      </c>
      <c r="C7749">
        <v>5</v>
      </c>
      <c r="D7749">
        <v>13</v>
      </c>
    </row>
    <row r="7750" spans="1:4" x14ac:dyDescent="0.25">
      <c r="A7750" s="1">
        <v>41719</v>
      </c>
      <c r="B7750">
        <v>1</v>
      </c>
      <c r="C7750">
        <v>5</v>
      </c>
      <c r="D7750">
        <v>12</v>
      </c>
    </row>
    <row r="7751" spans="1:4" x14ac:dyDescent="0.25">
      <c r="A7751" s="1">
        <v>41720</v>
      </c>
      <c r="B7751">
        <v>1</v>
      </c>
      <c r="C7751">
        <v>5</v>
      </c>
      <c r="D7751">
        <v>16</v>
      </c>
    </row>
    <row r="7752" spans="1:4" x14ac:dyDescent="0.25">
      <c r="A7752" s="1">
        <v>41721</v>
      </c>
      <c r="B7752">
        <v>1</v>
      </c>
      <c r="C7752">
        <v>5</v>
      </c>
      <c r="D7752">
        <v>15</v>
      </c>
    </row>
    <row r="7753" spans="1:4" x14ac:dyDescent="0.25">
      <c r="A7753" s="1">
        <v>41722</v>
      </c>
      <c r="B7753">
        <v>1</v>
      </c>
      <c r="C7753">
        <v>5</v>
      </c>
      <c r="D7753">
        <v>14</v>
      </c>
    </row>
    <row r="7754" spans="1:4" x14ac:dyDescent="0.25">
      <c r="A7754" s="1">
        <v>41723</v>
      </c>
      <c r="B7754">
        <v>1</v>
      </c>
      <c r="C7754">
        <v>5</v>
      </c>
      <c r="D7754">
        <v>12</v>
      </c>
    </row>
    <row r="7755" spans="1:4" x14ac:dyDescent="0.25">
      <c r="A7755" s="1">
        <v>41724</v>
      </c>
      <c r="B7755">
        <v>1</v>
      </c>
      <c r="C7755">
        <v>5</v>
      </c>
      <c r="D7755">
        <v>15</v>
      </c>
    </row>
    <row r="7756" spans="1:4" x14ac:dyDescent="0.25">
      <c r="A7756" s="1">
        <v>41725</v>
      </c>
      <c r="B7756">
        <v>1</v>
      </c>
      <c r="C7756">
        <v>5</v>
      </c>
      <c r="D7756">
        <v>23</v>
      </c>
    </row>
    <row r="7757" spans="1:4" x14ac:dyDescent="0.25">
      <c r="A7757" s="1">
        <v>41726</v>
      </c>
      <c r="B7757">
        <v>1</v>
      </c>
      <c r="C7757">
        <v>5</v>
      </c>
      <c r="D7757">
        <v>13</v>
      </c>
    </row>
    <row r="7758" spans="1:4" x14ac:dyDescent="0.25">
      <c r="A7758" s="1">
        <v>41727</v>
      </c>
      <c r="B7758">
        <v>1</v>
      </c>
      <c r="C7758">
        <v>5</v>
      </c>
      <c r="D7758">
        <v>20</v>
      </c>
    </row>
    <row r="7759" spans="1:4" x14ac:dyDescent="0.25">
      <c r="A7759" s="1">
        <v>41728</v>
      </c>
      <c r="B7759">
        <v>1</v>
      </c>
      <c r="C7759">
        <v>5</v>
      </c>
      <c r="D7759">
        <v>20</v>
      </c>
    </row>
    <row r="7760" spans="1:4" x14ac:dyDescent="0.25">
      <c r="A7760" s="1">
        <v>41729</v>
      </c>
      <c r="B7760">
        <v>1</v>
      </c>
      <c r="C7760">
        <v>5</v>
      </c>
      <c r="D7760">
        <v>11</v>
      </c>
    </row>
    <row r="7761" spans="1:4" x14ac:dyDescent="0.25">
      <c r="A7761" s="1">
        <v>41730</v>
      </c>
      <c r="B7761">
        <v>1</v>
      </c>
      <c r="C7761">
        <v>5</v>
      </c>
      <c r="D7761">
        <v>18</v>
      </c>
    </row>
    <row r="7762" spans="1:4" x14ac:dyDescent="0.25">
      <c r="A7762" s="1">
        <v>41731</v>
      </c>
      <c r="B7762">
        <v>1</v>
      </c>
      <c r="C7762">
        <v>5</v>
      </c>
      <c r="D7762">
        <v>19</v>
      </c>
    </row>
    <row r="7763" spans="1:4" x14ac:dyDescent="0.25">
      <c r="A7763" s="1">
        <v>41732</v>
      </c>
      <c r="B7763">
        <v>1</v>
      </c>
      <c r="C7763">
        <v>5</v>
      </c>
      <c r="D7763">
        <v>19</v>
      </c>
    </row>
    <row r="7764" spans="1:4" x14ac:dyDescent="0.25">
      <c r="A7764" s="1">
        <v>41733</v>
      </c>
      <c r="B7764">
        <v>1</v>
      </c>
      <c r="C7764">
        <v>5</v>
      </c>
      <c r="D7764">
        <v>18</v>
      </c>
    </row>
    <row r="7765" spans="1:4" x14ac:dyDescent="0.25">
      <c r="A7765" s="1">
        <v>41734</v>
      </c>
      <c r="B7765">
        <v>1</v>
      </c>
      <c r="C7765">
        <v>5</v>
      </c>
      <c r="D7765">
        <v>13</v>
      </c>
    </row>
    <row r="7766" spans="1:4" x14ac:dyDescent="0.25">
      <c r="A7766" s="1">
        <v>41735</v>
      </c>
      <c r="B7766">
        <v>1</v>
      </c>
      <c r="C7766">
        <v>5</v>
      </c>
      <c r="D7766">
        <v>23</v>
      </c>
    </row>
    <row r="7767" spans="1:4" x14ac:dyDescent="0.25">
      <c r="A7767" s="1">
        <v>41736</v>
      </c>
      <c r="B7767">
        <v>1</v>
      </c>
      <c r="C7767">
        <v>5</v>
      </c>
      <c r="D7767">
        <v>9</v>
      </c>
    </row>
    <row r="7768" spans="1:4" x14ac:dyDescent="0.25">
      <c r="A7768" s="1">
        <v>41737</v>
      </c>
      <c r="B7768">
        <v>1</v>
      </c>
      <c r="C7768">
        <v>5</v>
      </c>
      <c r="D7768">
        <v>22</v>
      </c>
    </row>
    <row r="7769" spans="1:4" x14ac:dyDescent="0.25">
      <c r="A7769" s="1">
        <v>41738</v>
      </c>
      <c r="B7769">
        <v>1</v>
      </c>
      <c r="C7769">
        <v>5</v>
      </c>
      <c r="D7769">
        <v>20</v>
      </c>
    </row>
    <row r="7770" spans="1:4" x14ac:dyDescent="0.25">
      <c r="A7770" s="1">
        <v>41739</v>
      </c>
      <c r="B7770">
        <v>1</v>
      </c>
      <c r="C7770">
        <v>5</v>
      </c>
      <c r="D7770">
        <v>15</v>
      </c>
    </row>
    <row r="7771" spans="1:4" x14ac:dyDescent="0.25">
      <c r="A7771" s="1">
        <v>41740</v>
      </c>
      <c r="B7771">
        <v>1</v>
      </c>
      <c r="C7771">
        <v>5</v>
      </c>
      <c r="D7771">
        <v>25</v>
      </c>
    </row>
    <row r="7772" spans="1:4" x14ac:dyDescent="0.25">
      <c r="A7772" s="1">
        <v>41741</v>
      </c>
      <c r="B7772">
        <v>1</v>
      </c>
      <c r="C7772">
        <v>5</v>
      </c>
      <c r="D7772">
        <v>20</v>
      </c>
    </row>
    <row r="7773" spans="1:4" x14ac:dyDescent="0.25">
      <c r="A7773" s="1">
        <v>41742</v>
      </c>
      <c r="B7773">
        <v>1</v>
      </c>
      <c r="C7773">
        <v>5</v>
      </c>
      <c r="D7773">
        <v>19</v>
      </c>
    </row>
    <row r="7774" spans="1:4" x14ac:dyDescent="0.25">
      <c r="A7774" s="1">
        <v>41743</v>
      </c>
      <c r="B7774">
        <v>1</v>
      </c>
      <c r="C7774">
        <v>5</v>
      </c>
      <c r="D7774">
        <v>12</v>
      </c>
    </row>
    <row r="7775" spans="1:4" x14ac:dyDescent="0.25">
      <c r="A7775" s="1">
        <v>41744</v>
      </c>
      <c r="B7775">
        <v>1</v>
      </c>
      <c r="C7775">
        <v>5</v>
      </c>
      <c r="D7775">
        <v>17</v>
      </c>
    </row>
    <row r="7776" spans="1:4" x14ac:dyDescent="0.25">
      <c r="A7776" s="1">
        <v>41745</v>
      </c>
      <c r="B7776">
        <v>1</v>
      </c>
      <c r="C7776">
        <v>5</v>
      </c>
      <c r="D7776">
        <v>15</v>
      </c>
    </row>
    <row r="7777" spans="1:4" x14ac:dyDescent="0.25">
      <c r="A7777" s="1">
        <v>41746</v>
      </c>
      <c r="B7777">
        <v>1</v>
      </c>
      <c r="C7777">
        <v>5</v>
      </c>
      <c r="D7777">
        <v>18</v>
      </c>
    </row>
    <row r="7778" spans="1:4" x14ac:dyDescent="0.25">
      <c r="A7778" s="1">
        <v>41747</v>
      </c>
      <c r="B7778">
        <v>1</v>
      </c>
      <c r="C7778">
        <v>5</v>
      </c>
      <c r="D7778">
        <v>21</v>
      </c>
    </row>
    <row r="7779" spans="1:4" x14ac:dyDescent="0.25">
      <c r="A7779" s="1">
        <v>41748</v>
      </c>
      <c r="B7779">
        <v>1</v>
      </c>
      <c r="C7779">
        <v>5</v>
      </c>
      <c r="D7779">
        <v>19</v>
      </c>
    </row>
    <row r="7780" spans="1:4" x14ac:dyDescent="0.25">
      <c r="A7780" s="1">
        <v>41749</v>
      </c>
      <c r="B7780">
        <v>1</v>
      </c>
      <c r="C7780">
        <v>5</v>
      </c>
      <c r="D7780">
        <v>14</v>
      </c>
    </row>
    <row r="7781" spans="1:4" x14ac:dyDescent="0.25">
      <c r="A7781" s="1">
        <v>41750</v>
      </c>
      <c r="B7781">
        <v>1</v>
      </c>
      <c r="C7781">
        <v>5</v>
      </c>
      <c r="D7781">
        <v>13</v>
      </c>
    </row>
    <row r="7782" spans="1:4" x14ac:dyDescent="0.25">
      <c r="A7782" s="1">
        <v>41751</v>
      </c>
      <c r="B7782">
        <v>1</v>
      </c>
      <c r="C7782">
        <v>5</v>
      </c>
      <c r="D7782">
        <v>15</v>
      </c>
    </row>
    <row r="7783" spans="1:4" x14ac:dyDescent="0.25">
      <c r="A7783" s="1">
        <v>41752</v>
      </c>
      <c r="B7783">
        <v>1</v>
      </c>
      <c r="C7783">
        <v>5</v>
      </c>
      <c r="D7783">
        <v>12</v>
      </c>
    </row>
    <row r="7784" spans="1:4" x14ac:dyDescent="0.25">
      <c r="A7784" s="1">
        <v>41753</v>
      </c>
      <c r="B7784">
        <v>1</v>
      </c>
      <c r="C7784">
        <v>5</v>
      </c>
      <c r="D7784">
        <v>19</v>
      </c>
    </row>
    <row r="7785" spans="1:4" x14ac:dyDescent="0.25">
      <c r="A7785" s="1">
        <v>41754</v>
      </c>
      <c r="B7785">
        <v>1</v>
      </c>
      <c r="C7785">
        <v>5</v>
      </c>
      <c r="D7785">
        <v>17</v>
      </c>
    </row>
    <row r="7786" spans="1:4" x14ac:dyDescent="0.25">
      <c r="A7786" s="1">
        <v>41755</v>
      </c>
      <c r="B7786">
        <v>1</v>
      </c>
      <c r="C7786">
        <v>5</v>
      </c>
      <c r="D7786">
        <v>24</v>
      </c>
    </row>
    <row r="7787" spans="1:4" x14ac:dyDescent="0.25">
      <c r="A7787" s="1">
        <v>41756</v>
      </c>
      <c r="B7787">
        <v>1</v>
      </c>
      <c r="C7787">
        <v>5</v>
      </c>
      <c r="D7787">
        <v>22</v>
      </c>
    </row>
    <row r="7788" spans="1:4" x14ac:dyDescent="0.25">
      <c r="A7788" s="1">
        <v>41757</v>
      </c>
      <c r="B7788">
        <v>1</v>
      </c>
      <c r="C7788">
        <v>5</v>
      </c>
      <c r="D7788">
        <v>12</v>
      </c>
    </row>
    <row r="7789" spans="1:4" x14ac:dyDescent="0.25">
      <c r="A7789" s="1">
        <v>41758</v>
      </c>
      <c r="B7789">
        <v>1</v>
      </c>
      <c r="C7789">
        <v>5</v>
      </c>
      <c r="D7789">
        <v>15</v>
      </c>
    </row>
    <row r="7790" spans="1:4" x14ac:dyDescent="0.25">
      <c r="A7790" s="1">
        <v>41759</v>
      </c>
      <c r="B7790">
        <v>1</v>
      </c>
      <c r="C7790">
        <v>5</v>
      </c>
      <c r="D7790">
        <v>11</v>
      </c>
    </row>
    <row r="7791" spans="1:4" x14ac:dyDescent="0.25">
      <c r="A7791" s="1">
        <v>41760</v>
      </c>
      <c r="B7791">
        <v>1</v>
      </c>
      <c r="C7791">
        <v>5</v>
      </c>
      <c r="D7791">
        <v>10</v>
      </c>
    </row>
    <row r="7792" spans="1:4" x14ac:dyDescent="0.25">
      <c r="A7792" s="1">
        <v>41761</v>
      </c>
      <c r="B7792">
        <v>1</v>
      </c>
      <c r="C7792">
        <v>5</v>
      </c>
      <c r="D7792">
        <v>20</v>
      </c>
    </row>
    <row r="7793" spans="1:4" x14ac:dyDescent="0.25">
      <c r="A7793" s="1">
        <v>41762</v>
      </c>
      <c r="B7793">
        <v>1</v>
      </c>
      <c r="C7793">
        <v>5</v>
      </c>
      <c r="D7793">
        <v>17</v>
      </c>
    </row>
    <row r="7794" spans="1:4" x14ac:dyDescent="0.25">
      <c r="A7794" s="1">
        <v>41763</v>
      </c>
      <c r="B7794">
        <v>1</v>
      </c>
      <c r="C7794">
        <v>5</v>
      </c>
      <c r="D7794">
        <v>23</v>
      </c>
    </row>
    <row r="7795" spans="1:4" x14ac:dyDescent="0.25">
      <c r="A7795" s="1">
        <v>41764</v>
      </c>
      <c r="B7795">
        <v>1</v>
      </c>
      <c r="C7795">
        <v>5</v>
      </c>
      <c r="D7795">
        <v>10</v>
      </c>
    </row>
    <row r="7796" spans="1:4" x14ac:dyDescent="0.25">
      <c r="A7796" s="1">
        <v>41765</v>
      </c>
      <c r="B7796">
        <v>1</v>
      </c>
      <c r="C7796">
        <v>5</v>
      </c>
      <c r="D7796">
        <v>16</v>
      </c>
    </row>
    <row r="7797" spans="1:4" x14ac:dyDescent="0.25">
      <c r="A7797" s="1">
        <v>41766</v>
      </c>
      <c r="B7797">
        <v>1</v>
      </c>
      <c r="C7797">
        <v>5</v>
      </c>
      <c r="D7797">
        <v>19</v>
      </c>
    </row>
    <row r="7798" spans="1:4" x14ac:dyDescent="0.25">
      <c r="A7798" s="1">
        <v>41767</v>
      </c>
      <c r="B7798">
        <v>1</v>
      </c>
      <c r="C7798">
        <v>5</v>
      </c>
      <c r="D7798">
        <v>22</v>
      </c>
    </row>
    <row r="7799" spans="1:4" x14ac:dyDescent="0.25">
      <c r="A7799" s="1">
        <v>41768</v>
      </c>
      <c r="B7799">
        <v>1</v>
      </c>
      <c r="C7799">
        <v>5</v>
      </c>
      <c r="D7799">
        <v>22</v>
      </c>
    </row>
    <row r="7800" spans="1:4" x14ac:dyDescent="0.25">
      <c r="A7800" s="1">
        <v>41769</v>
      </c>
      <c r="B7800">
        <v>1</v>
      </c>
      <c r="C7800">
        <v>5</v>
      </c>
      <c r="D7800">
        <v>25</v>
      </c>
    </row>
    <row r="7801" spans="1:4" x14ac:dyDescent="0.25">
      <c r="A7801" s="1">
        <v>41770</v>
      </c>
      <c r="B7801">
        <v>1</v>
      </c>
      <c r="C7801">
        <v>5</v>
      </c>
      <c r="D7801">
        <v>26</v>
      </c>
    </row>
    <row r="7802" spans="1:4" x14ac:dyDescent="0.25">
      <c r="A7802" s="1">
        <v>41771</v>
      </c>
      <c r="B7802">
        <v>1</v>
      </c>
      <c r="C7802">
        <v>5</v>
      </c>
      <c r="D7802">
        <v>13</v>
      </c>
    </row>
    <row r="7803" spans="1:4" x14ac:dyDescent="0.25">
      <c r="A7803" s="1">
        <v>41772</v>
      </c>
      <c r="B7803">
        <v>1</v>
      </c>
      <c r="C7803">
        <v>5</v>
      </c>
      <c r="D7803">
        <v>11</v>
      </c>
    </row>
    <row r="7804" spans="1:4" x14ac:dyDescent="0.25">
      <c r="A7804" s="1">
        <v>41773</v>
      </c>
      <c r="B7804">
        <v>1</v>
      </c>
      <c r="C7804">
        <v>5</v>
      </c>
      <c r="D7804">
        <v>23</v>
      </c>
    </row>
    <row r="7805" spans="1:4" x14ac:dyDescent="0.25">
      <c r="A7805" s="1">
        <v>41774</v>
      </c>
      <c r="B7805">
        <v>1</v>
      </c>
      <c r="C7805">
        <v>5</v>
      </c>
      <c r="D7805">
        <v>22</v>
      </c>
    </row>
    <row r="7806" spans="1:4" x14ac:dyDescent="0.25">
      <c r="A7806" s="1">
        <v>41775</v>
      </c>
      <c r="B7806">
        <v>1</v>
      </c>
      <c r="C7806">
        <v>5</v>
      </c>
      <c r="D7806">
        <v>22</v>
      </c>
    </row>
    <row r="7807" spans="1:4" x14ac:dyDescent="0.25">
      <c r="A7807" s="1">
        <v>41776</v>
      </c>
      <c r="B7807">
        <v>1</v>
      </c>
      <c r="C7807">
        <v>5</v>
      </c>
      <c r="D7807">
        <v>24</v>
      </c>
    </row>
    <row r="7808" spans="1:4" x14ac:dyDescent="0.25">
      <c r="A7808" s="1">
        <v>41777</v>
      </c>
      <c r="B7808">
        <v>1</v>
      </c>
      <c r="C7808">
        <v>5</v>
      </c>
      <c r="D7808">
        <v>21</v>
      </c>
    </row>
    <row r="7809" spans="1:4" x14ac:dyDescent="0.25">
      <c r="A7809" s="1">
        <v>41778</v>
      </c>
      <c r="B7809">
        <v>1</v>
      </c>
      <c r="C7809">
        <v>5</v>
      </c>
      <c r="D7809">
        <v>13</v>
      </c>
    </row>
    <row r="7810" spans="1:4" x14ac:dyDescent="0.25">
      <c r="A7810" s="1">
        <v>41779</v>
      </c>
      <c r="B7810">
        <v>1</v>
      </c>
      <c r="C7810">
        <v>5</v>
      </c>
      <c r="D7810">
        <v>16</v>
      </c>
    </row>
    <row r="7811" spans="1:4" x14ac:dyDescent="0.25">
      <c r="A7811" s="1">
        <v>41780</v>
      </c>
      <c r="B7811">
        <v>1</v>
      </c>
      <c r="C7811">
        <v>5</v>
      </c>
      <c r="D7811">
        <v>18</v>
      </c>
    </row>
    <row r="7812" spans="1:4" x14ac:dyDescent="0.25">
      <c r="A7812" s="1">
        <v>41781</v>
      </c>
      <c r="B7812">
        <v>1</v>
      </c>
      <c r="C7812">
        <v>5</v>
      </c>
      <c r="D7812">
        <v>25</v>
      </c>
    </row>
    <row r="7813" spans="1:4" x14ac:dyDescent="0.25">
      <c r="A7813" s="1">
        <v>41782</v>
      </c>
      <c r="B7813">
        <v>1</v>
      </c>
      <c r="C7813">
        <v>5</v>
      </c>
      <c r="D7813">
        <v>26</v>
      </c>
    </row>
    <row r="7814" spans="1:4" x14ac:dyDescent="0.25">
      <c r="A7814" s="1">
        <v>41783</v>
      </c>
      <c r="B7814">
        <v>1</v>
      </c>
      <c r="C7814">
        <v>5</v>
      </c>
      <c r="D7814">
        <v>22</v>
      </c>
    </row>
    <row r="7815" spans="1:4" x14ac:dyDescent="0.25">
      <c r="A7815" s="1">
        <v>41784</v>
      </c>
      <c r="B7815">
        <v>1</v>
      </c>
      <c r="C7815">
        <v>5</v>
      </c>
      <c r="D7815">
        <v>24</v>
      </c>
    </row>
    <row r="7816" spans="1:4" x14ac:dyDescent="0.25">
      <c r="A7816" s="1">
        <v>41785</v>
      </c>
      <c r="B7816">
        <v>1</v>
      </c>
      <c r="C7816">
        <v>5</v>
      </c>
      <c r="D7816">
        <v>13</v>
      </c>
    </row>
    <row r="7817" spans="1:4" x14ac:dyDescent="0.25">
      <c r="A7817" s="1">
        <v>41786</v>
      </c>
      <c r="B7817">
        <v>1</v>
      </c>
      <c r="C7817">
        <v>5</v>
      </c>
      <c r="D7817">
        <v>9</v>
      </c>
    </row>
    <row r="7818" spans="1:4" x14ac:dyDescent="0.25">
      <c r="A7818" s="1">
        <v>41787</v>
      </c>
      <c r="B7818">
        <v>1</v>
      </c>
      <c r="C7818">
        <v>5</v>
      </c>
      <c r="D7818">
        <v>20</v>
      </c>
    </row>
    <row r="7819" spans="1:4" x14ac:dyDescent="0.25">
      <c r="A7819" s="1">
        <v>41788</v>
      </c>
      <c r="B7819">
        <v>1</v>
      </c>
      <c r="C7819">
        <v>5</v>
      </c>
      <c r="D7819">
        <v>23</v>
      </c>
    </row>
    <row r="7820" spans="1:4" x14ac:dyDescent="0.25">
      <c r="A7820" s="1">
        <v>41789</v>
      </c>
      <c r="B7820">
        <v>1</v>
      </c>
      <c r="C7820">
        <v>5</v>
      </c>
      <c r="D7820">
        <v>25</v>
      </c>
    </row>
    <row r="7821" spans="1:4" x14ac:dyDescent="0.25">
      <c r="A7821" s="1">
        <v>41790</v>
      </c>
      <c r="B7821">
        <v>1</v>
      </c>
      <c r="C7821">
        <v>5</v>
      </c>
      <c r="D7821">
        <v>18</v>
      </c>
    </row>
    <row r="7822" spans="1:4" x14ac:dyDescent="0.25">
      <c r="A7822" s="1">
        <v>41791</v>
      </c>
      <c r="B7822">
        <v>1</v>
      </c>
      <c r="C7822">
        <v>5</v>
      </c>
      <c r="D7822">
        <v>22</v>
      </c>
    </row>
    <row r="7823" spans="1:4" x14ac:dyDescent="0.25">
      <c r="A7823" s="1">
        <v>41792</v>
      </c>
      <c r="B7823">
        <v>1</v>
      </c>
      <c r="C7823">
        <v>5</v>
      </c>
      <c r="D7823">
        <v>16</v>
      </c>
    </row>
    <row r="7824" spans="1:4" x14ac:dyDescent="0.25">
      <c r="A7824" s="1">
        <v>41793</v>
      </c>
      <c r="B7824">
        <v>1</v>
      </c>
      <c r="C7824">
        <v>5</v>
      </c>
      <c r="D7824">
        <v>16</v>
      </c>
    </row>
    <row r="7825" spans="1:4" x14ac:dyDescent="0.25">
      <c r="A7825" s="1">
        <v>41794</v>
      </c>
      <c r="B7825">
        <v>1</v>
      </c>
      <c r="C7825">
        <v>5</v>
      </c>
      <c r="D7825">
        <v>14</v>
      </c>
    </row>
    <row r="7826" spans="1:4" x14ac:dyDescent="0.25">
      <c r="A7826" s="1">
        <v>41795</v>
      </c>
      <c r="B7826">
        <v>1</v>
      </c>
      <c r="C7826">
        <v>5</v>
      </c>
      <c r="D7826">
        <v>21</v>
      </c>
    </row>
    <row r="7827" spans="1:4" x14ac:dyDescent="0.25">
      <c r="A7827" s="1">
        <v>41796</v>
      </c>
      <c r="B7827">
        <v>1</v>
      </c>
      <c r="C7827">
        <v>5</v>
      </c>
      <c r="D7827">
        <v>23</v>
      </c>
    </row>
    <row r="7828" spans="1:4" x14ac:dyDescent="0.25">
      <c r="A7828" s="1">
        <v>41797</v>
      </c>
      <c r="B7828">
        <v>1</v>
      </c>
      <c r="C7828">
        <v>5</v>
      </c>
      <c r="D7828">
        <v>15</v>
      </c>
    </row>
    <row r="7829" spans="1:4" x14ac:dyDescent="0.25">
      <c r="A7829" s="1">
        <v>41798</v>
      </c>
      <c r="B7829">
        <v>1</v>
      </c>
      <c r="C7829">
        <v>5</v>
      </c>
      <c r="D7829">
        <v>20</v>
      </c>
    </row>
    <row r="7830" spans="1:4" x14ac:dyDescent="0.25">
      <c r="A7830" s="1">
        <v>41799</v>
      </c>
      <c r="B7830">
        <v>1</v>
      </c>
      <c r="C7830">
        <v>5</v>
      </c>
      <c r="D7830">
        <v>15</v>
      </c>
    </row>
    <row r="7831" spans="1:4" x14ac:dyDescent="0.25">
      <c r="A7831" s="1">
        <v>41800</v>
      </c>
      <c r="B7831">
        <v>1</v>
      </c>
      <c r="C7831">
        <v>5</v>
      </c>
      <c r="D7831">
        <v>21</v>
      </c>
    </row>
    <row r="7832" spans="1:4" x14ac:dyDescent="0.25">
      <c r="A7832" s="1">
        <v>41801</v>
      </c>
      <c r="B7832">
        <v>1</v>
      </c>
      <c r="C7832">
        <v>5</v>
      </c>
      <c r="D7832">
        <v>17</v>
      </c>
    </row>
    <row r="7833" spans="1:4" x14ac:dyDescent="0.25">
      <c r="A7833" s="1">
        <v>41802</v>
      </c>
      <c r="B7833">
        <v>1</v>
      </c>
      <c r="C7833">
        <v>5</v>
      </c>
      <c r="D7833">
        <v>24</v>
      </c>
    </row>
    <row r="7834" spans="1:4" x14ac:dyDescent="0.25">
      <c r="A7834" s="1">
        <v>41803</v>
      </c>
      <c r="B7834">
        <v>1</v>
      </c>
      <c r="C7834">
        <v>5</v>
      </c>
      <c r="D7834">
        <v>21</v>
      </c>
    </row>
    <row r="7835" spans="1:4" x14ac:dyDescent="0.25">
      <c r="A7835" s="1">
        <v>41804</v>
      </c>
      <c r="B7835">
        <v>1</v>
      </c>
      <c r="C7835">
        <v>5</v>
      </c>
      <c r="D7835">
        <v>18</v>
      </c>
    </row>
    <row r="7836" spans="1:4" x14ac:dyDescent="0.25">
      <c r="A7836" s="1">
        <v>41805</v>
      </c>
      <c r="B7836">
        <v>1</v>
      </c>
      <c r="C7836">
        <v>5</v>
      </c>
      <c r="D7836">
        <v>20</v>
      </c>
    </row>
    <row r="7837" spans="1:4" x14ac:dyDescent="0.25">
      <c r="A7837" s="1">
        <v>41806</v>
      </c>
      <c r="B7837">
        <v>1</v>
      </c>
      <c r="C7837">
        <v>5</v>
      </c>
      <c r="D7837">
        <v>12</v>
      </c>
    </row>
    <row r="7838" spans="1:4" x14ac:dyDescent="0.25">
      <c r="A7838" s="1">
        <v>41807</v>
      </c>
      <c r="B7838">
        <v>1</v>
      </c>
      <c r="C7838">
        <v>5</v>
      </c>
      <c r="D7838">
        <v>16</v>
      </c>
    </row>
    <row r="7839" spans="1:4" x14ac:dyDescent="0.25">
      <c r="A7839" s="1">
        <v>41808</v>
      </c>
      <c r="B7839">
        <v>1</v>
      </c>
      <c r="C7839">
        <v>5</v>
      </c>
      <c r="D7839">
        <v>19</v>
      </c>
    </row>
    <row r="7840" spans="1:4" x14ac:dyDescent="0.25">
      <c r="A7840" s="1">
        <v>41809</v>
      </c>
      <c r="B7840">
        <v>1</v>
      </c>
      <c r="C7840">
        <v>5</v>
      </c>
      <c r="D7840">
        <v>25</v>
      </c>
    </row>
    <row r="7841" spans="1:4" x14ac:dyDescent="0.25">
      <c r="A7841" s="1">
        <v>41810</v>
      </c>
      <c r="B7841">
        <v>1</v>
      </c>
      <c r="C7841">
        <v>5</v>
      </c>
      <c r="D7841">
        <v>17</v>
      </c>
    </row>
    <row r="7842" spans="1:4" x14ac:dyDescent="0.25">
      <c r="A7842" s="1">
        <v>41811</v>
      </c>
      <c r="B7842">
        <v>1</v>
      </c>
      <c r="C7842">
        <v>5</v>
      </c>
      <c r="D7842">
        <v>21</v>
      </c>
    </row>
    <row r="7843" spans="1:4" x14ac:dyDescent="0.25">
      <c r="A7843" s="1">
        <v>41812</v>
      </c>
      <c r="B7843">
        <v>1</v>
      </c>
      <c r="C7843">
        <v>5</v>
      </c>
      <c r="D7843">
        <v>23</v>
      </c>
    </row>
    <row r="7844" spans="1:4" x14ac:dyDescent="0.25">
      <c r="A7844" s="1">
        <v>41813</v>
      </c>
      <c r="B7844">
        <v>1</v>
      </c>
      <c r="C7844">
        <v>5</v>
      </c>
      <c r="D7844">
        <v>15</v>
      </c>
    </row>
    <row r="7845" spans="1:4" x14ac:dyDescent="0.25">
      <c r="A7845" s="1">
        <v>41814</v>
      </c>
      <c r="B7845">
        <v>1</v>
      </c>
      <c r="C7845">
        <v>5</v>
      </c>
      <c r="D7845">
        <v>17</v>
      </c>
    </row>
    <row r="7846" spans="1:4" x14ac:dyDescent="0.25">
      <c r="A7846" s="1">
        <v>41815</v>
      </c>
      <c r="B7846">
        <v>1</v>
      </c>
      <c r="C7846">
        <v>5</v>
      </c>
      <c r="D7846">
        <v>20</v>
      </c>
    </row>
    <row r="7847" spans="1:4" x14ac:dyDescent="0.25">
      <c r="A7847" s="1">
        <v>41816</v>
      </c>
      <c r="B7847">
        <v>1</v>
      </c>
      <c r="C7847">
        <v>5</v>
      </c>
      <c r="D7847">
        <v>24</v>
      </c>
    </row>
    <row r="7848" spans="1:4" x14ac:dyDescent="0.25">
      <c r="A7848" s="1">
        <v>41817</v>
      </c>
      <c r="B7848">
        <v>1</v>
      </c>
      <c r="C7848">
        <v>5</v>
      </c>
      <c r="D7848">
        <v>17</v>
      </c>
    </row>
    <row r="7849" spans="1:4" x14ac:dyDescent="0.25">
      <c r="A7849" s="1">
        <v>41818</v>
      </c>
      <c r="B7849">
        <v>1</v>
      </c>
      <c r="C7849">
        <v>5</v>
      </c>
      <c r="D7849">
        <v>24</v>
      </c>
    </row>
    <row r="7850" spans="1:4" x14ac:dyDescent="0.25">
      <c r="A7850" s="1">
        <v>41819</v>
      </c>
      <c r="B7850">
        <v>1</v>
      </c>
      <c r="C7850">
        <v>5</v>
      </c>
      <c r="D7850">
        <v>23</v>
      </c>
    </row>
    <row r="7851" spans="1:4" x14ac:dyDescent="0.25">
      <c r="A7851" s="1">
        <v>41820</v>
      </c>
      <c r="B7851">
        <v>1</v>
      </c>
      <c r="C7851">
        <v>5</v>
      </c>
      <c r="D7851">
        <v>9</v>
      </c>
    </row>
    <row r="7852" spans="1:4" x14ac:dyDescent="0.25">
      <c r="A7852" s="1">
        <v>41821</v>
      </c>
      <c r="B7852">
        <v>1</v>
      </c>
      <c r="C7852">
        <v>5</v>
      </c>
      <c r="D7852">
        <v>15</v>
      </c>
    </row>
    <row r="7853" spans="1:4" x14ac:dyDescent="0.25">
      <c r="A7853" s="1">
        <v>41822</v>
      </c>
      <c r="B7853">
        <v>1</v>
      </c>
      <c r="C7853">
        <v>5</v>
      </c>
      <c r="D7853">
        <v>20</v>
      </c>
    </row>
    <row r="7854" spans="1:4" x14ac:dyDescent="0.25">
      <c r="A7854" s="1">
        <v>41823</v>
      </c>
      <c r="B7854">
        <v>1</v>
      </c>
      <c r="C7854">
        <v>5</v>
      </c>
      <c r="D7854">
        <v>20</v>
      </c>
    </row>
    <row r="7855" spans="1:4" x14ac:dyDescent="0.25">
      <c r="A7855" s="1">
        <v>41824</v>
      </c>
      <c r="B7855">
        <v>1</v>
      </c>
      <c r="C7855">
        <v>5</v>
      </c>
      <c r="D7855">
        <v>28</v>
      </c>
    </row>
    <row r="7856" spans="1:4" x14ac:dyDescent="0.25">
      <c r="A7856" s="1">
        <v>41825</v>
      </c>
      <c r="B7856">
        <v>1</v>
      </c>
      <c r="C7856">
        <v>5</v>
      </c>
      <c r="D7856">
        <v>21</v>
      </c>
    </row>
    <row r="7857" spans="1:4" x14ac:dyDescent="0.25">
      <c r="A7857" s="1">
        <v>41826</v>
      </c>
      <c r="B7857">
        <v>1</v>
      </c>
      <c r="C7857">
        <v>5</v>
      </c>
      <c r="D7857">
        <v>24</v>
      </c>
    </row>
    <row r="7858" spans="1:4" x14ac:dyDescent="0.25">
      <c r="A7858" s="1">
        <v>41827</v>
      </c>
      <c r="B7858">
        <v>1</v>
      </c>
      <c r="C7858">
        <v>5</v>
      </c>
      <c r="D7858">
        <v>16</v>
      </c>
    </row>
    <row r="7859" spans="1:4" x14ac:dyDescent="0.25">
      <c r="A7859" s="1">
        <v>41828</v>
      </c>
      <c r="B7859">
        <v>1</v>
      </c>
      <c r="C7859">
        <v>5</v>
      </c>
      <c r="D7859">
        <v>24</v>
      </c>
    </row>
    <row r="7860" spans="1:4" x14ac:dyDescent="0.25">
      <c r="A7860" s="1">
        <v>41829</v>
      </c>
      <c r="B7860">
        <v>1</v>
      </c>
      <c r="C7860">
        <v>5</v>
      </c>
      <c r="D7860">
        <v>26</v>
      </c>
    </row>
    <row r="7861" spans="1:4" x14ac:dyDescent="0.25">
      <c r="A7861" s="1">
        <v>41830</v>
      </c>
      <c r="B7861">
        <v>1</v>
      </c>
      <c r="C7861">
        <v>5</v>
      </c>
      <c r="D7861">
        <v>23</v>
      </c>
    </row>
    <row r="7862" spans="1:4" x14ac:dyDescent="0.25">
      <c r="A7862" s="1">
        <v>41831</v>
      </c>
      <c r="B7862">
        <v>1</v>
      </c>
      <c r="C7862">
        <v>5</v>
      </c>
      <c r="D7862">
        <v>17</v>
      </c>
    </row>
    <row r="7863" spans="1:4" x14ac:dyDescent="0.25">
      <c r="A7863" s="1">
        <v>41832</v>
      </c>
      <c r="B7863">
        <v>1</v>
      </c>
      <c r="C7863">
        <v>5</v>
      </c>
      <c r="D7863">
        <v>28</v>
      </c>
    </row>
    <row r="7864" spans="1:4" x14ac:dyDescent="0.25">
      <c r="A7864" s="1">
        <v>41833</v>
      </c>
      <c r="B7864">
        <v>1</v>
      </c>
      <c r="C7864">
        <v>5</v>
      </c>
      <c r="D7864">
        <v>18</v>
      </c>
    </row>
    <row r="7865" spans="1:4" x14ac:dyDescent="0.25">
      <c r="A7865" s="1">
        <v>41834</v>
      </c>
      <c r="B7865">
        <v>1</v>
      </c>
      <c r="C7865">
        <v>5</v>
      </c>
      <c r="D7865">
        <v>9</v>
      </c>
    </row>
    <row r="7866" spans="1:4" x14ac:dyDescent="0.25">
      <c r="A7866" s="1">
        <v>41835</v>
      </c>
      <c r="B7866">
        <v>1</v>
      </c>
      <c r="C7866">
        <v>5</v>
      </c>
      <c r="D7866">
        <v>17</v>
      </c>
    </row>
    <row r="7867" spans="1:4" x14ac:dyDescent="0.25">
      <c r="A7867" s="1">
        <v>41836</v>
      </c>
      <c r="B7867">
        <v>1</v>
      </c>
      <c r="C7867">
        <v>5</v>
      </c>
      <c r="D7867">
        <v>27</v>
      </c>
    </row>
    <row r="7868" spans="1:4" x14ac:dyDescent="0.25">
      <c r="A7868" s="1">
        <v>41837</v>
      </c>
      <c r="B7868">
        <v>1</v>
      </c>
      <c r="C7868">
        <v>5</v>
      </c>
      <c r="D7868">
        <v>20</v>
      </c>
    </row>
    <row r="7869" spans="1:4" x14ac:dyDescent="0.25">
      <c r="A7869" s="1">
        <v>41838</v>
      </c>
      <c r="B7869">
        <v>1</v>
      </c>
      <c r="C7869">
        <v>5</v>
      </c>
      <c r="D7869">
        <v>24</v>
      </c>
    </row>
    <row r="7870" spans="1:4" x14ac:dyDescent="0.25">
      <c r="A7870" s="1">
        <v>41839</v>
      </c>
      <c r="B7870">
        <v>1</v>
      </c>
      <c r="C7870">
        <v>5</v>
      </c>
      <c r="D7870">
        <v>18</v>
      </c>
    </row>
    <row r="7871" spans="1:4" x14ac:dyDescent="0.25">
      <c r="A7871" s="1">
        <v>41840</v>
      </c>
      <c r="B7871">
        <v>1</v>
      </c>
      <c r="C7871">
        <v>5</v>
      </c>
      <c r="D7871">
        <v>28</v>
      </c>
    </row>
    <row r="7872" spans="1:4" x14ac:dyDescent="0.25">
      <c r="A7872" s="1">
        <v>41841</v>
      </c>
      <c r="B7872">
        <v>1</v>
      </c>
      <c r="C7872">
        <v>5</v>
      </c>
      <c r="D7872">
        <v>15</v>
      </c>
    </row>
    <row r="7873" spans="1:4" x14ac:dyDescent="0.25">
      <c r="A7873" s="1">
        <v>41842</v>
      </c>
      <c r="B7873">
        <v>1</v>
      </c>
      <c r="C7873">
        <v>5</v>
      </c>
      <c r="D7873">
        <v>17</v>
      </c>
    </row>
    <row r="7874" spans="1:4" x14ac:dyDescent="0.25">
      <c r="A7874" s="1">
        <v>41843</v>
      </c>
      <c r="B7874">
        <v>1</v>
      </c>
      <c r="C7874">
        <v>5</v>
      </c>
      <c r="D7874">
        <v>20</v>
      </c>
    </row>
    <row r="7875" spans="1:4" x14ac:dyDescent="0.25">
      <c r="A7875" s="1">
        <v>41844</v>
      </c>
      <c r="B7875">
        <v>1</v>
      </c>
      <c r="C7875">
        <v>5</v>
      </c>
      <c r="D7875">
        <v>21</v>
      </c>
    </row>
    <row r="7876" spans="1:4" x14ac:dyDescent="0.25">
      <c r="A7876" s="1">
        <v>41845</v>
      </c>
      <c r="B7876">
        <v>1</v>
      </c>
      <c r="C7876">
        <v>5</v>
      </c>
      <c r="D7876">
        <v>22</v>
      </c>
    </row>
    <row r="7877" spans="1:4" x14ac:dyDescent="0.25">
      <c r="A7877" s="1">
        <v>41846</v>
      </c>
      <c r="B7877">
        <v>1</v>
      </c>
      <c r="C7877">
        <v>5</v>
      </c>
      <c r="D7877">
        <v>18</v>
      </c>
    </row>
    <row r="7878" spans="1:4" x14ac:dyDescent="0.25">
      <c r="A7878" s="1">
        <v>41847</v>
      </c>
      <c r="B7878">
        <v>1</v>
      </c>
      <c r="C7878">
        <v>5</v>
      </c>
      <c r="D7878">
        <v>26</v>
      </c>
    </row>
    <row r="7879" spans="1:4" x14ac:dyDescent="0.25">
      <c r="A7879" s="1">
        <v>41848</v>
      </c>
      <c r="B7879">
        <v>1</v>
      </c>
      <c r="C7879">
        <v>5</v>
      </c>
      <c r="D7879">
        <v>6</v>
      </c>
    </row>
    <row r="7880" spans="1:4" x14ac:dyDescent="0.25">
      <c r="A7880" s="1">
        <v>41849</v>
      </c>
      <c r="B7880">
        <v>1</v>
      </c>
      <c r="C7880">
        <v>5</v>
      </c>
      <c r="D7880">
        <v>27</v>
      </c>
    </row>
    <row r="7881" spans="1:4" x14ac:dyDescent="0.25">
      <c r="A7881" s="1">
        <v>41850</v>
      </c>
      <c r="B7881">
        <v>1</v>
      </c>
      <c r="C7881">
        <v>5</v>
      </c>
      <c r="D7881">
        <v>13</v>
      </c>
    </row>
    <row r="7882" spans="1:4" x14ac:dyDescent="0.25">
      <c r="A7882" s="1">
        <v>41851</v>
      </c>
      <c r="B7882">
        <v>1</v>
      </c>
      <c r="C7882">
        <v>5</v>
      </c>
      <c r="D7882">
        <v>26</v>
      </c>
    </row>
    <row r="7883" spans="1:4" x14ac:dyDescent="0.25">
      <c r="A7883" s="1">
        <v>41852</v>
      </c>
      <c r="B7883">
        <v>1</v>
      </c>
      <c r="C7883">
        <v>5</v>
      </c>
      <c r="D7883">
        <v>24</v>
      </c>
    </row>
    <row r="7884" spans="1:4" x14ac:dyDescent="0.25">
      <c r="A7884" s="1">
        <v>41853</v>
      </c>
      <c r="B7884">
        <v>1</v>
      </c>
      <c r="C7884">
        <v>5</v>
      </c>
      <c r="D7884">
        <v>15</v>
      </c>
    </row>
    <row r="7885" spans="1:4" x14ac:dyDescent="0.25">
      <c r="A7885" s="1">
        <v>41854</v>
      </c>
      <c r="B7885">
        <v>1</v>
      </c>
      <c r="C7885">
        <v>5</v>
      </c>
      <c r="D7885">
        <v>19</v>
      </c>
    </row>
    <row r="7886" spans="1:4" x14ac:dyDescent="0.25">
      <c r="A7886" s="1">
        <v>41855</v>
      </c>
      <c r="B7886">
        <v>1</v>
      </c>
      <c r="C7886">
        <v>5</v>
      </c>
      <c r="D7886">
        <v>13</v>
      </c>
    </row>
    <row r="7887" spans="1:4" x14ac:dyDescent="0.25">
      <c r="A7887" s="1">
        <v>41856</v>
      </c>
      <c r="B7887">
        <v>1</v>
      </c>
      <c r="C7887">
        <v>5</v>
      </c>
      <c r="D7887">
        <v>17</v>
      </c>
    </row>
    <row r="7888" spans="1:4" x14ac:dyDescent="0.25">
      <c r="A7888" s="1">
        <v>41857</v>
      </c>
      <c r="B7888">
        <v>1</v>
      </c>
      <c r="C7888">
        <v>5</v>
      </c>
      <c r="D7888">
        <v>17</v>
      </c>
    </row>
    <row r="7889" spans="1:4" x14ac:dyDescent="0.25">
      <c r="A7889" s="1">
        <v>41858</v>
      </c>
      <c r="B7889">
        <v>1</v>
      </c>
      <c r="C7889">
        <v>5</v>
      </c>
      <c r="D7889">
        <v>21</v>
      </c>
    </row>
    <row r="7890" spans="1:4" x14ac:dyDescent="0.25">
      <c r="A7890" s="1">
        <v>41859</v>
      </c>
      <c r="B7890">
        <v>1</v>
      </c>
      <c r="C7890">
        <v>5</v>
      </c>
      <c r="D7890">
        <v>22</v>
      </c>
    </row>
    <row r="7891" spans="1:4" x14ac:dyDescent="0.25">
      <c r="A7891" s="1">
        <v>41860</v>
      </c>
      <c r="B7891">
        <v>1</v>
      </c>
      <c r="C7891">
        <v>5</v>
      </c>
      <c r="D7891">
        <v>17</v>
      </c>
    </row>
    <row r="7892" spans="1:4" x14ac:dyDescent="0.25">
      <c r="A7892" s="1">
        <v>41861</v>
      </c>
      <c r="B7892">
        <v>1</v>
      </c>
      <c r="C7892">
        <v>5</v>
      </c>
      <c r="D7892">
        <v>19</v>
      </c>
    </row>
    <row r="7893" spans="1:4" x14ac:dyDescent="0.25">
      <c r="A7893" s="1">
        <v>41862</v>
      </c>
      <c r="B7893">
        <v>1</v>
      </c>
      <c r="C7893">
        <v>5</v>
      </c>
      <c r="D7893">
        <v>16</v>
      </c>
    </row>
    <row r="7894" spans="1:4" x14ac:dyDescent="0.25">
      <c r="A7894" s="1">
        <v>41863</v>
      </c>
      <c r="B7894">
        <v>1</v>
      </c>
      <c r="C7894">
        <v>5</v>
      </c>
      <c r="D7894">
        <v>19</v>
      </c>
    </row>
    <row r="7895" spans="1:4" x14ac:dyDescent="0.25">
      <c r="A7895" s="1">
        <v>41864</v>
      </c>
      <c r="B7895">
        <v>1</v>
      </c>
      <c r="C7895">
        <v>5</v>
      </c>
      <c r="D7895">
        <v>17</v>
      </c>
    </row>
    <row r="7896" spans="1:4" x14ac:dyDescent="0.25">
      <c r="A7896" s="1">
        <v>41865</v>
      </c>
      <c r="B7896">
        <v>1</v>
      </c>
      <c r="C7896">
        <v>5</v>
      </c>
      <c r="D7896">
        <v>17</v>
      </c>
    </row>
    <row r="7897" spans="1:4" x14ac:dyDescent="0.25">
      <c r="A7897" s="1">
        <v>41866</v>
      </c>
      <c r="B7897">
        <v>1</v>
      </c>
      <c r="C7897">
        <v>5</v>
      </c>
      <c r="D7897">
        <v>32</v>
      </c>
    </row>
    <row r="7898" spans="1:4" x14ac:dyDescent="0.25">
      <c r="A7898" s="1">
        <v>41867</v>
      </c>
      <c r="B7898">
        <v>1</v>
      </c>
      <c r="C7898">
        <v>5</v>
      </c>
      <c r="D7898">
        <v>23</v>
      </c>
    </row>
    <row r="7899" spans="1:4" x14ac:dyDescent="0.25">
      <c r="A7899" s="1">
        <v>41868</v>
      </c>
      <c r="B7899">
        <v>1</v>
      </c>
      <c r="C7899">
        <v>5</v>
      </c>
      <c r="D7899">
        <v>17</v>
      </c>
    </row>
    <row r="7900" spans="1:4" x14ac:dyDescent="0.25">
      <c r="A7900" s="1">
        <v>41869</v>
      </c>
      <c r="B7900">
        <v>1</v>
      </c>
      <c r="C7900">
        <v>5</v>
      </c>
      <c r="D7900">
        <v>12</v>
      </c>
    </row>
    <row r="7901" spans="1:4" x14ac:dyDescent="0.25">
      <c r="A7901" s="1">
        <v>41870</v>
      </c>
      <c r="B7901">
        <v>1</v>
      </c>
      <c r="C7901">
        <v>5</v>
      </c>
      <c r="D7901">
        <v>24</v>
      </c>
    </row>
    <row r="7902" spans="1:4" x14ac:dyDescent="0.25">
      <c r="A7902" s="1">
        <v>41871</v>
      </c>
      <c r="B7902">
        <v>1</v>
      </c>
      <c r="C7902">
        <v>5</v>
      </c>
      <c r="D7902">
        <v>13</v>
      </c>
    </row>
    <row r="7903" spans="1:4" x14ac:dyDescent="0.25">
      <c r="A7903" s="1">
        <v>41872</v>
      </c>
      <c r="B7903">
        <v>1</v>
      </c>
      <c r="C7903">
        <v>5</v>
      </c>
      <c r="D7903">
        <v>12</v>
      </c>
    </row>
    <row r="7904" spans="1:4" x14ac:dyDescent="0.25">
      <c r="A7904" s="1">
        <v>41873</v>
      </c>
      <c r="B7904">
        <v>1</v>
      </c>
      <c r="C7904">
        <v>5</v>
      </c>
      <c r="D7904">
        <v>19</v>
      </c>
    </row>
    <row r="7905" spans="1:4" x14ac:dyDescent="0.25">
      <c r="A7905" s="1">
        <v>41874</v>
      </c>
      <c r="B7905">
        <v>1</v>
      </c>
      <c r="C7905">
        <v>5</v>
      </c>
      <c r="D7905">
        <v>13</v>
      </c>
    </row>
    <row r="7906" spans="1:4" x14ac:dyDescent="0.25">
      <c r="A7906" s="1">
        <v>41875</v>
      </c>
      <c r="B7906">
        <v>1</v>
      </c>
      <c r="C7906">
        <v>5</v>
      </c>
      <c r="D7906">
        <v>17</v>
      </c>
    </row>
    <row r="7907" spans="1:4" x14ac:dyDescent="0.25">
      <c r="A7907" s="1">
        <v>41876</v>
      </c>
      <c r="B7907">
        <v>1</v>
      </c>
      <c r="C7907">
        <v>5</v>
      </c>
      <c r="D7907">
        <v>22</v>
      </c>
    </row>
    <row r="7908" spans="1:4" x14ac:dyDescent="0.25">
      <c r="A7908" s="1">
        <v>41877</v>
      </c>
      <c r="B7908">
        <v>1</v>
      </c>
      <c r="C7908">
        <v>5</v>
      </c>
      <c r="D7908">
        <v>17</v>
      </c>
    </row>
    <row r="7909" spans="1:4" x14ac:dyDescent="0.25">
      <c r="A7909" s="1">
        <v>41878</v>
      </c>
      <c r="B7909">
        <v>1</v>
      </c>
      <c r="C7909">
        <v>5</v>
      </c>
      <c r="D7909">
        <v>5</v>
      </c>
    </row>
    <row r="7910" spans="1:4" x14ac:dyDescent="0.25">
      <c r="A7910" s="1">
        <v>41879</v>
      </c>
      <c r="B7910">
        <v>1</v>
      </c>
      <c r="C7910">
        <v>5</v>
      </c>
      <c r="D7910">
        <v>24</v>
      </c>
    </row>
    <row r="7911" spans="1:4" x14ac:dyDescent="0.25">
      <c r="A7911" s="1">
        <v>41880</v>
      </c>
      <c r="B7911">
        <v>1</v>
      </c>
      <c r="C7911">
        <v>5</v>
      </c>
      <c r="D7911">
        <v>29</v>
      </c>
    </row>
    <row r="7912" spans="1:4" x14ac:dyDescent="0.25">
      <c r="A7912" s="1">
        <v>41881</v>
      </c>
      <c r="B7912">
        <v>1</v>
      </c>
      <c r="C7912">
        <v>5</v>
      </c>
      <c r="D7912">
        <v>27</v>
      </c>
    </row>
    <row r="7913" spans="1:4" x14ac:dyDescent="0.25">
      <c r="A7913" s="1">
        <v>41882</v>
      </c>
      <c r="B7913">
        <v>1</v>
      </c>
      <c r="C7913">
        <v>5</v>
      </c>
      <c r="D7913">
        <v>30</v>
      </c>
    </row>
    <row r="7914" spans="1:4" x14ac:dyDescent="0.25">
      <c r="A7914" s="1">
        <v>41883</v>
      </c>
      <c r="B7914">
        <v>1</v>
      </c>
      <c r="C7914">
        <v>5</v>
      </c>
      <c r="D7914">
        <v>8</v>
      </c>
    </row>
    <row r="7915" spans="1:4" x14ac:dyDescent="0.25">
      <c r="A7915" s="1">
        <v>41884</v>
      </c>
      <c r="B7915">
        <v>1</v>
      </c>
      <c r="C7915">
        <v>5</v>
      </c>
      <c r="D7915">
        <v>12</v>
      </c>
    </row>
    <row r="7916" spans="1:4" x14ac:dyDescent="0.25">
      <c r="A7916" s="1">
        <v>41885</v>
      </c>
      <c r="B7916">
        <v>1</v>
      </c>
      <c r="C7916">
        <v>5</v>
      </c>
      <c r="D7916">
        <v>22</v>
      </c>
    </row>
    <row r="7917" spans="1:4" x14ac:dyDescent="0.25">
      <c r="A7917" s="1">
        <v>41886</v>
      </c>
      <c r="B7917">
        <v>1</v>
      </c>
      <c r="C7917">
        <v>5</v>
      </c>
      <c r="D7917">
        <v>18</v>
      </c>
    </row>
    <row r="7918" spans="1:4" x14ac:dyDescent="0.25">
      <c r="A7918" s="1">
        <v>41887</v>
      </c>
      <c r="B7918">
        <v>1</v>
      </c>
      <c r="C7918">
        <v>5</v>
      </c>
      <c r="D7918">
        <v>21</v>
      </c>
    </row>
    <row r="7919" spans="1:4" x14ac:dyDescent="0.25">
      <c r="A7919" s="1">
        <v>41888</v>
      </c>
      <c r="B7919">
        <v>1</v>
      </c>
      <c r="C7919">
        <v>5</v>
      </c>
      <c r="D7919">
        <v>18</v>
      </c>
    </row>
    <row r="7920" spans="1:4" x14ac:dyDescent="0.25">
      <c r="A7920" s="1">
        <v>41889</v>
      </c>
      <c r="B7920">
        <v>1</v>
      </c>
      <c r="C7920">
        <v>5</v>
      </c>
      <c r="D7920">
        <v>14</v>
      </c>
    </row>
    <row r="7921" spans="1:4" x14ac:dyDescent="0.25">
      <c r="A7921" s="1">
        <v>41890</v>
      </c>
      <c r="B7921">
        <v>1</v>
      </c>
      <c r="C7921">
        <v>5</v>
      </c>
      <c r="D7921">
        <v>14</v>
      </c>
    </row>
    <row r="7922" spans="1:4" x14ac:dyDescent="0.25">
      <c r="A7922" s="1">
        <v>41891</v>
      </c>
      <c r="B7922">
        <v>1</v>
      </c>
      <c r="C7922">
        <v>5</v>
      </c>
      <c r="D7922">
        <v>13</v>
      </c>
    </row>
    <row r="7923" spans="1:4" x14ac:dyDescent="0.25">
      <c r="A7923" s="1">
        <v>41892</v>
      </c>
      <c r="B7923">
        <v>1</v>
      </c>
      <c r="C7923">
        <v>5</v>
      </c>
      <c r="D7923">
        <v>9</v>
      </c>
    </row>
    <row r="7924" spans="1:4" x14ac:dyDescent="0.25">
      <c r="A7924" s="1">
        <v>41893</v>
      </c>
      <c r="B7924">
        <v>1</v>
      </c>
      <c r="C7924">
        <v>5</v>
      </c>
      <c r="D7924">
        <v>16</v>
      </c>
    </row>
    <row r="7925" spans="1:4" x14ac:dyDescent="0.25">
      <c r="A7925" s="1">
        <v>41894</v>
      </c>
      <c r="B7925">
        <v>1</v>
      </c>
      <c r="C7925">
        <v>5</v>
      </c>
      <c r="D7925">
        <v>24</v>
      </c>
    </row>
    <row r="7926" spans="1:4" x14ac:dyDescent="0.25">
      <c r="A7926" s="1">
        <v>41895</v>
      </c>
      <c r="B7926">
        <v>1</v>
      </c>
      <c r="C7926">
        <v>5</v>
      </c>
      <c r="D7926">
        <v>19</v>
      </c>
    </row>
    <row r="7927" spans="1:4" x14ac:dyDescent="0.25">
      <c r="A7927" s="1">
        <v>41896</v>
      </c>
      <c r="B7927">
        <v>1</v>
      </c>
      <c r="C7927">
        <v>5</v>
      </c>
      <c r="D7927">
        <v>10</v>
      </c>
    </row>
    <row r="7928" spans="1:4" x14ac:dyDescent="0.25">
      <c r="A7928" s="1">
        <v>41897</v>
      </c>
      <c r="B7928">
        <v>1</v>
      </c>
      <c r="C7928">
        <v>5</v>
      </c>
      <c r="D7928">
        <v>14</v>
      </c>
    </row>
    <row r="7929" spans="1:4" x14ac:dyDescent="0.25">
      <c r="A7929" s="1">
        <v>41898</v>
      </c>
      <c r="B7929">
        <v>1</v>
      </c>
      <c r="C7929">
        <v>5</v>
      </c>
      <c r="D7929">
        <v>12</v>
      </c>
    </row>
    <row r="7930" spans="1:4" x14ac:dyDescent="0.25">
      <c r="A7930" s="1">
        <v>41899</v>
      </c>
      <c r="B7930">
        <v>1</v>
      </c>
      <c r="C7930">
        <v>5</v>
      </c>
      <c r="D7930">
        <v>19</v>
      </c>
    </row>
    <row r="7931" spans="1:4" x14ac:dyDescent="0.25">
      <c r="A7931" s="1">
        <v>41900</v>
      </c>
      <c r="B7931">
        <v>1</v>
      </c>
      <c r="C7931">
        <v>5</v>
      </c>
      <c r="D7931">
        <v>13</v>
      </c>
    </row>
    <row r="7932" spans="1:4" x14ac:dyDescent="0.25">
      <c r="A7932" s="1">
        <v>41901</v>
      </c>
      <c r="B7932">
        <v>1</v>
      </c>
      <c r="C7932">
        <v>5</v>
      </c>
      <c r="D7932">
        <v>17</v>
      </c>
    </row>
    <row r="7933" spans="1:4" x14ac:dyDescent="0.25">
      <c r="A7933" s="1">
        <v>41902</v>
      </c>
      <c r="B7933">
        <v>1</v>
      </c>
      <c r="C7933">
        <v>5</v>
      </c>
      <c r="D7933">
        <v>18</v>
      </c>
    </row>
    <row r="7934" spans="1:4" x14ac:dyDescent="0.25">
      <c r="A7934" s="1">
        <v>41903</v>
      </c>
      <c r="B7934">
        <v>1</v>
      </c>
      <c r="C7934">
        <v>5</v>
      </c>
      <c r="D7934">
        <v>21</v>
      </c>
    </row>
    <row r="7935" spans="1:4" x14ac:dyDescent="0.25">
      <c r="A7935" s="1">
        <v>41904</v>
      </c>
      <c r="B7935">
        <v>1</v>
      </c>
      <c r="C7935">
        <v>5</v>
      </c>
      <c r="D7935">
        <v>15</v>
      </c>
    </row>
    <row r="7936" spans="1:4" x14ac:dyDescent="0.25">
      <c r="A7936" s="1">
        <v>41905</v>
      </c>
      <c r="B7936">
        <v>1</v>
      </c>
      <c r="C7936">
        <v>5</v>
      </c>
      <c r="D7936">
        <v>11</v>
      </c>
    </row>
    <row r="7937" spans="1:4" x14ac:dyDescent="0.25">
      <c r="A7937" s="1">
        <v>41906</v>
      </c>
      <c r="B7937">
        <v>1</v>
      </c>
      <c r="C7937">
        <v>5</v>
      </c>
      <c r="D7937">
        <v>13</v>
      </c>
    </row>
    <row r="7938" spans="1:4" x14ac:dyDescent="0.25">
      <c r="A7938" s="1">
        <v>41907</v>
      </c>
      <c r="B7938">
        <v>1</v>
      </c>
      <c r="C7938">
        <v>5</v>
      </c>
      <c r="D7938">
        <v>23</v>
      </c>
    </row>
    <row r="7939" spans="1:4" x14ac:dyDescent="0.25">
      <c r="A7939" s="1">
        <v>41908</v>
      </c>
      <c r="B7939">
        <v>1</v>
      </c>
      <c r="C7939">
        <v>5</v>
      </c>
      <c r="D7939">
        <v>12</v>
      </c>
    </row>
    <row r="7940" spans="1:4" x14ac:dyDescent="0.25">
      <c r="A7940" s="1">
        <v>41909</v>
      </c>
      <c r="B7940">
        <v>1</v>
      </c>
      <c r="C7940">
        <v>5</v>
      </c>
      <c r="D7940">
        <v>12</v>
      </c>
    </row>
    <row r="7941" spans="1:4" x14ac:dyDescent="0.25">
      <c r="A7941" s="1">
        <v>41910</v>
      </c>
      <c r="B7941">
        <v>1</v>
      </c>
      <c r="C7941">
        <v>5</v>
      </c>
      <c r="D7941">
        <v>24</v>
      </c>
    </row>
    <row r="7942" spans="1:4" x14ac:dyDescent="0.25">
      <c r="A7942" s="1">
        <v>41911</v>
      </c>
      <c r="B7942">
        <v>1</v>
      </c>
      <c r="C7942">
        <v>5</v>
      </c>
      <c r="D7942">
        <v>16</v>
      </c>
    </row>
    <row r="7943" spans="1:4" x14ac:dyDescent="0.25">
      <c r="A7943" s="1">
        <v>41912</v>
      </c>
      <c r="B7943">
        <v>1</v>
      </c>
      <c r="C7943">
        <v>5</v>
      </c>
      <c r="D7943">
        <v>15</v>
      </c>
    </row>
    <row r="7944" spans="1:4" x14ac:dyDescent="0.25">
      <c r="A7944" s="1">
        <v>41913</v>
      </c>
      <c r="B7944">
        <v>1</v>
      </c>
      <c r="C7944">
        <v>5</v>
      </c>
      <c r="D7944">
        <v>14</v>
      </c>
    </row>
    <row r="7945" spans="1:4" x14ac:dyDescent="0.25">
      <c r="A7945" s="1">
        <v>41914</v>
      </c>
      <c r="B7945">
        <v>1</v>
      </c>
      <c r="C7945">
        <v>5</v>
      </c>
      <c r="D7945">
        <v>14</v>
      </c>
    </row>
    <row r="7946" spans="1:4" x14ac:dyDescent="0.25">
      <c r="A7946" s="1">
        <v>41915</v>
      </c>
      <c r="B7946">
        <v>1</v>
      </c>
      <c r="C7946">
        <v>5</v>
      </c>
      <c r="D7946">
        <v>18</v>
      </c>
    </row>
    <row r="7947" spans="1:4" x14ac:dyDescent="0.25">
      <c r="A7947" s="1">
        <v>41916</v>
      </c>
      <c r="B7947">
        <v>1</v>
      </c>
      <c r="C7947">
        <v>5</v>
      </c>
      <c r="D7947">
        <v>16</v>
      </c>
    </row>
    <row r="7948" spans="1:4" x14ac:dyDescent="0.25">
      <c r="A7948" s="1">
        <v>41917</v>
      </c>
      <c r="B7948">
        <v>1</v>
      </c>
      <c r="C7948">
        <v>5</v>
      </c>
      <c r="D7948">
        <v>22</v>
      </c>
    </row>
    <row r="7949" spans="1:4" x14ac:dyDescent="0.25">
      <c r="A7949" s="1">
        <v>41918</v>
      </c>
      <c r="B7949">
        <v>1</v>
      </c>
      <c r="C7949">
        <v>5</v>
      </c>
      <c r="D7949">
        <v>15</v>
      </c>
    </row>
    <row r="7950" spans="1:4" x14ac:dyDescent="0.25">
      <c r="A7950" s="1">
        <v>41919</v>
      </c>
      <c r="B7950">
        <v>1</v>
      </c>
      <c r="C7950">
        <v>5</v>
      </c>
      <c r="D7950">
        <v>16</v>
      </c>
    </row>
    <row r="7951" spans="1:4" x14ac:dyDescent="0.25">
      <c r="A7951" s="1">
        <v>41920</v>
      </c>
      <c r="B7951">
        <v>1</v>
      </c>
      <c r="C7951">
        <v>5</v>
      </c>
      <c r="D7951">
        <v>11</v>
      </c>
    </row>
    <row r="7952" spans="1:4" x14ac:dyDescent="0.25">
      <c r="A7952" s="1">
        <v>41921</v>
      </c>
      <c r="B7952">
        <v>1</v>
      </c>
      <c r="C7952">
        <v>5</v>
      </c>
      <c r="D7952">
        <v>19</v>
      </c>
    </row>
    <row r="7953" spans="1:4" x14ac:dyDescent="0.25">
      <c r="A7953" s="1">
        <v>41922</v>
      </c>
      <c r="B7953">
        <v>1</v>
      </c>
      <c r="C7953">
        <v>5</v>
      </c>
      <c r="D7953">
        <v>11</v>
      </c>
    </row>
    <row r="7954" spans="1:4" x14ac:dyDescent="0.25">
      <c r="A7954" s="1">
        <v>41923</v>
      </c>
      <c r="B7954">
        <v>1</v>
      </c>
      <c r="C7954">
        <v>5</v>
      </c>
      <c r="D7954">
        <v>17</v>
      </c>
    </row>
    <row r="7955" spans="1:4" x14ac:dyDescent="0.25">
      <c r="A7955" s="1">
        <v>41924</v>
      </c>
      <c r="B7955">
        <v>1</v>
      </c>
      <c r="C7955">
        <v>5</v>
      </c>
      <c r="D7955">
        <v>18</v>
      </c>
    </row>
    <row r="7956" spans="1:4" x14ac:dyDescent="0.25">
      <c r="A7956" s="1">
        <v>41925</v>
      </c>
      <c r="B7956">
        <v>1</v>
      </c>
      <c r="C7956">
        <v>5</v>
      </c>
      <c r="D7956">
        <v>12</v>
      </c>
    </row>
    <row r="7957" spans="1:4" x14ac:dyDescent="0.25">
      <c r="A7957" s="1">
        <v>41926</v>
      </c>
      <c r="B7957">
        <v>1</v>
      </c>
      <c r="C7957">
        <v>5</v>
      </c>
      <c r="D7957">
        <v>14</v>
      </c>
    </row>
    <row r="7958" spans="1:4" x14ac:dyDescent="0.25">
      <c r="A7958" s="1">
        <v>41927</v>
      </c>
      <c r="B7958">
        <v>1</v>
      </c>
      <c r="C7958">
        <v>5</v>
      </c>
      <c r="D7958">
        <v>14</v>
      </c>
    </row>
    <row r="7959" spans="1:4" x14ac:dyDescent="0.25">
      <c r="A7959" s="1">
        <v>41928</v>
      </c>
      <c r="B7959">
        <v>1</v>
      </c>
      <c r="C7959">
        <v>5</v>
      </c>
      <c r="D7959">
        <v>19</v>
      </c>
    </row>
    <row r="7960" spans="1:4" x14ac:dyDescent="0.25">
      <c r="A7960" s="1">
        <v>41929</v>
      </c>
      <c r="B7960">
        <v>1</v>
      </c>
      <c r="C7960">
        <v>5</v>
      </c>
      <c r="D7960">
        <v>10</v>
      </c>
    </row>
    <row r="7961" spans="1:4" x14ac:dyDescent="0.25">
      <c r="A7961" s="1">
        <v>41930</v>
      </c>
      <c r="B7961">
        <v>1</v>
      </c>
      <c r="C7961">
        <v>5</v>
      </c>
      <c r="D7961">
        <v>14</v>
      </c>
    </row>
    <row r="7962" spans="1:4" x14ac:dyDescent="0.25">
      <c r="A7962" s="1">
        <v>41931</v>
      </c>
      <c r="B7962">
        <v>1</v>
      </c>
      <c r="C7962">
        <v>5</v>
      </c>
      <c r="D7962">
        <v>20</v>
      </c>
    </row>
    <row r="7963" spans="1:4" x14ac:dyDescent="0.25">
      <c r="A7963" s="1">
        <v>41932</v>
      </c>
      <c r="B7963">
        <v>1</v>
      </c>
      <c r="C7963">
        <v>5</v>
      </c>
      <c r="D7963">
        <v>18</v>
      </c>
    </row>
    <row r="7964" spans="1:4" x14ac:dyDescent="0.25">
      <c r="A7964" s="1">
        <v>41933</v>
      </c>
      <c r="B7964">
        <v>1</v>
      </c>
      <c r="C7964">
        <v>5</v>
      </c>
      <c r="D7964">
        <v>18</v>
      </c>
    </row>
    <row r="7965" spans="1:4" x14ac:dyDescent="0.25">
      <c r="A7965" s="1">
        <v>41934</v>
      </c>
      <c r="B7965">
        <v>1</v>
      </c>
      <c r="C7965">
        <v>5</v>
      </c>
      <c r="D7965">
        <v>11</v>
      </c>
    </row>
    <row r="7966" spans="1:4" x14ac:dyDescent="0.25">
      <c r="A7966" s="1">
        <v>41935</v>
      </c>
      <c r="B7966">
        <v>1</v>
      </c>
      <c r="C7966">
        <v>5</v>
      </c>
      <c r="D7966">
        <v>8</v>
      </c>
    </row>
    <row r="7967" spans="1:4" x14ac:dyDescent="0.25">
      <c r="A7967" s="1">
        <v>41936</v>
      </c>
      <c r="B7967">
        <v>1</v>
      </c>
      <c r="C7967">
        <v>5</v>
      </c>
      <c r="D7967">
        <v>17</v>
      </c>
    </row>
    <row r="7968" spans="1:4" x14ac:dyDescent="0.25">
      <c r="A7968" s="1">
        <v>41937</v>
      </c>
      <c r="B7968">
        <v>1</v>
      </c>
      <c r="C7968">
        <v>5</v>
      </c>
      <c r="D7968">
        <v>20</v>
      </c>
    </row>
    <row r="7969" spans="1:4" x14ac:dyDescent="0.25">
      <c r="A7969" s="1">
        <v>41938</v>
      </c>
      <c r="B7969">
        <v>1</v>
      </c>
      <c r="C7969">
        <v>5</v>
      </c>
      <c r="D7969">
        <v>13</v>
      </c>
    </row>
    <row r="7970" spans="1:4" x14ac:dyDescent="0.25">
      <c r="A7970" s="1">
        <v>41939</v>
      </c>
      <c r="B7970">
        <v>1</v>
      </c>
      <c r="C7970">
        <v>5</v>
      </c>
      <c r="D7970">
        <v>7</v>
      </c>
    </row>
    <row r="7971" spans="1:4" x14ac:dyDescent="0.25">
      <c r="A7971" s="1">
        <v>41940</v>
      </c>
      <c r="B7971">
        <v>1</v>
      </c>
      <c r="C7971">
        <v>5</v>
      </c>
      <c r="D7971">
        <v>14</v>
      </c>
    </row>
    <row r="7972" spans="1:4" x14ac:dyDescent="0.25">
      <c r="A7972" s="1">
        <v>41941</v>
      </c>
      <c r="B7972">
        <v>1</v>
      </c>
      <c r="C7972">
        <v>5</v>
      </c>
      <c r="D7972">
        <v>23</v>
      </c>
    </row>
    <row r="7973" spans="1:4" x14ac:dyDescent="0.25">
      <c r="A7973" s="1">
        <v>41942</v>
      </c>
      <c r="B7973">
        <v>1</v>
      </c>
      <c r="C7973">
        <v>5</v>
      </c>
      <c r="D7973">
        <v>13</v>
      </c>
    </row>
    <row r="7974" spans="1:4" x14ac:dyDescent="0.25">
      <c r="A7974" s="1">
        <v>41943</v>
      </c>
      <c r="B7974">
        <v>1</v>
      </c>
      <c r="C7974">
        <v>5</v>
      </c>
      <c r="D7974">
        <v>9</v>
      </c>
    </row>
    <row r="7975" spans="1:4" x14ac:dyDescent="0.25">
      <c r="A7975" s="1">
        <v>41944</v>
      </c>
      <c r="B7975">
        <v>1</v>
      </c>
      <c r="C7975">
        <v>5</v>
      </c>
      <c r="D7975">
        <v>14</v>
      </c>
    </row>
    <row r="7976" spans="1:4" x14ac:dyDescent="0.25">
      <c r="A7976" s="1">
        <v>41945</v>
      </c>
      <c r="B7976">
        <v>1</v>
      </c>
      <c r="C7976">
        <v>5</v>
      </c>
      <c r="D7976">
        <v>21</v>
      </c>
    </row>
    <row r="7977" spans="1:4" x14ac:dyDescent="0.25">
      <c r="A7977" s="1">
        <v>41946</v>
      </c>
      <c r="B7977">
        <v>1</v>
      </c>
      <c r="C7977">
        <v>5</v>
      </c>
      <c r="D7977">
        <v>18</v>
      </c>
    </row>
    <row r="7978" spans="1:4" x14ac:dyDescent="0.25">
      <c r="A7978" s="1">
        <v>41947</v>
      </c>
      <c r="B7978">
        <v>1</v>
      </c>
      <c r="C7978">
        <v>5</v>
      </c>
      <c r="D7978">
        <v>11</v>
      </c>
    </row>
    <row r="7979" spans="1:4" x14ac:dyDescent="0.25">
      <c r="A7979" s="1">
        <v>41948</v>
      </c>
      <c r="B7979">
        <v>1</v>
      </c>
      <c r="C7979">
        <v>5</v>
      </c>
      <c r="D7979">
        <v>14</v>
      </c>
    </row>
    <row r="7980" spans="1:4" x14ac:dyDescent="0.25">
      <c r="A7980" s="1">
        <v>41949</v>
      </c>
      <c r="B7980">
        <v>1</v>
      </c>
      <c r="C7980">
        <v>5</v>
      </c>
      <c r="D7980">
        <v>17</v>
      </c>
    </row>
    <row r="7981" spans="1:4" x14ac:dyDescent="0.25">
      <c r="A7981" s="1">
        <v>41950</v>
      </c>
      <c r="B7981">
        <v>1</v>
      </c>
      <c r="C7981">
        <v>5</v>
      </c>
      <c r="D7981">
        <v>17</v>
      </c>
    </row>
    <row r="7982" spans="1:4" x14ac:dyDescent="0.25">
      <c r="A7982" s="1">
        <v>41951</v>
      </c>
      <c r="B7982">
        <v>1</v>
      </c>
      <c r="C7982">
        <v>5</v>
      </c>
      <c r="D7982">
        <v>16</v>
      </c>
    </row>
    <row r="7983" spans="1:4" x14ac:dyDescent="0.25">
      <c r="A7983" s="1">
        <v>41952</v>
      </c>
      <c r="B7983">
        <v>1</v>
      </c>
      <c r="C7983">
        <v>5</v>
      </c>
      <c r="D7983">
        <v>25</v>
      </c>
    </row>
    <row r="7984" spans="1:4" x14ac:dyDescent="0.25">
      <c r="A7984" s="1">
        <v>41953</v>
      </c>
      <c r="B7984">
        <v>1</v>
      </c>
      <c r="C7984">
        <v>5</v>
      </c>
      <c r="D7984">
        <v>9</v>
      </c>
    </row>
    <row r="7985" spans="1:4" x14ac:dyDescent="0.25">
      <c r="A7985" s="1">
        <v>41954</v>
      </c>
      <c r="B7985">
        <v>1</v>
      </c>
      <c r="C7985">
        <v>5</v>
      </c>
      <c r="D7985">
        <v>7</v>
      </c>
    </row>
    <row r="7986" spans="1:4" x14ac:dyDescent="0.25">
      <c r="A7986" s="1">
        <v>41955</v>
      </c>
      <c r="B7986">
        <v>1</v>
      </c>
      <c r="C7986">
        <v>5</v>
      </c>
      <c r="D7986">
        <v>24</v>
      </c>
    </row>
    <row r="7987" spans="1:4" x14ac:dyDescent="0.25">
      <c r="A7987" s="1">
        <v>41956</v>
      </c>
      <c r="B7987">
        <v>1</v>
      </c>
      <c r="C7987">
        <v>5</v>
      </c>
      <c r="D7987">
        <v>20</v>
      </c>
    </row>
    <row r="7988" spans="1:4" x14ac:dyDescent="0.25">
      <c r="A7988" s="1">
        <v>41957</v>
      </c>
      <c r="B7988">
        <v>1</v>
      </c>
      <c r="C7988">
        <v>5</v>
      </c>
      <c r="D7988">
        <v>24</v>
      </c>
    </row>
    <row r="7989" spans="1:4" x14ac:dyDescent="0.25">
      <c r="A7989" s="1">
        <v>41958</v>
      </c>
      <c r="B7989">
        <v>1</v>
      </c>
      <c r="C7989">
        <v>5</v>
      </c>
      <c r="D7989">
        <v>17</v>
      </c>
    </row>
    <row r="7990" spans="1:4" x14ac:dyDescent="0.25">
      <c r="A7990" s="1">
        <v>41959</v>
      </c>
      <c r="B7990">
        <v>1</v>
      </c>
      <c r="C7990">
        <v>5</v>
      </c>
      <c r="D7990">
        <v>25</v>
      </c>
    </row>
    <row r="7991" spans="1:4" x14ac:dyDescent="0.25">
      <c r="A7991" s="1">
        <v>41960</v>
      </c>
      <c r="B7991">
        <v>1</v>
      </c>
      <c r="C7991">
        <v>5</v>
      </c>
      <c r="D7991">
        <v>11</v>
      </c>
    </row>
    <row r="7992" spans="1:4" x14ac:dyDescent="0.25">
      <c r="A7992" s="1">
        <v>41961</v>
      </c>
      <c r="B7992">
        <v>1</v>
      </c>
      <c r="C7992">
        <v>5</v>
      </c>
      <c r="D7992">
        <v>16</v>
      </c>
    </row>
    <row r="7993" spans="1:4" x14ac:dyDescent="0.25">
      <c r="A7993" s="1">
        <v>41962</v>
      </c>
      <c r="B7993">
        <v>1</v>
      </c>
      <c r="C7993">
        <v>5</v>
      </c>
      <c r="D7993">
        <v>16</v>
      </c>
    </row>
    <row r="7994" spans="1:4" x14ac:dyDescent="0.25">
      <c r="A7994" s="1">
        <v>41963</v>
      </c>
      <c r="B7994">
        <v>1</v>
      </c>
      <c r="C7994">
        <v>5</v>
      </c>
      <c r="D7994">
        <v>13</v>
      </c>
    </row>
    <row r="7995" spans="1:4" x14ac:dyDescent="0.25">
      <c r="A7995" s="1">
        <v>41964</v>
      </c>
      <c r="B7995">
        <v>1</v>
      </c>
      <c r="C7995">
        <v>5</v>
      </c>
      <c r="D7995">
        <v>17</v>
      </c>
    </row>
    <row r="7996" spans="1:4" x14ac:dyDescent="0.25">
      <c r="A7996" s="1">
        <v>41965</v>
      </c>
      <c r="B7996">
        <v>1</v>
      </c>
      <c r="C7996">
        <v>5</v>
      </c>
      <c r="D7996">
        <v>14</v>
      </c>
    </row>
    <row r="7997" spans="1:4" x14ac:dyDescent="0.25">
      <c r="A7997" s="1">
        <v>41966</v>
      </c>
      <c r="B7997">
        <v>1</v>
      </c>
      <c r="C7997">
        <v>5</v>
      </c>
      <c r="D7997">
        <v>14</v>
      </c>
    </row>
    <row r="7998" spans="1:4" x14ac:dyDescent="0.25">
      <c r="A7998" s="1">
        <v>41967</v>
      </c>
      <c r="B7998">
        <v>1</v>
      </c>
      <c r="C7998">
        <v>5</v>
      </c>
      <c r="D7998">
        <v>15</v>
      </c>
    </row>
    <row r="7999" spans="1:4" x14ac:dyDescent="0.25">
      <c r="A7999" s="1">
        <v>41968</v>
      </c>
      <c r="B7999">
        <v>1</v>
      </c>
      <c r="C7999">
        <v>5</v>
      </c>
      <c r="D7999">
        <v>14</v>
      </c>
    </row>
    <row r="8000" spans="1:4" x14ac:dyDescent="0.25">
      <c r="A8000" s="1">
        <v>41969</v>
      </c>
      <c r="B8000">
        <v>1</v>
      </c>
      <c r="C8000">
        <v>5</v>
      </c>
      <c r="D8000">
        <v>15</v>
      </c>
    </row>
    <row r="8001" spans="1:4" x14ac:dyDescent="0.25">
      <c r="A8001" s="1">
        <v>41970</v>
      </c>
      <c r="B8001">
        <v>1</v>
      </c>
      <c r="C8001">
        <v>5</v>
      </c>
      <c r="D8001">
        <v>21</v>
      </c>
    </row>
    <row r="8002" spans="1:4" x14ac:dyDescent="0.25">
      <c r="A8002" s="1">
        <v>41971</v>
      </c>
      <c r="B8002">
        <v>1</v>
      </c>
      <c r="C8002">
        <v>5</v>
      </c>
      <c r="D8002">
        <v>18</v>
      </c>
    </row>
    <row r="8003" spans="1:4" x14ac:dyDescent="0.25">
      <c r="A8003" s="1">
        <v>41972</v>
      </c>
      <c r="B8003">
        <v>1</v>
      </c>
      <c r="C8003">
        <v>5</v>
      </c>
      <c r="D8003">
        <v>21</v>
      </c>
    </row>
    <row r="8004" spans="1:4" x14ac:dyDescent="0.25">
      <c r="A8004" s="1">
        <v>41973</v>
      </c>
      <c r="B8004">
        <v>1</v>
      </c>
      <c r="C8004">
        <v>5</v>
      </c>
      <c r="D8004">
        <v>17</v>
      </c>
    </row>
    <row r="8005" spans="1:4" x14ac:dyDescent="0.25">
      <c r="A8005" s="1">
        <v>41974</v>
      </c>
      <c r="B8005">
        <v>1</v>
      </c>
      <c r="C8005">
        <v>5</v>
      </c>
      <c r="D8005">
        <v>9</v>
      </c>
    </row>
    <row r="8006" spans="1:4" x14ac:dyDescent="0.25">
      <c r="A8006" s="1">
        <v>41975</v>
      </c>
      <c r="B8006">
        <v>1</v>
      </c>
      <c r="C8006">
        <v>5</v>
      </c>
      <c r="D8006">
        <v>18</v>
      </c>
    </row>
    <row r="8007" spans="1:4" x14ac:dyDescent="0.25">
      <c r="A8007" s="1">
        <v>41976</v>
      </c>
      <c r="B8007">
        <v>1</v>
      </c>
      <c r="C8007">
        <v>5</v>
      </c>
      <c r="D8007">
        <v>7</v>
      </c>
    </row>
    <row r="8008" spans="1:4" x14ac:dyDescent="0.25">
      <c r="A8008" s="1">
        <v>41977</v>
      </c>
      <c r="B8008">
        <v>1</v>
      </c>
      <c r="C8008">
        <v>5</v>
      </c>
      <c r="D8008">
        <v>20</v>
      </c>
    </row>
    <row r="8009" spans="1:4" x14ac:dyDescent="0.25">
      <c r="A8009" s="1">
        <v>41978</v>
      </c>
      <c r="B8009">
        <v>1</v>
      </c>
      <c r="C8009">
        <v>5</v>
      </c>
      <c r="D8009">
        <v>10</v>
      </c>
    </row>
    <row r="8010" spans="1:4" x14ac:dyDescent="0.25">
      <c r="A8010" s="1">
        <v>41979</v>
      </c>
      <c r="B8010">
        <v>1</v>
      </c>
      <c r="C8010">
        <v>5</v>
      </c>
      <c r="D8010">
        <v>9</v>
      </c>
    </row>
    <row r="8011" spans="1:4" x14ac:dyDescent="0.25">
      <c r="A8011" s="1">
        <v>41980</v>
      </c>
      <c r="B8011">
        <v>1</v>
      </c>
      <c r="C8011">
        <v>5</v>
      </c>
      <c r="D8011">
        <v>22</v>
      </c>
    </row>
    <row r="8012" spans="1:4" x14ac:dyDescent="0.25">
      <c r="A8012" s="1">
        <v>41981</v>
      </c>
      <c r="B8012">
        <v>1</v>
      </c>
      <c r="C8012">
        <v>5</v>
      </c>
      <c r="D8012">
        <v>6</v>
      </c>
    </row>
    <row r="8013" spans="1:4" x14ac:dyDescent="0.25">
      <c r="A8013" s="1">
        <v>41982</v>
      </c>
      <c r="B8013">
        <v>1</v>
      </c>
      <c r="C8013">
        <v>5</v>
      </c>
      <c r="D8013">
        <v>12</v>
      </c>
    </row>
    <row r="8014" spans="1:4" x14ac:dyDescent="0.25">
      <c r="A8014" s="1">
        <v>41983</v>
      </c>
      <c r="B8014">
        <v>1</v>
      </c>
      <c r="C8014">
        <v>5</v>
      </c>
      <c r="D8014">
        <v>9</v>
      </c>
    </row>
    <row r="8015" spans="1:4" x14ac:dyDescent="0.25">
      <c r="A8015" s="1">
        <v>41984</v>
      </c>
      <c r="B8015">
        <v>1</v>
      </c>
      <c r="C8015">
        <v>5</v>
      </c>
      <c r="D8015">
        <v>11</v>
      </c>
    </row>
    <row r="8016" spans="1:4" x14ac:dyDescent="0.25">
      <c r="A8016" s="1">
        <v>41985</v>
      </c>
      <c r="B8016">
        <v>1</v>
      </c>
      <c r="C8016">
        <v>5</v>
      </c>
      <c r="D8016">
        <v>7</v>
      </c>
    </row>
    <row r="8017" spans="1:4" x14ac:dyDescent="0.25">
      <c r="A8017" s="1">
        <v>41986</v>
      </c>
      <c r="B8017">
        <v>1</v>
      </c>
      <c r="C8017">
        <v>5</v>
      </c>
      <c r="D8017">
        <v>14</v>
      </c>
    </row>
    <row r="8018" spans="1:4" x14ac:dyDescent="0.25">
      <c r="A8018" s="1">
        <v>41987</v>
      </c>
      <c r="B8018">
        <v>1</v>
      </c>
      <c r="C8018">
        <v>5</v>
      </c>
      <c r="D8018">
        <v>10</v>
      </c>
    </row>
    <row r="8019" spans="1:4" x14ac:dyDescent="0.25">
      <c r="A8019" s="1">
        <v>41988</v>
      </c>
      <c r="B8019">
        <v>1</v>
      </c>
      <c r="C8019">
        <v>5</v>
      </c>
      <c r="D8019">
        <v>4</v>
      </c>
    </row>
    <row r="8020" spans="1:4" x14ac:dyDescent="0.25">
      <c r="A8020" s="1">
        <v>41989</v>
      </c>
      <c r="B8020">
        <v>1</v>
      </c>
      <c r="C8020">
        <v>5</v>
      </c>
      <c r="D8020">
        <v>8</v>
      </c>
    </row>
    <row r="8021" spans="1:4" x14ac:dyDescent="0.25">
      <c r="A8021" s="1">
        <v>41990</v>
      </c>
      <c r="B8021">
        <v>1</v>
      </c>
      <c r="C8021">
        <v>5</v>
      </c>
      <c r="D8021">
        <v>14</v>
      </c>
    </row>
    <row r="8022" spans="1:4" x14ac:dyDescent="0.25">
      <c r="A8022" s="1">
        <v>41991</v>
      </c>
      <c r="B8022">
        <v>1</v>
      </c>
      <c r="C8022">
        <v>5</v>
      </c>
      <c r="D8022">
        <v>7</v>
      </c>
    </row>
    <row r="8023" spans="1:4" x14ac:dyDescent="0.25">
      <c r="A8023" s="1">
        <v>41992</v>
      </c>
      <c r="B8023">
        <v>1</v>
      </c>
      <c r="C8023">
        <v>5</v>
      </c>
      <c r="D8023">
        <v>11</v>
      </c>
    </row>
    <row r="8024" spans="1:4" x14ac:dyDescent="0.25">
      <c r="A8024" s="1">
        <v>41993</v>
      </c>
      <c r="B8024">
        <v>1</v>
      </c>
      <c r="C8024">
        <v>5</v>
      </c>
      <c r="D8024">
        <v>14</v>
      </c>
    </row>
    <row r="8025" spans="1:4" x14ac:dyDescent="0.25">
      <c r="A8025" s="1">
        <v>41994</v>
      </c>
      <c r="B8025">
        <v>1</v>
      </c>
      <c r="C8025">
        <v>5</v>
      </c>
      <c r="D8025">
        <v>12</v>
      </c>
    </row>
    <row r="8026" spans="1:4" x14ac:dyDescent="0.25">
      <c r="A8026" s="1">
        <v>41995</v>
      </c>
      <c r="B8026">
        <v>1</v>
      </c>
      <c r="C8026">
        <v>5</v>
      </c>
      <c r="D8026">
        <v>9</v>
      </c>
    </row>
    <row r="8027" spans="1:4" x14ac:dyDescent="0.25">
      <c r="A8027" s="1">
        <v>41996</v>
      </c>
      <c r="B8027">
        <v>1</v>
      </c>
      <c r="C8027">
        <v>5</v>
      </c>
      <c r="D8027">
        <v>12</v>
      </c>
    </row>
    <row r="8028" spans="1:4" x14ac:dyDescent="0.25">
      <c r="A8028" s="1">
        <v>41997</v>
      </c>
      <c r="B8028">
        <v>1</v>
      </c>
      <c r="C8028">
        <v>5</v>
      </c>
      <c r="D8028">
        <v>13</v>
      </c>
    </row>
    <row r="8029" spans="1:4" x14ac:dyDescent="0.25">
      <c r="A8029" s="1">
        <v>41998</v>
      </c>
      <c r="B8029">
        <v>1</v>
      </c>
      <c r="C8029">
        <v>5</v>
      </c>
      <c r="D8029">
        <v>13</v>
      </c>
    </row>
    <row r="8030" spans="1:4" x14ac:dyDescent="0.25">
      <c r="A8030" s="1">
        <v>41999</v>
      </c>
      <c r="B8030">
        <v>1</v>
      </c>
      <c r="C8030">
        <v>5</v>
      </c>
      <c r="D8030">
        <v>9</v>
      </c>
    </row>
    <row r="8031" spans="1:4" x14ac:dyDescent="0.25">
      <c r="A8031" s="1">
        <v>42000</v>
      </c>
      <c r="B8031">
        <v>1</v>
      </c>
      <c r="C8031">
        <v>5</v>
      </c>
      <c r="D8031">
        <v>16</v>
      </c>
    </row>
    <row r="8032" spans="1:4" x14ac:dyDescent="0.25">
      <c r="A8032" s="1">
        <v>42001</v>
      </c>
      <c r="B8032">
        <v>1</v>
      </c>
      <c r="C8032">
        <v>5</v>
      </c>
      <c r="D8032">
        <v>15</v>
      </c>
    </row>
    <row r="8033" spans="1:4" x14ac:dyDescent="0.25">
      <c r="A8033" s="1">
        <v>42002</v>
      </c>
      <c r="B8033">
        <v>1</v>
      </c>
      <c r="C8033">
        <v>5</v>
      </c>
      <c r="D8033">
        <v>6</v>
      </c>
    </row>
    <row r="8034" spans="1:4" x14ac:dyDescent="0.25">
      <c r="A8034" s="1">
        <v>42003</v>
      </c>
      <c r="B8034">
        <v>1</v>
      </c>
      <c r="C8034">
        <v>5</v>
      </c>
      <c r="D8034">
        <v>6</v>
      </c>
    </row>
    <row r="8035" spans="1:4" x14ac:dyDescent="0.25">
      <c r="A8035" s="1">
        <v>42004</v>
      </c>
      <c r="B8035">
        <v>1</v>
      </c>
      <c r="C8035">
        <v>5</v>
      </c>
      <c r="D8035">
        <v>10</v>
      </c>
    </row>
    <row r="8036" spans="1:4" x14ac:dyDescent="0.25">
      <c r="A8036" s="1">
        <v>42005</v>
      </c>
      <c r="B8036">
        <v>1</v>
      </c>
      <c r="C8036">
        <v>5</v>
      </c>
      <c r="D8036">
        <v>14</v>
      </c>
    </row>
    <row r="8037" spans="1:4" x14ac:dyDescent="0.25">
      <c r="A8037" s="1">
        <v>42006</v>
      </c>
      <c r="B8037">
        <v>1</v>
      </c>
      <c r="C8037">
        <v>5</v>
      </c>
      <c r="D8037">
        <v>10</v>
      </c>
    </row>
    <row r="8038" spans="1:4" x14ac:dyDescent="0.25">
      <c r="A8038" s="1">
        <v>42007</v>
      </c>
      <c r="B8038">
        <v>1</v>
      </c>
      <c r="C8038">
        <v>5</v>
      </c>
      <c r="D8038">
        <v>9</v>
      </c>
    </row>
    <row r="8039" spans="1:4" x14ac:dyDescent="0.25">
      <c r="A8039" s="1">
        <v>42008</v>
      </c>
      <c r="B8039">
        <v>1</v>
      </c>
      <c r="C8039">
        <v>5</v>
      </c>
      <c r="D8039">
        <v>15</v>
      </c>
    </row>
    <row r="8040" spans="1:4" x14ac:dyDescent="0.25">
      <c r="A8040" s="1">
        <v>42009</v>
      </c>
      <c r="B8040">
        <v>1</v>
      </c>
      <c r="C8040">
        <v>5</v>
      </c>
      <c r="D8040">
        <v>12</v>
      </c>
    </row>
    <row r="8041" spans="1:4" x14ac:dyDescent="0.25">
      <c r="A8041" s="1">
        <v>42010</v>
      </c>
      <c r="B8041">
        <v>1</v>
      </c>
      <c r="C8041">
        <v>5</v>
      </c>
      <c r="D8041">
        <v>14</v>
      </c>
    </row>
    <row r="8042" spans="1:4" x14ac:dyDescent="0.25">
      <c r="A8042" s="1">
        <v>42011</v>
      </c>
      <c r="B8042">
        <v>1</v>
      </c>
      <c r="C8042">
        <v>5</v>
      </c>
      <c r="D8042">
        <v>10</v>
      </c>
    </row>
    <row r="8043" spans="1:4" x14ac:dyDescent="0.25">
      <c r="A8043" s="1">
        <v>42012</v>
      </c>
      <c r="B8043">
        <v>1</v>
      </c>
      <c r="C8043">
        <v>5</v>
      </c>
      <c r="D8043">
        <v>17</v>
      </c>
    </row>
    <row r="8044" spans="1:4" x14ac:dyDescent="0.25">
      <c r="A8044" s="1">
        <v>42013</v>
      </c>
      <c r="B8044">
        <v>1</v>
      </c>
      <c r="C8044">
        <v>5</v>
      </c>
      <c r="D8044">
        <v>9</v>
      </c>
    </row>
    <row r="8045" spans="1:4" x14ac:dyDescent="0.25">
      <c r="A8045" s="1">
        <v>42014</v>
      </c>
      <c r="B8045">
        <v>1</v>
      </c>
      <c r="C8045">
        <v>5</v>
      </c>
      <c r="D8045">
        <v>6</v>
      </c>
    </row>
    <row r="8046" spans="1:4" x14ac:dyDescent="0.25">
      <c r="A8046" s="1">
        <v>42015</v>
      </c>
      <c r="B8046">
        <v>1</v>
      </c>
      <c r="C8046">
        <v>5</v>
      </c>
      <c r="D8046">
        <v>19</v>
      </c>
    </row>
    <row r="8047" spans="1:4" x14ac:dyDescent="0.25">
      <c r="A8047" s="1">
        <v>42016</v>
      </c>
      <c r="B8047">
        <v>1</v>
      </c>
      <c r="C8047">
        <v>5</v>
      </c>
      <c r="D8047">
        <v>7</v>
      </c>
    </row>
    <row r="8048" spans="1:4" x14ac:dyDescent="0.25">
      <c r="A8048" s="1">
        <v>42017</v>
      </c>
      <c r="B8048">
        <v>1</v>
      </c>
      <c r="C8048">
        <v>5</v>
      </c>
      <c r="D8048">
        <v>10</v>
      </c>
    </row>
    <row r="8049" spans="1:4" x14ac:dyDescent="0.25">
      <c r="A8049" s="1">
        <v>42018</v>
      </c>
      <c r="B8049">
        <v>1</v>
      </c>
      <c r="C8049">
        <v>5</v>
      </c>
      <c r="D8049">
        <v>12</v>
      </c>
    </row>
    <row r="8050" spans="1:4" x14ac:dyDescent="0.25">
      <c r="A8050" s="1">
        <v>42019</v>
      </c>
      <c r="B8050">
        <v>1</v>
      </c>
      <c r="C8050">
        <v>5</v>
      </c>
      <c r="D8050">
        <v>8</v>
      </c>
    </row>
    <row r="8051" spans="1:4" x14ac:dyDescent="0.25">
      <c r="A8051" s="1">
        <v>42020</v>
      </c>
      <c r="B8051">
        <v>1</v>
      </c>
      <c r="C8051">
        <v>5</v>
      </c>
      <c r="D8051">
        <v>10</v>
      </c>
    </row>
    <row r="8052" spans="1:4" x14ac:dyDescent="0.25">
      <c r="A8052" s="1">
        <v>42021</v>
      </c>
      <c r="B8052">
        <v>1</v>
      </c>
      <c r="C8052">
        <v>5</v>
      </c>
      <c r="D8052">
        <v>12</v>
      </c>
    </row>
    <row r="8053" spans="1:4" x14ac:dyDescent="0.25">
      <c r="A8053" s="1">
        <v>42022</v>
      </c>
      <c r="B8053">
        <v>1</v>
      </c>
      <c r="C8053">
        <v>5</v>
      </c>
      <c r="D8053">
        <v>12</v>
      </c>
    </row>
    <row r="8054" spans="1:4" x14ac:dyDescent="0.25">
      <c r="A8054" s="1">
        <v>42023</v>
      </c>
      <c r="B8054">
        <v>1</v>
      </c>
      <c r="C8054">
        <v>5</v>
      </c>
      <c r="D8054">
        <v>9</v>
      </c>
    </row>
    <row r="8055" spans="1:4" x14ac:dyDescent="0.25">
      <c r="A8055" s="1">
        <v>42024</v>
      </c>
      <c r="B8055">
        <v>1</v>
      </c>
      <c r="C8055">
        <v>5</v>
      </c>
      <c r="D8055">
        <v>10</v>
      </c>
    </row>
    <row r="8056" spans="1:4" x14ac:dyDescent="0.25">
      <c r="A8056" s="1">
        <v>42025</v>
      </c>
      <c r="B8056">
        <v>1</v>
      </c>
      <c r="C8056">
        <v>5</v>
      </c>
      <c r="D8056">
        <v>9</v>
      </c>
    </row>
    <row r="8057" spans="1:4" x14ac:dyDescent="0.25">
      <c r="A8057" s="1">
        <v>42026</v>
      </c>
      <c r="B8057">
        <v>1</v>
      </c>
      <c r="C8057">
        <v>5</v>
      </c>
      <c r="D8057">
        <v>16</v>
      </c>
    </row>
    <row r="8058" spans="1:4" x14ac:dyDescent="0.25">
      <c r="A8058" s="1">
        <v>42027</v>
      </c>
      <c r="B8058">
        <v>1</v>
      </c>
      <c r="C8058">
        <v>5</v>
      </c>
      <c r="D8058">
        <v>13</v>
      </c>
    </row>
    <row r="8059" spans="1:4" x14ac:dyDescent="0.25">
      <c r="A8059" s="1">
        <v>42028</v>
      </c>
      <c r="B8059">
        <v>1</v>
      </c>
      <c r="C8059">
        <v>5</v>
      </c>
      <c r="D8059">
        <v>13</v>
      </c>
    </row>
    <row r="8060" spans="1:4" x14ac:dyDescent="0.25">
      <c r="A8060" s="1">
        <v>42029</v>
      </c>
      <c r="B8060">
        <v>1</v>
      </c>
      <c r="C8060">
        <v>5</v>
      </c>
      <c r="D8060">
        <v>9</v>
      </c>
    </row>
    <row r="8061" spans="1:4" x14ac:dyDescent="0.25">
      <c r="A8061" s="1">
        <v>42030</v>
      </c>
      <c r="B8061">
        <v>1</v>
      </c>
      <c r="C8061">
        <v>5</v>
      </c>
      <c r="D8061">
        <v>7</v>
      </c>
    </row>
    <row r="8062" spans="1:4" x14ac:dyDescent="0.25">
      <c r="A8062" s="1">
        <v>42031</v>
      </c>
      <c r="B8062">
        <v>1</v>
      </c>
      <c r="C8062">
        <v>5</v>
      </c>
      <c r="D8062">
        <v>16</v>
      </c>
    </row>
    <row r="8063" spans="1:4" x14ac:dyDescent="0.25">
      <c r="A8063" s="1">
        <v>42032</v>
      </c>
      <c r="B8063">
        <v>1</v>
      </c>
      <c r="C8063">
        <v>5</v>
      </c>
      <c r="D8063">
        <v>15</v>
      </c>
    </row>
    <row r="8064" spans="1:4" x14ac:dyDescent="0.25">
      <c r="A8064" s="1">
        <v>42033</v>
      </c>
      <c r="B8064">
        <v>1</v>
      </c>
      <c r="C8064">
        <v>5</v>
      </c>
      <c r="D8064">
        <v>13</v>
      </c>
    </row>
    <row r="8065" spans="1:4" x14ac:dyDescent="0.25">
      <c r="A8065" s="1">
        <v>42034</v>
      </c>
      <c r="B8065">
        <v>1</v>
      </c>
      <c r="C8065">
        <v>5</v>
      </c>
      <c r="D8065">
        <v>12</v>
      </c>
    </row>
    <row r="8066" spans="1:4" x14ac:dyDescent="0.25">
      <c r="A8066" s="1">
        <v>42035</v>
      </c>
      <c r="B8066">
        <v>1</v>
      </c>
      <c r="C8066">
        <v>5</v>
      </c>
      <c r="D8066">
        <v>19</v>
      </c>
    </row>
    <row r="8067" spans="1:4" x14ac:dyDescent="0.25">
      <c r="A8067" s="1">
        <v>42036</v>
      </c>
      <c r="B8067">
        <v>1</v>
      </c>
      <c r="C8067">
        <v>5</v>
      </c>
      <c r="D8067">
        <v>13</v>
      </c>
    </row>
    <row r="8068" spans="1:4" x14ac:dyDescent="0.25">
      <c r="A8068" s="1">
        <v>42037</v>
      </c>
      <c r="B8068">
        <v>1</v>
      </c>
      <c r="C8068">
        <v>5</v>
      </c>
      <c r="D8068">
        <v>13</v>
      </c>
    </row>
    <row r="8069" spans="1:4" x14ac:dyDescent="0.25">
      <c r="A8069" s="1">
        <v>42038</v>
      </c>
      <c r="B8069">
        <v>1</v>
      </c>
      <c r="C8069">
        <v>5</v>
      </c>
      <c r="D8069">
        <v>9</v>
      </c>
    </row>
    <row r="8070" spans="1:4" x14ac:dyDescent="0.25">
      <c r="A8070" s="1">
        <v>42039</v>
      </c>
      <c r="B8070">
        <v>1</v>
      </c>
      <c r="C8070">
        <v>5</v>
      </c>
      <c r="D8070">
        <v>8</v>
      </c>
    </row>
    <row r="8071" spans="1:4" x14ac:dyDescent="0.25">
      <c r="A8071" s="1">
        <v>42040</v>
      </c>
      <c r="B8071">
        <v>1</v>
      </c>
      <c r="C8071">
        <v>5</v>
      </c>
      <c r="D8071">
        <v>7</v>
      </c>
    </row>
    <row r="8072" spans="1:4" x14ac:dyDescent="0.25">
      <c r="A8072" s="1">
        <v>42041</v>
      </c>
      <c r="B8072">
        <v>1</v>
      </c>
      <c r="C8072">
        <v>5</v>
      </c>
      <c r="D8072">
        <v>16</v>
      </c>
    </row>
    <row r="8073" spans="1:4" x14ac:dyDescent="0.25">
      <c r="A8073" s="1">
        <v>42042</v>
      </c>
      <c r="B8073">
        <v>1</v>
      </c>
      <c r="C8073">
        <v>5</v>
      </c>
      <c r="D8073">
        <v>17</v>
      </c>
    </row>
    <row r="8074" spans="1:4" x14ac:dyDescent="0.25">
      <c r="A8074" s="1">
        <v>42043</v>
      </c>
      <c r="B8074">
        <v>1</v>
      </c>
      <c r="C8074">
        <v>5</v>
      </c>
      <c r="D8074">
        <v>8</v>
      </c>
    </row>
    <row r="8075" spans="1:4" x14ac:dyDescent="0.25">
      <c r="A8075" s="1">
        <v>42044</v>
      </c>
      <c r="B8075">
        <v>1</v>
      </c>
      <c r="C8075">
        <v>5</v>
      </c>
      <c r="D8075">
        <v>7</v>
      </c>
    </row>
    <row r="8076" spans="1:4" x14ac:dyDescent="0.25">
      <c r="A8076" s="1">
        <v>42045</v>
      </c>
      <c r="B8076">
        <v>1</v>
      </c>
      <c r="C8076">
        <v>5</v>
      </c>
      <c r="D8076">
        <v>17</v>
      </c>
    </row>
    <row r="8077" spans="1:4" x14ac:dyDescent="0.25">
      <c r="A8077" s="1">
        <v>42046</v>
      </c>
      <c r="B8077">
        <v>1</v>
      </c>
      <c r="C8077">
        <v>5</v>
      </c>
      <c r="D8077">
        <v>10</v>
      </c>
    </row>
    <row r="8078" spans="1:4" x14ac:dyDescent="0.25">
      <c r="A8078" s="1">
        <v>42047</v>
      </c>
      <c r="B8078">
        <v>1</v>
      </c>
      <c r="C8078">
        <v>5</v>
      </c>
      <c r="D8078">
        <v>10</v>
      </c>
    </row>
    <row r="8079" spans="1:4" x14ac:dyDescent="0.25">
      <c r="A8079" s="1">
        <v>42048</v>
      </c>
      <c r="B8079">
        <v>1</v>
      </c>
      <c r="C8079">
        <v>5</v>
      </c>
      <c r="D8079">
        <v>17</v>
      </c>
    </row>
    <row r="8080" spans="1:4" x14ac:dyDescent="0.25">
      <c r="A8080" s="1">
        <v>42049</v>
      </c>
      <c r="B8080">
        <v>1</v>
      </c>
      <c r="C8080">
        <v>5</v>
      </c>
      <c r="D8080">
        <v>9</v>
      </c>
    </row>
    <row r="8081" spans="1:4" x14ac:dyDescent="0.25">
      <c r="A8081" s="1">
        <v>42050</v>
      </c>
      <c r="B8081">
        <v>1</v>
      </c>
      <c r="C8081">
        <v>5</v>
      </c>
      <c r="D8081">
        <v>13</v>
      </c>
    </row>
    <row r="8082" spans="1:4" x14ac:dyDescent="0.25">
      <c r="A8082" s="1">
        <v>42051</v>
      </c>
      <c r="B8082">
        <v>1</v>
      </c>
      <c r="C8082">
        <v>5</v>
      </c>
      <c r="D8082">
        <v>13</v>
      </c>
    </row>
    <row r="8083" spans="1:4" x14ac:dyDescent="0.25">
      <c r="A8083" s="1">
        <v>42052</v>
      </c>
      <c r="B8083">
        <v>1</v>
      </c>
      <c r="C8083">
        <v>5</v>
      </c>
      <c r="D8083">
        <v>12</v>
      </c>
    </row>
    <row r="8084" spans="1:4" x14ac:dyDescent="0.25">
      <c r="A8084" s="1">
        <v>42053</v>
      </c>
      <c r="B8084">
        <v>1</v>
      </c>
      <c r="C8084">
        <v>5</v>
      </c>
      <c r="D8084">
        <v>12</v>
      </c>
    </row>
    <row r="8085" spans="1:4" x14ac:dyDescent="0.25">
      <c r="A8085" s="1">
        <v>42054</v>
      </c>
      <c r="B8085">
        <v>1</v>
      </c>
      <c r="C8085">
        <v>5</v>
      </c>
      <c r="D8085">
        <v>19</v>
      </c>
    </row>
    <row r="8086" spans="1:4" x14ac:dyDescent="0.25">
      <c r="A8086" s="1">
        <v>42055</v>
      </c>
      <c r="B8086">
        <v>1</v>
      </c>
      <c r="C8086">
        <v>5</v>
      </c>
      <c r="D8086">
        <v>12</v>
      </c>
    </row>
    <row r="8087" spans="1:4" x14ac:dyDescent="0.25">
      <c r="A8087" s="1">
        <v>42056</v>
      </c>
      <c r="B8087">
        <v>1</v>
      </c>
      <c r="C8087">
        <v>5</v>
      </c>
      <c r="D8087">
        <v>4</v>
      </c>
    </row>
    <row r="8088" spans="1:4" x14ac:dyDescent="0.25">
      <c r="A8088" s="1">
        <v>42057</v>
      </c>
      <c r="B8088">
        <v>1</v>
      </c>
      <c r="C8088">
        <v>5</v>
      </c>
      <c r="D8088">
        <v>19</v>
      </c>
    </row>
    <row r="8089" spans="1:4" x14ac:dyDescent="0.25">
      <c r="A8089" s="1">
        <v>42058</v>
      </c>
      <c r="B8089">
        <v>1</v>
      </c>
      <c r="C8089">
        <v>5</v>
      </c>
      <c r="D8089">
        <v>9</v>
      </c>
    </row>
    <row r="8090" spans="1:4" x14ac:dyDescent="0.25">
      <c r="A8090" s="1">
        <v>42059</v>
      </c>
      <c r="B8090">
        <v>1</v>
      </c>
      <c r="C8090">
        <v>5</v>
      </c>
      <c r="D8090">
        <v>13</v>
      </c>
    </row>
    <row r="8091" spans="1:4" x14ac:dyDescent="0.25">
      <c r="A8091" s="1">
        <v>42060</v>
      </c>
      <c r="B8091">
        <v>1</v>
      </c>
      <c r="C8091">
        <v>5</v>
      </c>
      <c r="D8091">
        <v>4</v>
      </c>
    </row>
    <row r="8092" spans="1:4" x14ac:dyDescent="0.25">
      <c r="A8092" s="1">
        <v>42061</v>
      </c>
      <c r="B8092">
        <v>1</v>
      </c>
      <c r="C8092">
        <v>5</v>
      </c>
      <c r="D8092">
        <v>14</v>
      </c>
    </row>
    <row r="8093" spans="1:4" x14ac:dyDescent="0.25">
      <c r="A8093" s="1">
        <v>42062</v>
      </c>
      <c r="B8093">
        <v>1</v>
      </c>
      <c r="C8093">
        <v>5</v>
      </c>
      <c r="D8093">
        <v>11</v>
      </c>
    </row>
    <row r="8094" spans="1:4" x14ac:dyDescent="0.25">
      <c r="A8094" s="1">
        <v>42063</v>
      </c>
      <c r="B8094">
        <v>1</v>
      </c>
      <c r="C8094">
        <v>5</v>
      </c>
      <c r="D8094">
        <v>19</v>
      </c>
    </row>
    <row r="8095" spans="1:4" x14ac:dyDescent="0.25">
      <c r="A8095" s="1">
        <v>42064</v>
      </c>
      <c r="B8095">
        <v>1</v>
      </c>
      <c r="C8095">
        <v>5</v>
      </c>
      <c r="D8095">
        <v>21</v>
      </c>
    </row>
    <row r="8096" spans="1:4" x14ac:dyDescent="0.25">
      <c r="A8096" s="1">
        <v>42065</v>
      </c>
      <c r="B8096">
        <v>1</v>
      </c>
      <c r="C8096">
        <v>5</v>
      </c>
      <c r="D8096">
        <v>17</v>
      </c>
    </row>
    <row r="8097" spans="1:4" x14ac:dyDescent="0.25">
      <c r="A8097" s="1">
        <v>42066</v>
      </c>
      <c r="B8097">
        <v>1</v>
      </c>
      <c r="C8097">
        <v>5</v>
      </c>
      <c r="D8097">
        <v>21</v>
      </c>
    </row>
    <row r="8098" spans="1:4" x14ac:dyDescent="0.25">
      <c r="A8098" s="1">
        <v>42067</v>
      </c>
      <c r="B8098">
        <v>1</v>
      </c>
      <c r="C8098">
        <v>5</v>
      </c>
      <c r="D8098">
        <v>11</v>
      </c>
    </row>
    <row r="8099" spans="1:4" x14ac:dyDescent="0.25">
      <c r="A8099" s="1">
        <v>42068</v>
      </c>
      <c r="B8099">
        <v>1</v>
      </c>
      <c r="C8099">
        <v>5</v>
      </c>
      <c r="D8099">
        <v>11</v>
      </c>
    </row>
    <row r="8100" spans="1:4" x14ac:dyDescent="0.25">
      <c r="A8100" s="1">
        <v>42069</v>
      </c>
      <c r="B8100">
        <v>1</v>
      </c>
      <c r="C8100">
        <v>5</v>
      </c>
      <c r="D8100">
        <v>10</v>
      </c>
    </row>
    <row r="8101" spans="1:4" x14ac:dyDescent="0.25">
      <c r="A8101" s="1">
        <v>42070</v>
      </c>
      <c r="B8101">
        <v>1</v>
      </c>
      <c r="C8101">
        <v>5</v>
      </c>
      <c r="D8101">
        <v>21</v>
      </c>
    </row>
    <row r="8102" spans="1:4" x14ac:dyDescent="0.25">
      <c r="A8102" s="1">
        <v>42071</v>
      </c>
      <c r="B8102">
        <v>1</v>
      </c>
      <c r="C8102">
        <v>5</v>
      </c>
      <c r="D8102">
        <v>13</v>
      </c>
    </row>
    <row r="8103" spans="1:4" x14ac:dyDescent="0.25">
      <c r="A8103" s="1">
        <v>42072</v>
      </c>
      <c r="B8103">
        <v>1</v>
      </c>
      <c r="C8103">
        <v>5</v>
      </c>
      <c r="D8103">
        <v>10</v>
      </c>
    </row>
    <row r="8104" spans="1:4" x14ac:dyDescent="0.25">
      <c r="A8104" s="1">
        <v>42073</v>
      </c>
      <c r="B8104">
        <v>1</v>
      </c>
      <c r="C8104">
        <v>5</v>
      </c>
      <c r="D8104">
        <v>17</v>
      </c>
    </row>
    <row r="8105" spans="1:4" x14ac:dyDescent="0.25">
      <c r="A8105" s="1">
        <v>42074</v>
      </c>
      <c r="B8105">
        <v>1</v>
      </c>
      <c r="C8105">
        <v>5</v>
      </c>
      <c r="D8105">
        <v>10</v>
      </c>
    </row>
    <row r="8106" spans="1:4" x14ac:dyDescent="0.25">
      <c r="A8106" s="1">
        <v>42075</v>
      </c>
      <c r="B8106">
        <v>1</v>
      </c>
      <c r="C8106">
        <v>5</v>
      </c>
      <c r="D8106">
        <v>17</v>
      </c>
    </row>
    <row r="8107" spans="1:4" x14ac:dyDescent="0.25">
      <c r="A8107" s="1">
        <v>42076</v>
      </c>
      <c r="B8107">
        <v>1</v>
      </c>
      <c r="C8107">
        <v>5</v>
      </c>
      <c r="D8107">
        <v>16</v>
      </c>
    </row>
    <row r="8108" spans="1:4" x14ac:dyDescent="0.25">
      <c r="A8108" s="1">
        <v>42077</v>
      </c>
      <c r="B8108">
        <v>1</v>
      </c>
      <c r="C8108">
        <v>5</v>
      </c>
      <c r="D8108">
        <v>16</v>
      </c>
    </row>
    <row r="8109" spans="1:4" x14ac:dyDescent="0.25">
      <c r="A8109" s="1">
        <v>42078</v>
      </c>
      <c r="B8109">
        <v>1</v>
      </c>
      <c r="C8109">
        <v>5</v>
      </c>
      <c r="D8109">
        <v>12</v>
      </c>
    </row>
    <row r="8110" spans="1:4" x14ac:dyDescent="0.25">
      <c r="A8110" s="1">
        <v>42079</v>
      </c>
      <c r="B8110">
        <v>1</v>
      </c>
      <c r="C8110">
        <v>5</v>
      </c>
      <c r="D8110">
        <v>19</v>
      </c>
    </row>
    <row r="8111" spans="1:4" x14ac:dyDescent="0.25">
      <c r="A8111" s="1">
        <v>42080</v>
      </c>
      <c r="B8111">
        <v>1</v>
      </c>
      <c r="C8111">
        <v>5</v>
      </c>
      <c r="D8111">
        <v>17</v>
      </c>
    </row>
    <row r="8112" spans="1:4" x14ac:dyDescent="0.25">
      <c r="A8112" s="1">
        <v>42081</v>
      </c>
      <c r="B8112">
        <v>1</v>
      </c>
      <c r="C8112">
        <v>5</v>
      </c>
      <c r="D8112">
        <v>16</v>
      </c>
    </row>
    <row r="8113" spans="1:4" x14ac:dyDescent="0.25">
      <c r="A8113" s="1">
        <v>42082</v>
      </c>
      <c r="B8113">
        <v>1</v>
      </c>
      <c r="C8113">
        <v>5</v>
      </c>
      <c r="D8113">
        <v>13</v>
      </c>
    </row>
    <row r="8114" spans="1:4" x14ac:dyDescent="0.25">
      <c r="A8114" s="1">
        <v>42083</v>
      </c>
      <c r="B8114">
        <v>1</v>
      </c>
      <c r="C8114">
        <v>5</v>
      </c>
      <c r="D8114">
        <v>14</v>
      </c>
    </row>
    <row r="8115" spans="1:4" x14ac:dyDescent="0.25">
      <c r="A8115" s="1">
        <v>42084</v>
      </c>
      <c r="B8115">
        <v>1</v>
      </c>
      <c r="C8115">
        <v>5</v>
      </c>
      <c r="D8115">
        <v>20</v>
      </c>
    </row>
    <row r="8116" spans="1:4" x14ac:dyDescent="0.25">
      <c r="A8116" s="1">
        <v>42085</v>
      </c>
      <c r="B8116">
        <v>1</v>
      </c>
      <c r="C8116">
        <v>5</v>
      </c>
      <c r="D8116">
        <v>20</v>
      </c>
    </row>
    <row r="8117" spans="1:4" x14ac:dyDescent="0.25">
      <c r="A8117" s="1">
        <v>42086</v>
      </c>
      <c r="B8117">
        <v>1</v>
      </c>
      <c r="C8117">
        <v>5</v>
      </c>
      <c r="D8117">
        <v>14</v>
      </c>
    </row>
    <row r="8118" spans="1:4" x14ac:dyDescent="0.25">
      <c r="A8118" s="1">
        <v>42087</v>
      </c>
      <c r="B8118">
        <v>1</v>
      </c>
      <c r="C8118">
        <v>5</v>
      </c>
      <c r="D8118">
        <v>13</v>
      </c>
    </row>
    <row r="8119" spans="1:4" x14ac:dyDescent="0.25">
      <c r="A8119" s="1">
        <v>42088</v>
      </c>
      <c r="B8119">
        <v>1</v>
      </c>
      <c r="C8119">
        <v>5</v>
      </c>
      <c r="D8119">
        <v>19</v>
      </c>
    </row>
    <row r="8120" spans="1:4" x14ac:dyDescent="0.25">
      <c r="A8120" s="1">
        <v>42089</v>
      </c>
      <c r="B8120">
        <v>1</v>
      </c>
      <c r="C8120">
        <v>5</v>
      </c>
      <c r="D8120">
        <v>14</v>
      </c>
    </row>
    <row r="8121" spans="1:4" x14ac:dyDescent="0.25">
      <c r="A8121" s="1">
        <v>42090</v>
      </c>
      <c r="B8121">
        <v>1</v>
      </c>
      <c r="C8121">
        <v>5</v>
      </c>
      <c r="D8121">
        <v>15</v>
      </c>
    </row>
    <row r="8122" spans="1:4" x14ac:dyDescent="0.25">
      <c r="A8122" s="1">
        <v>42091</v>
      </c>
      <c r="B8122">
        <v>1</v>
      </c>
      <c r="C8122">
        <v>5</v>
      </c>
      <c r="D8122">
        <v>11</v>
      </c>
    </row>
    <row r="8123" spans="1:4" x14ac:dyDescent="0.25">
      <c r="A8123" s="1">
        <v>42092</v>
      </c>
      <c r="B8123">
        <v>1</v>
      </c>
      <c r="C8123">
        <v>5</v>
      </c>
      <c r="D8123">
        <v>20</v>
      </c>
    </row>
    <row r="8124" spans="1:4" x14ac:dyDescent="0.25">
      <c r="A8124" s="1">
        <v>42093</v>
      </c>
      <c r="B8124">
        <v>1</v>
      </c>
      <c r="C8124">
        <v>5</v>
      </c>
      <c r="D8124">
        <v>10</v>
      </c>
    </row>
    <row r="8125" spans="1:4" x14ac:dyDescent="0.25">
      <c r="A8125" s="1">
        <v>42094</v>
      </c>
      <c r="B8125">
        <v>1</v>
      </c>
      <c r="C8125">
        <v>5</v>
      </c>
      <c r="D8125">
        <v>12</v>
      </c>
    </row>
    <row r="8126" spans="1:4" x14ac:dyDescent="0.25">
      <c r="A8126" s="1">
        <v>42095</v>
      </c>
      <c r="B8126">
        <v>1</v>
      </c>
      <c r="C8126">
        <v>5</v>
      </c>
      <c r="D8126">
        <v>20</v>
      </c>
    </row>
    <row r="8127" spans="1:4" x14ac:dyDescent="0.25">
      <c r="A8127" s="1">
        <v>42096</v>
      </c>
      <c r="B8127">
        <v>1</v>
      </c>
      <c r="C8127">
        <v>5</v>
      </c>
      <c r="D8127">
        <v>9</v>
      </c>
    </row>
    <row r="8128" spans="1:4" x14ac:dyDescent="0.25">
      <c r="A8128" s="1">
        <v>42097</v>
      </c>
      <c r="B8128">
        <v>1</v>
      </c>
      <c r="C8128">
        <v>5</v>
      </c>
      <c r="D8128">
        <v>29</v>
      </c>
    </row>
    <row r="8129" spans="1:4" x14ac:dyDescent="0.25">
      <c r="A8129" s="1">
        <v>42098</v>
      </c>
      <c r="B8129">
        <v>1</v>
      </c>
      <c r="C8129">
        <v>5</v>
      </c>
      <c r="D8129">
        <v>13</v>
      </c>
    </row>
    <row r="8130" spans="1:4" x14ac:dyDescent="0.25">
      <c r="A8130" s="1">
        <v>42099</v>
      </c>
      <c r="B8130">
        <v>1</v>
      </c>
      <c r="C8130">
        <v>5</v>
      </c>
      <c r="D8130">
        <v>25</v>
      </c>
    </row>
    <row r="8131" spans="1:4" x14ac:dyDescent="0.25">
      <c r="A8131" s="1">
        <v>42100</v>
      </c>
      <c r="B8131">
        <v>1</v>
      </c>
      <c r="C8131">
        <v>5</v>
      </c>
      <c r="D8131">
        <v>24</v>
      </c>
    </row>
    <row r="8132" spans="1:4" x14ac:dyDescent="0.25">
      <c r="A8132" s="1">
        <v>42101</v>
      </c>
      <c r="B8132">
        <v>1</v>
      </c>
      <c r="C8132">
        <v>5</v>
      </c>
      <c r="D8132">
        <v>11</v>
      </c>
    </row>
    <row r="8133" spans="1:4" x14ac:dyDescent="0.25">
      <c r="A8133" s="1">
        <v>42102</v>
      </c>
      <c r="B8133">
        <v>1</v>
      </c>
      <c r="C8133">
        <v>5</v>
      </c>
      <c r="D8133">
        <v>15</v>
      </c>
    </row>
    <row r="8134" spans="1:4" x14ac:dyDescent="0.25">
      <c r="A8134" s="1">
        <v>42103</v>
      </c>
      <c r="B8134">
        <v>1</v>
      </c>
      <c r="C8134">
        <v>5</v>
      </c>
      <c r="D8134">
        <v>20</v>
      </c>
    </row>
    <row r="8135" spans="1:4" x14ac:dyDescent="0.25">
      <c r="A8135" s="1">
        <v>42104</v>
      </c>
      <c r="B8135">
        <v>1</v>
      </c>
      <c r="C8135">
        <v>5</v>
      </c>
      <c r="D8135">
        <v>18</v>
      </c>
    </row>
    <row r="8136" spans="1:4" x14ac:dyDescent="0.25">
      <c r="A8136" s="1">
        <v>42105</v>
      </c>
      <c r="B8136">
        <v>1</v>
      </c>
      <c r="C8136">
        <v>5</v>
      </c>
      <c r="D8136">
        <v>22</v>
      </c>
    </row>
    <row r="8137" spans="1:4" x14ac:dyDescent="0.25">
      <c r="A8137" s="1">
        <v>42106</v>
      </c>
      <c r="B8137">
        <v>1</v>
      </c>
      <c r="C8137">
        <v>5</v>
      </c>
      <c r="D8137">
        <v>19</v>
      </c>
    </row>
    <row r="8138" spans="1:4" x14ac:dyDescent="0.25">
      <c r="A8138" s="1">
        <v>42107</v>
      </c>
      <c r="B8138">
        <v>1</v>
      </c>
      <c r="C8138">
        <v>5</v>
      </c>
      <c r="D8138">
        <v>9</v>
      </c>
    </row>
    <row r="8139" spans="1:4" x14ac:dyDescent="0.25">
      <c r="A8139" s="1">
        <v>42108</v>
      </c>
      <c r="B8139">
        <v>1</v>
      </c>
      <c r="C8139">
        <v>5</v>
      </c>
      <c r="D8139">
        <v>22</v>
      </c>
    </row>
    <row r="8140" spans="1:4" x14ac:dyDescent="0.25">
      <c r="A8140" s="1">
        <v>42109</v>
      </c>
      <c r="B8140">
        <v>1</v>
      </c>
      <c r="C8140">
        <v>5</v>
      </c>
      <c r="D8140">
        <v>12</v>
      </c>
    </row>
    <row r="8141" spans="1:4" x14ac:dyDescent="0.25">
      <c r="A8141" s="1">
        <v>42110</v>
      </c>
      <c r="B8141">
        <v>1</v>
      </c>
      <c r="C8141">
        <v>5</v>
      </c>
      <c r="D8141">
        <v>8</v>
      </c>
    </row>
    <row r="8142" spans="1:4" x14ac:dyDescent="0.25">
      <c r="A8142" s="1">
        <v>42111</v>
      </c>
      <c r="B8142">
        <v>1</v>
      </c>
      <c r="C8142">
        <v>5</v>
      </c>
      <c r="D8142">
        <v>13</v>
      </c>
    </row>
    <row r="8143" spans="1:4" x14ac:dyDescent="0.25">
      <c r="A8143" s="1">
        <v>42112</v>
      </c>
      <c r="B8143">
        <v>1</v>
      </c>
      <c r="C8143">
        <v>5</v>
      </c>
      <c r="D8143">
        <v>18</v>
      </c>
    </row>
    <row r="8144" spans="1:4" x14ac:dyDescent="0.25">
      <c r="A8144" s="1">
        <v>42113</v>
      </c>
      <c r="B8144">
        <v>1</v>
      </c>
      <c r="C8144">
        <v>5</v>
      </c>
      <c r="D8144">
        <v>22</v>
      </c>
    </row>
    <row r="8145" spans="1:4" x14ac:dyDescent="0.25">
      <c r="A8145" s="1">
        <v>42114</v>
      </c>
      <c r="B8145">
        <v>1</v>
      </c>
      <c r="C8145">
        <v>5</v>
      </c>
      <c r="D8145">
        <v>12</v>
      </c>
    </row>
    <row r="8146" spans="1:4" x14ac:dyDescent="0.25">
      <c r="A8146" s="1">
        <v>42115</v>
      </c>
      <c r="B8146">
        <v>1</v>
      </c>
      <c r="C8146">
        <v>5</v>
      </c>
      <c r="D8146">
        <v>17</v>
      </c>
    </row>
    <row r="8147" spans="1:4" x14ac:dyDescent="0.25">
      <c r="A8147" s="1">
        <v>42116</v>
      </c>
      <c r="B8147">
        <v>1</v>
      </c>
      <c r="C8147">
        <v>5</v>
      </c>
      <c r="D8147">
        <v>13</v>
      </c>
    </row>
    <row r="8148" spans="1:4" x14ac:dyDescent="0.25">
      <c r="A8148" s="1">
        <v>42117</v>
      </c>
      <c r="B8148">
        <v>1</v>
      </c>
      <c r="C8148">
        <v>5</v>
      </c>
      <c r="D8148">
        <v>18</v>
      </c>
    </row>
    <row r="8149" spans="1:4" x14ac:dyDescent="0.25">
      <c r="A8149" s="1">
        <v>42118</v>
      </c>
      <c r="B8149">
        <v>1</v>
      </c>
      <c r="C8149">
        <v>5</v>
      </c>
      <c r="D8149">
        <v>17</v>
      </c>
    </row>
    <row r="8150" spans="1:4" x14ac:dyDescent="0.25">
      <c r="A8150" s="1">
        <v>42119</v>
      </c>
      <c r="B8150">
        <v>1</v>
      </c>
      <c r="C8150">
        <v>5</v>
      </c>
      <c r="D8150">
        <v>24</v>
      </c>
    </row>
    <row r="8151" spans="1:4" x14ac:dyDescent="0.25">
      <c r="A8151" s="1">
        <v>42120</v>
      </c>
      <c r="B8151">
        <v>1</v>
      </c>
      <c r="C8151">
        <v>5</v>
      </c>
      <c r="D8151">
        <v>18</v>
      </c>
    </row>
    <row r="8152" spans="1:4" x14ac:dyDescent="0.25">
      <c r="A8152" s="1">
        <v>42121</v>
      </c>
      <c r="B8152">
        <v>1</v>
      </c>
      <c r="C8152">
        <v>5</v>
      </c>
      <c r="D8152">
        <v>8</v>
      </c>
    </row>
    <row r="8153" spans="1:4" x14ac:dyDescent="0.25">
      <c r="A8153" s="1">
        <v>42122</v>
      </c>
      <c r="B8153">
        <v>1</v>
      </c>
      <c r="C8153">
        <v>5</v>
      </c>
      <c r="D8153">
        <v>14</v>
      </c>
    </row>
    <row r="8154" spans="1:4" x14ac:dyDescent="0.25">
      <c r="A8154" s="1">
        <v>42123</v>
      </c>
      <c r="B8154">
        <v>1</v>
      </c>
      <c r="C8154">
        <v>5</v>
      </c>
      <c r="D8154">
        <v>10</v>
      </c>
    </row>
    <row r="8155" spans="1:4" x14ac:dyDescent="0.25">
      <c r="A8155" s="1">
        <v>42124</v>
      </c>
      <c r="B8155">
        <v>1</v>
      </c>
      <c r="C8155">
        <v>5</v>
      </c>
      <c r="D8155">
        <v>15</v>
      </c>
    </row>
    <row r="8156" spans="1:4" x14ac:dyDescent="0.25">
      <c r="A8156" s="1">
        <v>42125</v>
      </c>
      <c r="B8156">
        <v>1</v>
      </c>
      <c r="C8156">
        <v>5</v>
      </c>
      <c r="D8156">
        <v>17</v>
      </c>
    </row>
    <row r="8157" spans="1:4" x14ac:dyDescent="0.25">
      <c r="A8157" s="1">
        <v>42126</v>
      </c>
      <c r="B8157">
        <v>1</v>
      </c>
      <c r="C8157">
        <v>5</v>
      </c>
      <c r="D8157">
        <v>23</v>
      </c>
    </row>
    <row r="8158" spans="1:4" x14ac:dyDescent="0.25">
      <c r="A8158" s="1">
        <v>42127</v>
      </c>
      <c r="B8158">
        <v>1</v>
      </c>
      <c r="C8158">
        <v>5</v>
      </c>
      <c r="D8158">
        <v>26</v>
      </c>
    </row>
    <row r="8159" spans="1:4" x14ac:dyDescent="0.25">
      <c r="A8159" s="1">
        <v>42128</v>
      </c>
      <c r="B8159">
        <v>1</v>
      </c>
      <c r="C8159">
        <v>5</v>
      </c>
      <c r="D8159">
        <v>16</v>
      </c>
    </row>
    <row r="8160" spans="1:4" x14ac:dyDescent="0.25">
      <c r="A8160" s="1">
        <v>42129</v>
      </c>
      <c r="B8160">
        <v>1</v>
      </c>
      <c r="C8160">
        <v>5</v>
      </c>
      <c r="D8160">
        <v>19</v>
      </c>
    </row>
    <row r="8161" spans="1:4" x14ac:dyDescent="0.25">
      <c r="A8161" s="1">
        <v>42130</v>
      </c>
      <c r="B8161">
        <v>1</v>
      </c>
      <c r="C8161">
        <v>5</v>
      </c>
      <c r="D8161">
        <v>16</v>
      </c>
    </row>
    <row r="8162" spans="1:4" x14ac:dyDescent="0.25">
      <c r="A8162" s="1">
        <v>42131</v>
      </c>
      <c r="B8162">
        <v>1</v>
      </c>
      <c r="C8162">
        <v>5</v>
      </c>
      <c r="D8162">
        <v>26</v>
      </c>
    </row>
    <row r="8163" spans="1:4" x14ac:dyDescent="0.25">
      <c r="A8163" s="1">
        <v>42132</v>
      </c>
      <c r="B8163">
        <v>1</v>
      </c>
      <c r="C8163">
        <v>5</v>
      </c>
      <c r="D8163">
        <v>18</v>
      </c>
    </row>
    <row r="8164" spans="1:4" x14ac:dyDescent="0.25">
      <c r="A8164" s="1">
        <v>42133</v>
      </c>
      <c r="B8164">
        <v>1</v>
      </c>
      <c r="C8164">
        <v>5</v>
      </c>
      <c r="D8164">
        <v>22</v>
      </c>
    </row>
    <row r="8165" spans="1:4" x14ac:dyDescent="0.25">
      <c r="A8165" s="1">
        <v>42134</v>
      </c>
      <c r="B8165">
        <v>1</v>
      </c>
      <c r="C8165">
        <v>5</v>
      </c>
      <c r="D8165">
        <v>12</v>
      </c>
    </row>
    <row r="8166" spans="1:4" x14ac:dyDescent="0.25">
      <c r="A8166" s="1">
        <v>42135</v>
      </c>
      <c r="B8166">
        <v>1</v>
      </c>
      <c r="C8166">
        <v>5</v>
      </c>
      <c r="D8166">
        <v>16</v>
      </c>
    </row>
    <row r="8167" spans="1:4" x14ac:dyDescent="0.25">
      <c r="A8167" s="1">
        <v>42136</v>
      </c>
      <c r="B8167">
        <v>1</v>
      </c>
      <c r="C8167">
        <v>5</v>
      </c>
      <c r="D8167">
        <v>26</v>
      </c>
    </row>
    <row r="8168" spans="1:4" x14ac:dyDescent="0.25">
      <c r="A8168" s="1">
        <v>42137</v>
      </c>
      <c r="B8168">
        <v>1</v>
      </c>
      <c r="C8168">
        <v>5</v>
      </c>
      <c r="D8168">
        <v>7</v>
      </c>
    </row>
    <row r="8169" spans="1:4" x14ac:dyDescent="0.25">
      <c r="A8169" s="1">
        <v>42138</v>
      </c>
      <c r="B8169">
        <v>1</v>
      </c>
      <c r="C8169">
        <v>5</v>
      </c>
      <c r="D8169">
        <v>16</v>
      </c>
    </row>
    <row r="8170" spans="1:4" x14ac:dyDescent="0.25">
      <c r="A8170" s="1">
        <v>42139</v>
      </c>
      <c r="B8170">
        <v>1</v>
      </c>
      <c r="C8170">
        <v>5</v>
      </c>
      <c r="D8170">
        <v>18</v>
      </c>
    </row>
    <row r="8171" spans="1:4" x14ac:dyDescent="0.25">
      <c r="A8171" s="1">
        <v>42140</v>
      </c>
      <c r="B8171">
        <v>1</v>
      </c>
      <c r="C8171">
        <v>5</v>
      </c>
      <c r="D8171">
        <v>26</v>
      </c>
    </row>
    <row r="8172" spans="1:4" x14ac:dyDescent="0.25">
      <c r="A8172" s="1">
        <v>42141</v>
      </c>
      <c r="B8172">
        <v>1</v>
      </c>
      <c r="C8172">
        <v>5</v>
      </c>
      <c r="D8172">
        <v>22</v>
      </c>
    </row>
    <row r="8173" spans="1:4" x14ac:dyDescent="0.25">
      <c r="A8173" s="1">
        <v>42142</v>
      </c>
      <c r="B8173">
        <v>1</v>
      </c>
      <c r="C8173">
        <v>5</v>
      </c>
      <c r="D8173">
        <v>10</v>
      </c>
    </row>
    <row r="8174" spans="1:4" x14ac:dyDescent="0.25">
      <c r="A8174" s="1">
        <v>42143</v>
      </c>
      <c r="B8174">
        <v>1</v>
      </c>
      <c r="C8174">
        <v>5</v>
      </c>
      <c r="D8174">
        <v>18</v>
      </c>
    </row>
    <row r="8175" spans="1:4" x14ac:dyDescent="0.25">
      <c r="A8175" s="1">
        <v>42144</v>
      </c>
      <c r="B8175">
        <v>1</v>
      </c>
      <c r="C8175">
        <v>5</v>
      </c>
      <c r="D8175">
        <v>13</v>
      </c>
    </row>
    <row r="8176" spans="1:4" x14ac:dyDescent="0.25">
      <c r="A8176" s="1">
        <v>42145</v>
      </c>
      <c r="B8176">
        <v>1</v>
      </c>
      <c r="C8176">
        <v>5</v>
      </c>
      <c r="D8176">
        <v>22</v>
      </c>
    </row>
    <row r="8177" spans="1:4" x14ac:dyDescent="0.25">
      <c r="A8177" s="1">
        <v>42146</v>
      </c>
      <c r="B8177">
        <v>1</v>
      </c>
      <c r="C8177">
        <v>5</v>
      </c>
      <c r="D8177">
        <v>14</v>
      </c>
    </row>
    <row r="8178" spans="1:4" x14ac:dyDescent="0.25">
      <c r="A8178" s="1">
        <v>42147</v>
      </c>
      <c r="B8178">
        <v>1</v>
      </c>
      <c r="C8178">
        <v>5</v>
      </c>
      <c r="D8178">
        <v>22</v>
      </c>
    </row>
    <row r="8179" spans="1:4" x14ac:dyDescent="0.25">
      <c r="A8179" s="1">
        <v>42148</v>
      </c>
      <c r="B8179">
        <v>1</v>
      </c>
      <c r="C8179">
        <v>5</v>
      </c>
      <c r="D8179">
        <v>21</v>
      </c>
    </row>
    <row r="8180" spans="1:4" x14ac:dyDescent="0.25">
      <c r="A8180" s="1">
        <v>42149</v>
      </c>
      <c r="B8180">
        <v>1</v>
      </c>
      <c r="C8180">
        <v>5</v>
      </c>
      <c r="D8180">
        <v>16</v>
      </c>
    </row>
    <row r="8181" spans="1:4" x14ac:dyDescent="0.25">
      <c r="A8181" s="1">
        <v>42150</v>
      </c>
      <c r="B8181">
        <v>1</v>
      </c>
      <c r="C8181">
        <v>5</v>
      </c>
      <c r="D8181">
        <v>20</v>
      </c>
    </row>
    <row r="8182" spans="1:4" x14ac:dyDescent="0.25">
      <c r="A8182" s="1">
        <v>42151</v>
      </c>
      <c r="B8182">
        <v>1</v>
      </c>
      <c r="C8182">
        <v>5</v>
      </c>
      <c r="D8182">
        <v>14</v>
      </c>
    </row>
    <row r="8183" spans="1:4" x14ac:dyDescent="0.25">
      <c r="A8183" s="1">
        <v>42152</v>
      </c>
      <c r="B8183">
        <v>1</v>
      </c>
      <c r="C8183">
        <v>5</v>
      </c>
      <c r="D8183">
        <v>12</v>
      </c>
    </row>
    <row r="8184" spans="1:4" x14ac:dyDescent="0.25">
      <c r="A8184" s="1">
        <v>42153</v>
      </c>
      <c r="B8184">
        <v>1</v>
      </c>
      <c r="C8184">
        <v>5</v>
      </c>
      <c r="D8184">
        <v>19</v>
      </c>
    </row>
    <row r="8185" spans="1:4" x14ac:dyDescent="0.25">
      <c r="A8185" s="1">
        <v>42154</v>
      </c>
      <c r="B8185">
        <v>1</v>
      </c>
      <c r="C8185">
        <v>5</v>
      </c>
      <c r="D8185">
        <v>15</v>
      </c>
    </row>
    <row r="8186" spans="1:4" x14ac:dyDescent="0.25">
      <c r="A8186" s="1">
        <v>42155</v>
      </c>
      <c r="B8186">
        <v>1</v>
      </c>
      <c r="C8186">
        <v>5</v>
      </c>
      <c r="D8186">
        <v>17</v>
      </c>
    </row>
    <row r="8187" spans="1:4" x14ac:dyDescent="0.25">
      <c r="A8187" s="1">
        <v>42156</v>
      </c>
      <c r="B8187">
        <v>1</v>
      </c>
      <c r="C8187">
        <v>5</v>
      </c>
      <c r="D8187">
        <v>16</v>
      </c>
    </row>
    <row r="8188" spans="1:4" x14ac:dyDescent="0.25">
      <c r="A8188" s="1">
        <v>42157</v>
      </c>
      <c r="B8188">
        <v>1</v>
      </c>
      <c r="C8188">
        <v>5</v>
      </c>
      <c r="D8188">
        <v>21</v>
      </c>
    </row>
    <row r="8189" spans="1:4" x14ac:dyDescent="0.25">
      <c r="A8189" s="1">
        <v>42158</v>
      </c>
      <c r="B8189">
        <v>1</v>
      </c>
      <c r="C8189">
        <v>5</v>
      </c>
      <c r="D8189">
        <v>20</v>
      </c>
    </row>
    <row r="8190" spans="1:4" x14ac:dyDescent="0.25">
      <c r="A8190" s="1">
        <v>42159</v>
      </c>
      <c r="B8190">
        <v>1</v>
      </c>
      <c r="C8190">
        <v>5</v>
      </c>
      <c r="D8190">
        <v>20</v>
      </c>
    </row>
    <row r="8191" spans="1:4" x14ac:dyDescent="0.25">
      <c r="A8191" s="1">
        <v>42160</v>
      </c>
      <c r="B8191">
        <v>1</v>
      </c>
      <c r="C8191">
        <v>5</v>
      </c>
      <c r="D8191">
        <v>20</v>
      </c>
    </row>
    <row r="8192" spans="1:4" x14ac:dyDescent="0.25">
      <c r="A8192" s="1">
        <v>42161</v>
      </c>
      <c r="B8192">
        <v>1</v>
      </c>
      <c r="C8192">
        <v>5</v>
      </c>
      <c r="D8192">
        <v>26</v>
      </c>
    </row>
    <row r="8193" spans="1:4" x14ac:dyDescent="0.25">
      <c r="A8193" s="1">
        <v>42162</v>
      </c>
      <c r="B8193">
        <v>1</v>
      </c>
      <c r="C8193">
        <v>5</v>
      </c>
      <c r="D8193">
        <v>28</v>
      </c>
    </row>
    <row r="8194" spans="1:4" x14ac:dyDescent="0.25">
      <c r="A8194" s="1">
        <v>42163</v>
      </c>
      <c r="B8194">
        <v>1</v>
      </c>
      <c r="C8194">
        <v>5</v>
      </c>
      <c r="D8194">
        <v>23</v>
      </c>
    </row>
    <row r="8195" spans="1:4" x14ac:dyDescent="0.25">
      <c r="A8195" s="1">
        <v>42164</v>
      </c>
      <c r="B8195">
        <v>1</v>
      </c>
      <c r="C8195">
        <v>5</v>
      </c>
      <c r="D8195">
        <v>18</v>
      </c>
    </row>
    <row r="8196" spans="1:4" x14ac:dyDescent="0.25">
      <c r="A8196" s="1">
        <v>42165</v>
      </c>
      <c r="B8196">
        <v>1</v>
      </c>
      <c r="C8196">
        <v>5</v>
      </c>
      <c r="D8196">
        <v>26</v>
      </c>
    </row>
    <row r="8197" spans="1:4" x14ac:dyDescent="0.25">
      <c r="A8197" s="1">
        <v>42166</v>
      </c>
      <c r="B8197">
        <v>1</v>
      </c>
      <c r="C8197">
        <v>5</v>
      </c>
      <c r="D8197">
        <v>17</v>
      </c>
    </row>
    <row r="8198" spans="1:4" x14ac:dyDescent="0.25">
      <c r="A8198" s="1">
        <v>42167</v>
      </c>
      <c r="B8198">
        <v>1</v>
      </c>
      <c r="C8198">
        <v>5</v>
      </c>
      <c r="D8198">
        <v>24</v>
      </c>
    </row>
    <row r="8199" spans="1:4" x14ac:dyDescent="0.25">
      <c r="A8199" s="1">
        <v>42168</v>
      </c>
      <c r="B8199">
        <v>1</v>
      </c>
      <c r="C8199">
        <v>5</v>
      </c>
      <c r="D8199">
        <v>29</v>
      </c>
    </row>
    <row r="8200" spans="1:4" x14ac:dyDescent="0.25">
      <c r="A8200" s="1">
        <v>42169</v>
      </c>
      <c r="B8200">
        <v>1</v>
      </c>
      <c r="C8200">
        <v>5</v>
      </c>
      <c r="D8200">
        <v>17</v>
      </c>
    </row>
    <row r="8201" spans="1:4" x14ac:dyDescent="0.25">
      <c r="A8201" s="1">
        <v>42170</v>
      </c>
      <c r="B8201">
        <v>1</v>
      </c>
      <c r="C8201">
        <v>5</v>
      </c>
      <c r="D8201">
        <v>17</v>
      </c>
    </row>
    <row r="8202" spans="1:4" x14ac:dyDescent="0.25">
      <c r="A8202" s="1">
        <v>42171</v>
      </c>
      <c r="B8202">
        <v>1</v>
      </c>
      <c r="C8202">
        <v>5</v>
      </c>
      <c r="D8202">
        <v>17</v>
      </c>
    </row>
    <row r="8203" spans="1:4" x14ac:dyDescent="0.25">
      <c r="A8203" s="1">
        <v>42172</v>
      </c>
      <c r="B8203">
        <v>1</v>
      </c>
      <c r="C8203">
        <v>5</v>
      </c>
      <c r="D8203">
        <v>14</v>
      </c>
    </row>
    <row r="8204" spans="1:4" x14ac:dyDescent="0.25">
      <c r="A8204" s="1">
        <v>42173</v>
      </c>
      <c r="B8204">
        <v>1</v>
      </c>
      <c r="C8204">
        <v>5</v>
      </c>
      <c r="D8204">
        <v>23</v>
      </c>
    </row>
    <row r="8205" spans="1:4" x14ac:dyDescent="0.25">
      <c r="A8205" s="1">
        <v>42174</v>
      </c>
      <c r="B8205">
        <v>1</v>
      </c>
      <c r="C8205">
        <v>5</v>
      </c>
      <c r="D8205">
        <v>21</v>
      </c>
    </row>
    <row r="8206" spans="1:4" x14ac:dyDescent="0.25">
      <c r="A8206" s="1">
        <v>42175</v>
      </c>
      <c r="B8206">
        <v>1</v>
      </c>
      <c r="C8206">
        <v>5</v>
      </c>
      <c r="D8206">
        <v>17</v>
      </c>
    </row>
    <row r="8207" spans="1:4" x14ac:dyDescent="0.25">
      <c r="A8207" s="1">
        <v>42176</v>
      </c>
      <c r="B8207">
        <v>1</v>
      </c>
      <c r="C8207">
        <v>5</v>
      </c>
      <c r="D8207">
        <v>18</v>
      </c>
    </row>
    <row r="8208" spans="1:4" x14ac:dyDescent="0.25">
      <c r="A8208" s="1">
        <v>42177</v>
      </c>
      <c r="B8208">
        <v>1</v>
      </c>
      <c r="C8208">
        <v>5</v>
      </c>
      <c r="D8208">
        <v>19</v>
      </c>
    </row>
    <row r="8209" spans="1:4" x14ac:dyDescent="0.25">
      <c r="A8209" s="1">
        <v>42178</v>
      </c>
      <c r="B8209">
        <v>1</v>
      </c>
      <c r="C8209">
        <v>5</v>
      </c>
      <c r="D8209">
        <v>14</v>
      </c>
    </row>
    <row r="8210" spans="1:4" x14ac:dyDescent="0.25">
      <c r="A8210" s="1">
        <v>42179</v>
      </c>
      <c r="B8210">
        <v>1</v>
      </c>
      <c r="C8210">
        <v>5</v>
      </c>
      <c r="D8210">
        <v>31</v>
      </c>
    </row>
    <row r="8211" spans="1:4" x14ac:dyDescent="0.25">
      <c r="A8211" s="1">
        <v>42180</v>
      </c>
      <c r="B8211">
        <v>1</v>
      </c>
      <c r="C8211">
        <v>5</v>
      </c>
      <c r="D8211">
        <v>17</v>
      </c>
    </row>
    <row r="8212" spans="1:4" x14ac:dyDescent="0.25">
      <c r="A8212" s="1">
        <v>42181</v>
      </c>
      <c r="B8212">
        <v>1</v>
      </c>
      <c r="C8212">
        <v>5</v>
      </c>
      <c r="D8212">
        <v>18</v>
      </c>
    </row>
    <row r="8213" spans="1:4" x14ac:dyDescent="0.25">
      <c r="A8213" s="1">
        <v>42182</v>
      </c>
      <c r="B8213">
        <v>1</v>
      </c>
      <c r="C8213">
        <v>5</v>
      </c>
      <c r="D8213">
        <v>30</v>
      </c>
    </row>
    <row r="8214" spans="1:4" x14ac:dyDescent="0.25">
      <c r="A8214" s="1">
        <v>42183</v>
      </c>
      <c r="B8214">
        <v>1</v>
      </c>
      <c r="C8214">
        <v>5</v>
      </c>
      <c r="D8214">
        <v>27</v>
      </c>
    </row>
    <row r="8215" spans="1:4" x14ac:dyDescent="0.25">
      <c r="A8215" s="1">
        <v>42184</v>
      </c>
      <c r="B8215">
        <v>1</v>
      </c>
      <c r="C8215">
        <v>5</v>
      </c>
      <c r="D8215">
        <v>12</v>
      </c>
    </row>
    <row r="8216" spans="1:4" x14ac:dyDescent="0.25">
      <c r="A8216" s="1">
        <v>42185</v>
      </c>
      <c r="B8216">
        <v>1</v>
      </c>
      <c r="C8216">
        <v>5</v>
      </c>
      <c r="D8216">
        <v>14</v>
      </c>
    </row>
    <row r="8217" spans="1:4" x14ac:dyDescent="0.25">
      <c r="A8217" s="1">
        <v>42186</v>
      </c>
      <c r="B8217">
        <v>1</v>
      </c>
      <c r="C8217">
        <v>5</v>
      </c>
      <c r="D8217">
        <v>14</v>
      </c>
    </row>
    <row r="8218" spans="1:4" x14ac:dyDescent="0.25">
      <c r="A8218" s="1">
        <v>42187</v>
      </c>
      <c r="B8218">
        <v>1</v>
      </c>
      <c r="C8218">
        <v>5</v>
      </c>
      <c r="D8218">
        <v>24</v>
      </c>
    </row>
    <row r="8219" spans="1:4" x14ac:dyDescent="0.25">
      <c r="A8219" s="1">
        <v>42188</v>
      </c>
      <c r="B8219">
        <v>1</v>
      </c>
      <c r="C8219">
        <v>5</v>
      </c>
      <c r="D8219">
        <v>23</v>
      </c>
    </row>
    <row r="8220" spans="1:4" x14ac:dyDescent="0.25">
      <c r="A8220" s="1">
        <v>42189</v>
      </c>
      <c r="B8220">
        <v>1</v>
      </c>
      <c r="C8220">
        <v>5</v>
      </c>
      <c r="D8220">
        <v>22</v>
      </c>
    </row>
    <row r="8221" spans="1:4" x14ac:dyDescent="0.25">
      <c r="A8221" s="1">
        <v>42190</v>
      </c>
      <c r="B8221">
        <v>1</v>
      </c>
      <c r="C8221">
        <v>5</v>
      </c>
      <c r="D8221">
        <v>21</v>
      </c>
    </row>
    <row r="8222" spans="1:4" x14ac:dyDescent="0.25">
      <c r="A8222" s="1">
        <v>42191</v>
      </c>
      <c r="B8222">
        <v>1</v>
      </c>
      <c r="C8222">
        <v>5</v>
      </c>
      <c r="D8222">
        <v>13</v>
      </c>
    </row>
    <row r="8223" spans="1:4" x14ac:dyDescent="0.25">
      <c r="A8223" s="1">
        <v>42192</v>
      </c>
      <c r="B8223">
        <v>1</v>
      </c>
      <c r="C8223">
        <v>5</v>
      </c>
      <c r="D8223">
        <v>18</v>
      </c>
    </row>
    <row r="8224" spans="1:4" x14ac:dyDescent="0.25">
      <c r="A8224" s="1">
        <v>42193</v>
      </c>
      <c r="B8224">
        <v>1</v>
      </c>
      <c r="C8224">
        <v>5</v>
      </c>
      <c r="D8224">
        <v>17</v>
      </c>
    </row>
    <row r="8225" spans="1:4" x14ac:dyDescent="0.25">
      <c r="A8225" s="1">
        <v>42194</v>
      </c>
      <c r="B8225">
        <v>1</v>
      </c>
      <c r="C8225">
        <v>5</v>
      </c>
      <c r="D8225">
        <v>18</v>
      </c>
    </row>
    <row r="8226" spans="1:4" x14ac:dyDescent="0.25">
      <c r="A8226" s="1">
        <v>42195</v>
      </c>
      <c r="B8226">
        <v>1</v>
      </c>
      <c r="C8226">
        <v>5</v>
      </c>
      <c r="D8226">
        <v>24</v>
      </c>
    </row>
    <row r="8227" spans="1:4" x14ac:dyDescent="0.25">
      <c r="A8227" s="1">
        <v>42196</v>
      </c>
      <c r="B8227">
        <v>1</v>
      </c>
      <c r="C8227">
        <v>5</v>
      </c>
      <c r="D8227">
        <v>18</v>
      </c>
    </row>
    <row r="8228" spans="1:4" x14ac:dyDescent="0.25">
      <c r="A8228" s="1">
        <v>42197</v>
      </c>
      <c r="B8228">
        <v>1</v>
      </c>
      <c r="C8228">
        <v>5</v>
      </c>
      <c r="D8228">
        <v>28</v>
      </c>
    </row>
    <row r="8229" spans="1:4" x14ac:dyDescent="0.25">
      <c r="A8229" s="1">
        <v>42198</v>
      </c>
      <c r="B8229">
        <v>1</v>
      </c>
      <c r="C8229">
        <v>5</v>
      </c>
      <c r="D8229">
        <v>22</v>
      </c>
    </row>
    <row r="8230" spans="1:4" x14ac:dyDescent="0.25">
      <c r="A8230" s="1">
        <v>42199</v>
      </c>
      <c r="B8230">
        <v>1</v>
      </c>
      <c r="C8230">
        <v>5</v>
      </c>
      <c r="D8230">
        <v>15</v>
      </c>
    </row>
    <row r="8231" spans="1:4" x14ac:dyDescent="0.25">
      <c r="A8231" s="1">
        <v>42200</v>
      </c>
      <c r="B8231">
        <v>1</v>
      </c>
      <c r="C8231">
        <v>5</v>
      </c>
      <c r="D8231">
        <v>19</v>
      </c>
    </row>
    <row r="8232" spans="1:4" x14ac:dyDescent="0.25">
      <c r="A8232" s="1">
        <v>42201</v>
      </c>
      <c r="B8232">
        <v>1</v>
      </c>
      <c r="C8232">
        <v>5</v>
      </c>
      <c r="D8232">
        <v>20</v>
      </c>
    </row>
    <row r="8233" spans="1:4" x14ac:dyDescent="0.25">
      <c r="A8233" s="1">
        <v>42202</v>
      </c>
      <c r="B8233">
        <v>1</v>
      </c>
      <c r="C8233">
        <v>5</v>
      </c>
      <c r="D8233">
        <v>20</v>
      </c>
    </row>
    <row r="8234" spans="1:4" x14ac:dyDescent="0.25">
      <c r="A8234" s="1">
        <v>42203</v>
      </c>
      <c r="B8234">
        <v>1</v>
      </c>
      <c r="C8234">
        <v>5</v>
      </c>
      <c r="D8234">
        <v>20</v>
      </c>
    </row>
    <row r="8235" spans="1:4" x14ac:dyDescent="0.25">
      <c r="A8235" s="1">
        <v>42204</v>
      </c>
      <c r="B8235">
        <v>1</v>
      </c>
      <c r="C8235">
        <v>5</v>
      </c>
      <c r="D8235">
        <v>27</v>
      </c>
    </row>
    <row r="8236" spans="1:4" x14ac:dyDescent="0.25">
      <c r="A8236" s="1">
        <v>42205</v>
      </c>
      <c r="B8236">
        <v>1</v>
      </c>
      <c r="C8236">
        <v>5</v>
      </c>
      <c r="D8236">
        <v>8</v>
      </c>
    </row>
    <row r="8237" spans="1:4" x14ac:dyDescent="0.25">
      <c r="A8237" s="1">
        <v>42206</v>
      </c>
      <c r="B8237">
        <v>1</v>
      </c>
      <c r="C8237">
        <v>5</v>
      </c>
      <c r="D8237">
        <v>20</v>
      </c>
    </row>
    <row r="8238" spans="1:4" x14ac:dyDescent="0.25">
      <c r="A8238" s="1">
        <v>42207</v>
      </c>
      <c r="B8238">
        <v>1</v>
      </c>
      <c r="C8238">
        <v>5</v>
      </c>
      <c r="D8238">
        <v>31</v>
      </c>
    </row>
    <row r="8239" spans="1:4" x14ac:dyDescent="0.25">
      <c r="A8239" s="1">
        <v>42208</v>
      </c>
      <c r="B8239">
        <v>1</v>
      </c>
      <c r="C8239">
        <v>5</v>
      </c>
      <c r="D8239">
        <v>19</v>
      </c>
    </row>
    <row r="8240" spans="1:4" x14ac:dyDescent="0.25">
      <c r="A8240" s="1">
        <v>42209</v>
      </c>
      <c r="B8240">
        <v>1</v>
      </c>
      <c r="C8240">
        <v>5</v>
      </c>
      <c r="D8240">
        <v>24</v>
      </c>
    </row>
    <row r="8241" spans="1:4" x14ac:dyDescent="0.25">
      <c r="A8241" s="1">
        <v>42210</v>
      </c>
      <c r="B8241">
        <v>1</v>
      </c>
      <c r="C8241">
        <v>5</v>
      </c>
      <c r="D8241">
        <v>24</v>
      </c>
    </row>
    <row r="8242" spans="1:4" x14ac:dyDescent="0.25">
      <c r="A8242" s="1">
        <v>42211</v>
      </c>
      <c r="B8242">
        <v>1</v>
      </c>
      <c r="C8242">
        <v>5</v>
      </c>
      <c r="D8242">
        <v>27</v>
      </c>
    </row>
    <row r="8243" spans="1:4" x14ac:dyDescent="0.25">
      <c r="A8243" s="1">
        <v>42212</v>
      </c>
      <c r="B8243">
        <v>1</v>
      </c>
      <c r="C8243">
        <v>5</v>
      </c>
      <c r="D8243">
        <v>20</v>
      </c>
    </row>
    <row r="8244" spans="1:4" x14ac:dyDescent="0.25">
      <c r="A8244" s="1">
        <v>42213</v>
      </c>
      <c r="B8244">
        <v>1</v>
      </c>
      <c r="C8244">
        <v>5</v>
      </c>
      <c r="D8244">
        <v>10</v>
      </c>
    </row>
    <row r="8245" spans="1:4" x14ac:dyDescent="0.25">
      <c r="A8245" s="1">
        <v>42214</v>
      </c>
      <c r="B8245">
        <v>1</v>
      </c>
      <c r="C8245">
        <v>5</v>
      </c>
      <c r="D8245">
        <v>22</v>
      </c>
    </row>
    <row r="8246" spans="1:4" x14ac:dyDescent="0.25">
      <c r="A8246" s="1">
        <v>42215</v>
      </c>
      <c r="B8246">
        <v>1</v>
      </c>
      <c r="C8246">
        <v>5</v>
      </c>
      <c r="D8246">
        <v>20</v>
      </c>
    </row>
    <row r="8247" spans="1:4" x14ac:dyDescent="0.25">
      <c r="A8247" s="1">
        <v>42216</v>
      </c>
      <c r="B8247">
        <v>1</v>
      </c>
      <c r="C8247">
        <v>5</v>
      </c>
      <c r="D8247">
        <v>24</v>
      </c>
    </row>
    <row r="8248" spans="1:4" x14ac:dyDescent="0.25">
      <c r="A8248" s="1">
        <v>42217</v>
      </c>
      <c r="B8248">
        <v>1</v>
      </c>
      <c r="C8248">
        <v>5</v>
      </c>
      <c r="D8248">
        <v>23</v>
      </c>
    </row>
    <row r="8249" spans="1:4" x14ac:dyDescent="0.25">
      <c r="A8249" s="1">
        <v>42218</v>
      </c>
      <c r="B8249">
        <v>1</v>
      </c>
      <c r="C8249">
        <v>5</v>
      </c>
      <c r="D8249">
        <v>13</v>
      </c>
    </row>
    <row r="8250" spans="1:4" x14ac:dyDescent="0.25">
      <c r="A8250" s="1">
        <v>42219</v>
      </c>
      <c r="B8250">
        <v>1</v>
      </c>
      <c r="C8250">
        <v>5</v>
      </c>
      <c r="D8250">
        <v>16</v>
      </c>
    </row>
    <row r="8251" spans="1:4" x14ac:dyDescent="0.25">
      <c r="A8251" s="1">
        <v>42220</v>
      </c>
      <c r="B8251">
        <v>1</v>
      </c>
      <c r="C8251">
        <v>5</v>
      </c>
      <c r="D8251">
        <v>21</v>
      </c>
    </row>
    <row r="8252" spans="1:4" x14ac:dyDescent="0.25">
      <c r="A8252" s="1">
        <v>42221</v>
      </c>
      <c r="B8252">
        <v>1</v>
      </c>
      <c r="C8252">
        <v>5</v>
      </c>
      <c r="D8252">
        <v>19</v>
      </c>
    </row>
    <row r="8253" spans="1:4" x14ac:dyDescent="0.25">
      <c r="A8253" s="1">
        <v>42222</v>
      </c>
      <c r="B8253">
        <v>1</v>
      </c>
      <c r="C8253">
        <v>5</v>
      </c>
      <c r="D8253">
        <v>19</v>
      </c>
    </row>
    <row r="8254" spans="1:4" x14ac:dyDescent="0.25">
      <c r="A8254" s="1">
        <v>42223</v>
      </c>
      <c r="B8254">
        <v>1</v>
      </c>
      <c r="C8254">
        <v>5</v>
      </c>
      <c r="D8254">
        <v>30</v>
      </c>
    </row>
    <row r="8255" spans="1:4" x14ac:dyDescent="0.25">
      <c r="A8255" s="1">
        <v>42224</v>
      </c>
      <c r="B8255">
        <v>1</v>
      </c>
      <c r="C8255">
        <v>5</v>
      </c>
      <c r="D8255">
        <v>22</v>
      </c>
    </row>
    <row r="8256" spans="1:4" x14ac:dyDescent="0.25">
      <c r="A8256" s="1">
        <v>42225</v>
      </c>
      <c r="B8256">
        <v>1</v>
      </c>
      <c r="C8256">
        <v>5</v>
      </c>
      <c r="D8256">
        <v>24</v>
      </c>
    </row>
    <row r="8257" spans="1:4" x14ac:dyDescent="0.25">
      <c r="A8257" s="1">
        <v>42226</v>
      </c>
      <c r="B8257">
        <v>1</v>
      </c>
      <c r="C8257">
        <v>5</v>
      </c>
      <c r="D8257">
        <v>10</v>
      </c>
    </row>
    <row r="8258" spans="1:4" x14ac:dyDescent="0.25">
      <c r="A8258" s="1">
        <v>42227</v>
      </c>
      <c r="B8258">
        <v>1</v>
      </c>
      <c r="C8258">
        <v>5</v>
      </c>
      <c r="D8258">
        <v>15</v>
      </c>
    </row>
    <row r="8259" spans="1:4" x14ac:dyDescent="0.25">
      <c r="A8259" s="1">
        <v>42228</v>
      </c>
      <c r="B8259">
        <v>1</v>
      </c>
      <c r="C8259">
        <v>5</v>
      </c>
      <c r="D8259">
        <v>22</v>
      </c>
    </row>
    <row r="8260" spans="1:4" x14ac:dyDescent="0.25">
      <c r="A8260" s="1">
        <v>42229</v>
      </c>
      <c r="B8260">
        <v>1</v>
      </c>
      <c r="C8260">
        <v>5</v>
      </c>
      <c r="D8260">
        <v>19</v>
      </c>
    </row>
    <row r="8261" spans="1:4" x14ac:dyDescent="0.25">
      <c r="A8261" s="1">
        <v>42230</v>
      </c>
      <c r="B8261">
        <v>1</v>
      </c>
      <c r="C8261">
        <v>5</v>
      </c>
      <c r="D8261">
        <v>19</v>
      </c>
    </row>
    <row r="8262" spans="1:4" x14ac:dyDescent="0.25">
      <c r="A8262" s="1">
        <v>42231</v>
      </c>
      <c r="B8262">
        <v>1</v>
      </c>
      <c r="C8262">
        <v>5</v>
      </c>
      <c r="D8262">
        <v>24</v>
      </c>
    </row>
    <row r="8263" spans="1:4" x14ac:dyDescent="0.25">
      <c r="A8263" s="1">
        <v>42232</v>
      </c>
      <c r="B8263">
        <v>1</v>
      </c>
      <c r="C8263">
        <v>5</v>
      </c>
      <c r="D8263">
        <v>26</v>
      </c>
    </row>
    <row r="8264" spans="1:4" x14ac:dyDescent="0.25">
      <c r="A8264" s="1">
        <v>42233</v>
      </c>
      <c r="B8264">
        <v>1</v>
      </c>
      <c r="C8264">
        <v>5</v>
      </c>
      <c r="D8264">
        <v>10</v>
      </c>
    </row>
    <row r="8265" spans="1:4" x14ac:dyDescent="0.25">
      <c r="A8265" s="1">
        <v>42234</v>
      </c>
      <c r="B8265">
        <v>1</v>
      </c>
      <c r="C8265">
        <v>5</v>
      </c>
      <c r="D8265">
        <v>22</v>
      </c>
    </row>
    <row r="8266" spans="1:4" x14ac:dyDescent="0.25">
      <c r="A8266" s="1">
        <v>42235</v>
      </c>
      <c r="B8266">
        <v>1</v>
      </c>
      <c r="C8266">
        <v>5</v>
      </c>
      <c r="D8266">
        <v>19</v>
      </c>
    </row>
    <row r="8267" spans="1:4" x14ac:dyDescent="0.25">
      <c r="A8267" s="1">
        <v>42236</v>
      </c>
      <c r="B8267">
        <v>1</v>
      </c>
      <c r="C8267">
        <v>5</v>
      </c>
      <c r="D8267">
        <v>20</v>
      </c>
    </row>
    <row r="8268" spans="1:4" x14ac:dyDescent="0.25">
      <c r="A8268" s="1">
        <v>42237</v>
      </c>
      <c r="B8268">
        <v>1</v>
      </c>
      <c r="C8268">
        <v>5</v>
      </c>
      <c r="D8268">
        <v>23</v>
      </c>
    </row>
    <row r="8269" spans="1:4" x14ac:dyDescent="0.25">
      <c r="A8269" s="1">
        <v>42238</v>
      </c>
      <c r="B8269">
        <v>1</v>
      </c>
      <c r="C8269">
        <v>5</v>
      </c>
      <c r="D8269">
        <v>18</v>
      </c>
    </row>
    <row r="8270" spans="1:4" x14ac:dyDescent="0.25">
      <c r="A8270" s="1">
        <v>42239</v>
      </c>
      <c r="B8270">
        <v>1</v>
      </c>
      <c r="C8270">
        <v>5</v>
      </c>
      <c r="D8270">
        <v>24</v>
      </c>
    </row>
    <row r="8271" spans="1:4" x14ac:dyDescent="0.25">
      <c r="A8271" s="1">
        <v>42240</v>
      </c>
      <c r="B8271">
        <v>1</v>
      </c>
      <c r="C8271">
        <v>5</v>
      </c>
      <c r="D8271">
        <v>17</v>
      </c>
    </row>
    <row r="8272" spans="1:4" x14ac:dyDescent="0.25">
      <c r="A8272" s="1">
        <v>42241</v>
      </c>
      <c r="B8272">
        <v>1</v>
      </c>
      <c r="C8272">
        <v>5</v>
      </c>
      <c r="D8272">
        <v>20</v>
      </c>
    </row>
    <row r="8273" spans="1:4" x14ac:dyDescent="0.25">
      <c r="A8273" s="1">
        <v>42242</v>
      </c>
      <c r="B8273">
        <v>1</v>
      </c>
      <c r="C8273">
        <v>5</v>
      </c>
      <c r="D8273">
        <v>21</v>
      </c>
    </row>
    <row r="8274" spans="1:4" x14ac:dyDescent="0.25">
      <c r="A8274" s="1">
        <v>42243</v>
      </c>
      <c r="B8274">
        <v>1</v>
      </c>
      <c r="C8274">
        <v>5</v>
      </c>
      <c r="D8274">
        <v>23</v>
      </c>
    </row>
    <row r="8275" spans="1:4" x14ac:dyDescent="0.25">
      <c r="A8275" s="1">
        <v>42244</v>
      </c>
      <c r="B8275">
        <v>1</v>
      </c>
      <c r="C8275">
        <v>5</v>
      </c>
      <c r="D8275">
        <v>20</v>
      </c>
    </row>
    <row r="8276" spans="1:4" x14ac:dyDescent="0.25">
      <c r="A8276" s="1">
        <v>42245</v>
      </c>
      <c r="B8276">
        <v>1</v>
      </c>
      <c r="C8276">
        <v>5</v>
      </c>
      <c r="D8276">
        <v>17</v>
      </c>
    </row>
    <row r="8277" spans="1:4" x14ac:dyDescent="0.25">
      <c r="A8277" s="1">
        <v>42246</v>
      </c>
      <c r="B8277">
        <v>1</v>
      </c>
      <c r="C8277">
        <v>5</v>
      </c>
      <c r="D8277">
        <v>26</v>
      </c>
    </row>
    <row r="8278" spans="1:4" x14ac:dyDescent="0.25">
      <c r="A8278" s="1">
        <v>42247</v>
      </c>
      <c r="B8278">
        <v>1</v>
      </c>
      <c r="C8278">
        <v>5</v>
      </c>
      <c r="D8278">
        <v>14</v>
      </c>
    </row>
    <row r="8279" spans="1:4" x14ac:dyDescent="0.25">
      <c r="A8279" s="1">
        <v>42248</v>
      </c>
      <c r="B8279">
        <v>1</v>
      </c>
      <c r="C8279">
        <v>5</v>
      </c>
      <c r="D8279">
        <v>23</v>
      </c>
    </row>
    <row r="8280" spans="1:4" x14ac:dyDescent="0.25">
      <c r="A8280" s="1">
        <v>42249</v>
      </c>
      <c r="B8280">
        <v>1</v>
      </c>
      <c r="C8280">
        <v>5</v>
      </c>
      <c r="D8280">
        <v>15</v>
      </c>
    </row>
    <row r="8281" spans="1:4" x14ac:dyDescent="0.25">
      <c r="A8281" s="1">
        <v>42250</v>
      </c>
      <c r="B8281">
        <v>1</v>
      </c>
      <c r="C8281">
        <v>5</v>
      </c>
      <c r="D8281">
        <v>16</v>
      </c>
    </row>
    <row r="8282" spans="1:4" x14ac:dyDescent="0.25">
      <c r="A8282" s="1">
        <v>42251</v>
      </c>
      <c r="B8282">
        <v>1</v>
      </c>
      <c r="C8282">
        <v>5</v>
      </c>
      <c r="D8282">
        <v>18</v>
      </c>
    </row>
    <row r="8283" spans="1:4" x14ac:dyDescent="0.25">
      <c r="A8283" s="1">
        <v>42252</v>
      </c>
      <c r="B8283">
        <v>1</v>
      </c>
      <c r="C8283">
        <v>5</v>
      </c>
      <c r="D8283">
        <v>22</v>
      </c>
    </row>
    <row r="8284" spans="1:4" x14ac:dyDescent="0.25">
      <c r="A8284" s="1">
        <v>42253</v>
      </c>
      <c r="B8284">
        <v>1</v>
      </c>
      <c r="C8284">
        <v>5</v>
      </c>
      <c r="D8284">
        <v>14</v>
      </c>
    </row>
    <row r="8285" spans="1:4" x14ac:dyDescent="0.25">
      <c r="A8285" s="1">
        <v>42254</v>
      </c>
      <c r="B8285">
        <v>1</v>
      </c>
      <c r="C8285">
        <v>5</v>
      </c>
      <c r="D8285">
        <v>18</v>
      </c>
    </row>
    <row r="8286" spans="1:4" x14ac:dyDescent="0.25">
      <c r="A8286" s="1">
        <v>42255</v>
      </c>
      <c r="B8286">
        <v>1</v>
      </c>
      <c r="C8286">
        <v>5</v>
      </c>
      <c r="D8286">
        <v>11</v>
      </c>
    </row>
    <row r="8287" spans="1:4" x14ac:dyDescent="0.25">
      <c r="A8287" s="1">
        <v>42256</v>
      </c>
      <c r="B8287">
        <v>1</v>
      </c>
      <c r="C8287">
        <v>5</v>
      </c>
      <c r="D8287">
        <v>14</v>
      </c>
    </row>
    <row r="8288" spans="1:4" x14ac:dyDescent="0.25">
      <c r="A8288" s="1">
        <v>42257</v>
      </c>
      <c r="B8288">
        <v>1</v>
      </c>
      <c r="C8288">
        <v>5</v>
      </c>
      <c r="D8288">
        <v>23</v>
      </c>
    </row>
    <row r="8289" spans="1:4" x14ac:dyDescent="0.25">
      <c r="A8289" s="1">
        <v>42258</v>
      </c>
      <c r="B8289">
        <v>1</v>
      </c>
      <c r="C8289">
        <v>5</v>
      </c>
      <c r="D8289">
        <v>17</v>
      </c>
    </row>
    <row r="8290" spans="1:4" x14ac:dyDescent="0.25">
      <c r="A8290" s="1">
        <v>42259</v>
      </c>
      <c r="B8290">
        <v>1</v>
      </c>
      <c r="C8290">
        <v>5</v>
      </c>
      <c r="D8290">
        <v>22</v>
      </c>
    </row>
    <row r="8291" spans="1:4" x14ac:dyDescent="0.25">
      <c r="A8291" s="1">
        <v>42260</v>
      </c>
      <c r="B8291">
        <v>1</v>
      </c>
      <c r="C8291">
        <v>5</v>
      </c>
      <c r="D8291">
        <v>18</v>
      </c>
    </row>
    <row r="8292" spans="1:4" x14ac:dyDescent="0.25">
      <c r="A8292" s="1">
        <v>42261</v>
      </c>
      <c r="B8292">
        <v>1</v>
      </c>
      <c r="C8292">
        <v>5</v>
      </c>
      <c r="D8292">
        <v>18</v>
      </c>
    </row>
    <row r="8293" spans="1:4" x14ac:dyDescent="0.25">
      <c r="A8293" s="1">
        <v>42262</v>
      </c>
      <c r="B8293">
        <v>1</v>
      </c>
      <c r="C8293">
        <v>5</v>
      </c>
      <c r="D8293">
        <v>13</v>
      </c>
    </row>
    <row r="8294" spans="1:4" x14ac:dyDescent="0.25">
      <c r="A8294" s="1">
        <v>42263</v>
      </c>
      <c r="B8294">
        <v>1</v>
      </c>
      <c r="C8294">
        <v>5</v>
      </c>
      <c r="D8294">
        <v>16</v>
      </c>
    </row>
    <row r="8295" spans="1:4" x14ac:dyDescent="0.25">
      <c r="A8295" s="1">
        <v>42264</v>
      </c>
      <c r="B8295">
        <v>1</v>
      </c>
      <c r="C8295">
        <v>5</v>
      </c>
      <c r="D8295">
        <v>14</v>
      </c>
    </row>
    <row r="8296" spans="1:4" x14ac:dyDescent="0.25">
      <c r="A8296" s="1">
        <v>42265</v>
      </c>
      <c r="B8296">
        <v>1</v>
      </c>
      <c r="C8296">
        <v>5</v>
      </c>
      <c r="D8296">
        <v>14</v>
      </c>
    </row>
    <row r="8297" spans="1:4" x14ac:dyDescent="0.25">
      <c r="A8297" s="1">
        <v>42266</v>
      </c>
      <c r="B8297">
        <v>1</v>
      </c>
      <c r="C8297">
        <v>5</v>
      </c>
      <c r="D8297">
        <v>11</v>
      </c>
    </row>
    <row r="8298" spans="1:4" x14ac:dyDescent="0.25">
      <c r="A8298" s="1">
        <v>42267</v>
      </c>
      <c r="B8298">
        <v>1</v>
      </c>
      <c r="C8298">
        <v>5</v>
      </c>
      <c r="D8298">
        <v>22</v>
      </c>
    </row>
    <row r="8299" spans="1:4" x14ac:dyDescent="0.25">
      <c r="A8299" s="1">
        <v>42268</v>
      </c>
      <c r="B8299">
        <v>1</v>
      </c>
      <c r="C8299">
        <v>5</v>
      </c>
      <c r="D8299">
        <v>12</v>
      </c>
    </row>
    <row r="8300" spans="1:4" x14ac:dyDescent="0.25">
      <c r="A8300" s="1">
        <v>42269</v>
      </c>
      <c r="B8300">
        <v>1</v>
      </c>
      <c r="C8300">
        <v>5</v>
      </c>
      <c r="D8300">
        <v>13</v>
      </c>
    </row>
    <row r="8301" spans="1:4" x14ac:dyDescent="0.25">
      <c r="A8301" s="1">
        <v>42270</v>
      </c>
      <c r="B8301">
        <v>1</v>
      </c>
      <c r="C8301">
        <v>5</v>
      </c>
      <c r="D8301">
        <v>15</v>
      </c>
    </row>
    <row r="8302" spans="1:4" x14ac:dyDescent="0.25">
      <c r="A8302" s="1">
        <v>42271</v>
      </c>
      <c r="B8302">
        <v>1</v>
      </c>
      <c r="C8302">
        <v>5</v>
      </c>
      <c r="D8302">
        <v>14</v>
      </c>
    </row>
    <row r="8303" spans="1:4" x14ac:dyDescent="0.25">
      <c r="A8303" s="1">
        <v>42272</v>
      </c>
      <c r="B8303">
        <v>1</v>
      </c>
      <c r="C8303">
        <v>5</v>
      </c>
      <c r="D8303">
        <v>20</v>
      </c>
    </row>
    <row r="8304" spans="1:4" x14ac:dyDescent="0.25">
      <c r="A8304" s="1">
        <v>42273</v>
      </c>
      <c r="B8304">
        <v>1</v>
      </c>
      <c r="C8304">
        <v>5</v>
      </c>
      <c r="D8304">
        <v>24</v>
      </c>
    </row>
    <row r="8305" spans="1:4" x14ac:dyDescent="0.25">
      <c r="A8305" s="1">
        <v>42274</v>
      </c>
      <c r="B8305">
        <v>1</v>
      </c>
      <c r="C8305">
        <v>5</v>
      </c>
      <c r="D8305">
        <v>26</v>
      </c>
    </row>
    <row r="8306" spans="1:4" x14ac:dyDescent="0.25">
      <c r="A8306" s="1">
        <v>42275</v>
      </c>
      <c r="B8306">
        <v>1</v>
      </c>
      <c r="C8306">
        <v>5</v>
      </c>
      <c r="D8306">
        <v>17</v>
      </c>
    </row>
    <row r="8307" spans="1:4" x14ac:dyDescent="0.25">
      <c r="A8307" s="1">
        <v>42276</v>
      </c>
      <c r="B8307">
        <v>1</v>
      </c>
      <c r="C8307">
        <v>5</v>
      </c>
      <c r="D8307">
        <v>15</v>
      </c>
    </row>
    <row r="8308" spans="1:4" x14ac:dyDescent="0.25">
      <c r="A8308" s="1">
        <v>42277</v>
      </c>
      <c r="B8308">
        <v>1</v>
      </c>
      <c r="C8308">
        <v>5</v>
      </c>
      <c r="D8308">
        <v>16</v>
      </c>
    </row>
    <row r="8309" spans="1:4" x14ac:dyDescent="0.25">
      <c r="A8309" s="1">
        <v>42278</v>
      </c>
      <c r="B8309">
        <v>1</v>
      </c>
      <c r="C8309">
        <v>5</v>
      </c>
      <c r="D8309">
        <v>12</v>
      </c>
    </row>
    <row r="8310" spans="1:4" x14ac:dyDescent="0.25">
      <c r="A8310" s="1">
        <v>42279</v>
      </c>
      <c r="B8310">
        <v>1</v>
      </c>
      <c r="C8310">
        <v>5</v>
      </c>
      <c r="D8310">
        <v>10</v>
      </c>
    </row>
    <row r="8311" spans="1:4" x14ac:dyDescent="0.25">
      <c r="A8311" s="1">
        <v>42280</v>
      </c>
      <c r="B8311">
        <v>1</v>
      </c>
      <c r="C8311">
        <v>5</v>
      </c>
      <c r="D8311">
        <v>16</v>
      </c>
    </row>
    <row r="8312" spans="1:4" x14ac:dyDescent="0.25">
      <c r="A8312" s="1">
        <v>42281</v>
      </c>
      <c r="B8312">
        <v>1</v>
      </c>
      <c r="C8312">
        <v>5</v>
      </c>
      <c r="D8312">
        <v>11</v>
      </c>
    </row>
    <row r="8313" spans="1:4" x14ac:dyDescent="0.25">
      <c r="A8313" s="1">
        <v>42282</v>
      </c>
      <c r="B8313">
        <v>1</v>
      </c>
      <c r="C8313">
        <v>5</v>
      </c>
      <c r="D8313">
        <v>17</v>
      </c>
    </row>
    <row r="8314" spans="1:4" x14ac:dyDescent="0.25">
      <c r="A8314" s="1">
        <v>42283</v>
      </c>
      <c r="B8314">
        <v>1</v>
      </c>
      <c r="C8314">
        <v>5</v>
      </c>
      <c r="D8314">
        <v>17</v>
      </c>
    </row>
    <row r="8315" spans="1:4" x14ac:dyDescent="0.25">
      <c r="A8315" s="1">
        <v>42284</v>
      </c>
      <c r="B8315">
        <v>1</v>
      </c>
      <c r="C8315">
        <v>5</v>
      </c>
      <c r="D8315">
        <v>13</v>
      </c>
    </row>
    <row r="8316" spans="1:4" x14ac:dyDescent="0.25">
      <c r="A8316" s="1">
        <v>42285</v>
      </c>
      <c r="B8316">
        <v>1</v>
      </c>
      <c r="C8316">
        <v>5</v>
      </c>
      <c r="D8316">
        <v>21</v>
      </c>
    </row>
    <row r="8317" spans="1:4" x14ac:dyDescent="0.25">
      <c r="A8317" s="1">
        <v>42286</v>
      </c>
      <c r="B8317">
        <v>1</v>
      </c>
      <c r="C8317">
        <v>5</v>
      </c>
      <c r="D8317">
        <v>17</v>
      </c>
    </row>
    <row r="8318" spans="1:4" x14ac:dyDescent="0.25">
      <c r="A8318" s="1">
        <v>42287</v>
      </c>
      <c r="B8318">
        <v>1</v>
      </c>
      <c r="C8318">
        <v>5</v>
      </c>
      <c r="D8318">
        <v>22</v>
      </c>
    </row>
    <row r="8319" spans="1:4" x14ac:dyDescent="0.25">
      <c r="A8319" s="1">
        <v>42288</v>
      </c>
      <c r="B8319">
        <v>1</v>
      </c>
      <c r="C8319">
        <v>5</v>
      </c>
      <c r="D8319">
        <v>19</v>
      </c>
    </row>
    <row r="8320" spans="1:4" x14ac:dyDescent="0.25">
      <c r="A8320" s="1">
        <v>42289</v>
      </c>
      <c r="B8320">
        <v>1</v>
      </c>
      <c r="C8320">
        <v>5</v>
      </c>
      <c r="D8320">
        <v>9</v>
      </c>
    </row>
    <row r="8321" spans="1:4" x14ac:dyDescent="0.25">
      <c r="A8321" s="1">
        <v>42290</v>
      </c>
      <c r="B8321">
        <v>1</v>
      </c>
      <c r="C8321">
        <v>5</v>
      </c>
      <c r="D8321">
        <v>6</v>
      </c>
    </row>
    <row r="8322" spans="1:4" x14ac:dyDescent="0.25">
      <c r="A8322" s="1">
        <v>42291</v>
      </c>
      <c r="B8322">
        <v>1</v>
      </c>
      <c r="C8322">
        <v>5</v>
      </c>
      <c r="D8322">
        <v>12</v>
      </c>
    </row>
    <row r="8323" spans="1:4" x14ac:dyDescent="0.25">
      <c r="A8323" s="1">
        <v>42292</v>
      </c>
      <c r="B8323">
        <v>1</v>
      </c>
      <c r="C8323">
        <v>5</v>
      </c>
      <c r="D8323">
        <v>15</v>
      </c>
    </row>
    <row r="8324" spans="1:4" x14ac:dyDescent="0.25">
      <c r="A8324" s="1">
        <v>42293</v>
      </c>
      <c r="B8324">
        <v>1</v>
      </c>
      <c r="C8324">
        <v>5</v>
      </c>
      <c r="D8324">
        <v>12</v>
      </c>
    </row>
    <row r="8325" spans="1:4" x14ac:dyDescent="0.25">
      <c r="A8325" s="1">
        <v>42294</v>
      </c>
      <c r="B8325">
        <v>1</v>
      </c>
      <c r="C8325">
        <v>5</v>
      </c>
      <c r="D8325">
        <v>17</v>
      </c>
    </row>
    <row r="8326" spans="1:4" x14ac:dyDescent="0.25">
      <c r="A8326" s="1">
        <v>42295</v>
      </c>
      <c r="B8326">
        <v>1</v>
      </c>
      <c r="C8326">
        <v>5</v>
      </c>
      <c r="D8326">
        <v>26</v>
      </c>
    </row>
    <row r="8327" spans="1:4" x14ac:dyDescent="0.25">
      <c r="A8327" s="1">
        <v>42296</v>
      </c>
      <c r="B8327">
        <v>1</v>
      </c>
      <c r="C8327">
        <v>5</v>
      </c>
      <c r="D8327">
        <v>14</v>
      </c>
    </row>
    <row r="8328" spans="1:4" x14ac:dyDescent="0.25">
      <c r="A8328" s="1">
        <v>42297</v>
      </c>
      <c r="B8328">
        <v>1</v>
      </c>
      <c r="C8328">
        <v>5</v>
      </c>
      <c r="D8328">
        <v>14</v>
      </c>
    </row>
    <row r="8329" spans="1:4" x14ac:dyDescent="0.25">
      <c r="A8329" s="1">
        <v>42298</v>
      </c>
      <c r="B8329">
        <v>1</v>
      </c>
      <c r="C8329">
        <v>5</v>
      </c>
      <c r="D8329">
        <v>14</v>
      </c>
    </row>
    <row r="8330" spans="1:4" x14ac:dyDescent="0.25">
      <c r="A8330" s="1">
        <v>42299</v>
      </c>
      <c r="B8330">
        <v>1</v>
      </c>
      <c r="C8330">
        <v>5</v>
      </c>
      <c r="D8330">
        <v>20</v>
      </c>
    </row>
    <row r="8331" spans="1:4" x14ac:dyDescent="0.25">
      <c r="A8331" s="1">
        <v>42300</v>
      </c>
      <c r="B8331">
        <v>1</v>
      </c>
      <c r="C8331">
        <v>5</v>
      </c>
      <c r="D8331">
        <v>17</v>
      </c>
    </row>
    <row r="8332" spans="1:4" x14ac:dyDescent="0.25">
      <c r="A8332" s="1">
        <v>42301</v>
      </c>
      <c r="B8332">
        <v>1</v>
      </c>
      <c r="C8332">
        <v>5</v>
      </c>
      <c r="D8332">
        <v>20</v>
      </c>
    </row>
    <row r="8333" spans="1:4" x14ac:dyDescent="0.25">
      <c r="A8333" s="1">
        <v>42302</v>
      </c>
      <c r="B8333">
        <v>1</v>
      </c>
      <c r="C8333">
        <v>5</v>
      </c>
      <c r="D8333">
        <v>23</v>
      </c>
    </row>
    <row r="8334" spans="1:4" x14ac:dyDescent="0.25">
      <c r="A8334" s="1">
        <v>42303</v>
      </c>
      <c r="B8334">
        <v>1</v>
      </c>
      <c r="C8334">
        <v>5</v>
      </c>
      <c r="D8334">
        <v>7</v>
      </c>
    </row>
    <row r="8335" spans="1:4" x14ac:dyDescent="0.25">
      <c r="A8335" s="1">
        <v>42304</v>
      </c>
      <c r="B8335">
        <v>1</v>
      </c>
      <c r="C8335">
        <v>5</v>
      </c>
      <c r="D8335">
        <v>15</v>
      </c>
    </row>
    <row r="8336" spans="1:4" x14ac:dyDescent="0.25">
      <c r="A8336" s="1">
        <v>42305</v>
      </c>
      <c r="B8336">
        <v>1</v>
      </c>
      <c r="C8336">
        <v>5</v>
      </c>
      <c r="D8336">
        <v>20</v>
      </c>
    </row>
    <row r="8337" spans="1:4" x14ac:dyDescent="0.25">
      <c r="A8337" s="1">
        <v>42306</v>
      </c>
      <c r="B8337">
        <v>1</v>
      </c>
      <c r="C8337">
        <v>5</v>
      </c>
      <c r="D8337">
        <v>15</v>
      </c>
    </row>
    <row r="8338" spans="1:4" x14ac:dyDescent="0.25">
      <c r="A8338" s="1">
        <v>42307</v>
      </c>
      <c r="B8338">
        <v>1</v>
      </c>
      <c r="C8338">
        <v>5</v>
      </c>
      <c r="D8338">
        <v>18</v>
      </c>
    </row>
    <row r="8339" spans="1:4" x14ac:dyDescent="0.25">
      <c r="A8339" s="1">
        <v>42308</v>
      </c>
      <c r="B8339">
        <v>1</v>
      </c>
      <c r="C8339">
        <v>5</v>
      </c>
      <c r="D8339">
        <v>17</v>
      </c>
    </row>
    <row r="8340" spans="1:4" x14ac:dyDescent="0.25">
      <c r="A8340" s="1">
        <v>42309</v>
      </c>
      <c r="B8340">
        <v>1</v>
      </c>
      <c r="C8340">
        <v>5</v>
      </c>
      <c r="D8340">
        <v>13</v>
      </c>
    </row>
    <row r="8341" spans="1:4" x14ac:dyDescent="0.25">
      <c r="A8341" s="1">
        <v>42310</v>
      </c>
      <c r="B8341">
        <v>1</v>
      </c>
      <c r="C8341">
        <v>5</v>
      </c>
      <c r="D8341">
        <v>13</v>
      </c>
    </row>
    <row r="8342" spans="1:4" x14ac:dyDescent="0.25">
      <c r="A8342" s="1">
        <v>42311</v>
      </c>
      <c r="B8342">
        <v>1</v>
      </c>
      <c r="C8342">
        <v>5</v>
      </c>
      <c r="D8342">
        <v>21</v>
      </c>
    </row>
    <row r="8343" spans="1:4" x14ac:dyDescent="0.25">
      <c r="A8343" s="1">
        <v>42312</v>
      </c>
      <c r="B8343">
        <v>1</v>
      </c>
      <c r="C8343">
        <v>5</v>
      </c>
      <c r="D8343">
        <v>15</v>
      </c>
    </row>
    <row r="8344" spans="1:4" x14ac:dyDescent="0.25">
      <c r="A8344" s="1">
        <v>42313</v>
      </c>
      <c r="B8344">
        <v>1</v>
      </c>
      <c r="C8344">
        <v>5</v>
      </c>
      <c r="D8344">
        <v>16</v>
      </c>
    </row>
    <row r="8345" spans="1:4" x14ac:dyDescent="0.25">
      <c r="A8345" s="1">
        <v>42314</v>
      </c>
      <c r="B8345">
        <v>1</v>
      </c>
      <c r="C8345">
        <v>5</v>
      </c>
      <c r="D8345">
        <v>16</v>
      </c>
    </row>
    <row r="8346" spans="1:4" x14ac:dyDescent="0.25">
      <c r="A8346" s="1">
        <v>42315</v>
      </c>
      <c r="B8346">
        <v>1</v>
      </c>
      <c r="C8346">
        <v>5</v>
      </c>
      <c r="D8346">
        <v>19</v>
      </c>
    </row>
    <row r="8347" spans="1:4" x14ac:dyDescent="0.25">
      <c r="A8347" s="1">
        <v>42316</v>
      </c>
      <c r="B8347">
        <v>1</v>
      </c>
      <c r="C8347">
        <v>5</v>
      </c>
      <c r="D8347">
        <v>26</v>
      </c>
    </row>
    <row r="8348" spans="1:4" x14ac:dyDescent="0.25">
      <c r="A8348" s="1">
        <v>42317</v>
      </c>
      <c r="B8348">
        <v>1</v>
      </c>
      <c r="C8348">
        <v>5</v>
      </c>
      <c r="D8348">
        <v>3</v>
      </c>
    </row>
    <row r="8349" spans="1:4" x14ac:dyDescent="0.25">
      <c r="A8349" s="1">
        <v>42318</v>
      </c>
      <c r="B8349">
        <v>1</v>
      </c>
      <c r="C8349">
        <v>5</v>
      </c>
      <c r="D8349">
        <v>14</v>
      </c>
    </row>
    <row r="8350" spans="1:4" x14ac:dyDescent="0.25">
      <c r="A8350" s="1">
        <v>42319</v>
      </c>
      <c r="B8350">
        <v>1</v>
      </c>
      <c r="C8350">
        <v>5</v>
      </c>
      <c r="D8350">
        <v>13</v>
      </c>
    </row>
    <row r="8351" spans="1:4" x14ac:dyDescent="0.25">
      <c r="A8351" s="1">
        <v>42320</v>
      </c>
      <c r="B8351">
        <v>1</v>
      </c>
      <c r="C8351">
        <v>5</v>
      </c>
      <c r="D8351">
        <v>19</v>
      </c>
    </row>
    <row r="8352" spans="1:4" x14ac:dyDescent="0.25">
      <c r="A8352" s="1">
        <v>42321</v>
      </c>
      <c r="B8352">
        <v>1</v>
      </c>
      <c r="C8352">
        <v>5</v>
      </c>
      <c r="D8352">
        <v>11</v>
      </c>
    </row>
    <row r="8353" spans="1:4" x14ac:dyDescent="0.25">
      <c r="A8353" s="1">
        <v>42322</v>
      </c>
      <c r="B8353">
        <v>1</v>
      </c>
      <c r="C8353">
        <v>5</v>
      </c>
      <c r="D8353">
        <v>12</v>
      </c>
    </row>
    <row r="8354" spans="1:4" x14ac:dyDescent="0.25">
      <c r="A8354" s="1">
        <v>42323</v>
      </c>
      <c r="B8354">
        <v>1</v>
      </c>
      <c r="C8354">
        <v>5</v>
      </c>
      <c r="D8354">
        <v>17</v>
      </c>
    </row>
    <row r="8355" spans="1:4" x14ac:dyDescent="0.25">
      <c r="A8355" s="1">
        <v>42324</v>
      </c>
      <c r="B8355">
        <v>1</v>
      </c>
      <c r="C8355">
        <v>5</v>
      </c>
      <c r="D8355">
        <v>14</v>
      </c>
    </row>
    <row r="8356" spans="1:4" x14ac:dyDescent="0.25">
      <c r="A8356" s="1">
        <v>42325</v>
      </c>
      <c r="B8356">
        <v>1</v>
      </c>
      <c r="C8356">
        <v>5</v>
      </c>
      <c r="D8356">
        <v>15</v>
      </c>
    </row>
    <row r="8357" spans="1:4" x14ac:dyDescent="0.25">
      <c r="A8357" s="1">
        <v>42326</v>
      </c>
      <c r="B8357">
        <v>1</v>
      </c>
      <c r="C8357">
        <v>5</v>
      </c>
      <c r="D8357">
        <v>11</v>
      </c>
    </row>
    <row r="8358" spans="1:4" x14ac:dyDescent="0.25">
      <c r="A8358" s="1">
        <v>42327</v>
      </c>
      <c r="B8358">
        <v>1</v>
      </c>
      <c r="C8358">
        <v>5</v>
      </c>
      <c r="D8358">
        <v>18</v>
      </c>
    </row>
    <row r="8359" spans="1:4" x14ac:dyDescent="0.25">
      <c r="A8359" s="1">
        <v>42328</v>
      </c>
      <c r="B8359">
        <v>1</v>
      </c>
      <c r="C8359">
        <v>5</v>
      </c>
      <c r="D8359">
        <v>23</v>
      </c>
    </row>
    <row r="8360" spans="1:4" x14ac:dyDescent="0.25">
      <c r="A8360" s="1">
        <v>42329</v>
      </c>
      <c r="B8360">
        <v>1</v>
      </c>
      <c r="C8360">
        <v>5</v>
      </c>
      <c r="D8360">
        <v>22</v>
      </c>
    </row>
    <row r="8361" spans="1:4" x14ac:dyDescent="0.25">
      <c r="A8361" s="1">
        <v>42330</v>
      </c>
      <c r="B8361">
        <v>1</v>
      </c>
      <c r="C8361">
        <v>5</v>
      </c>
      <c r="D8361">
        <v>19</v>
      </c>
    </row>
    <row r="8362" spans="1:4" x14ac:dyDescent="0.25">
      <c r="A8362" s="1">
        <v>42331</v>
      </c>
      <c r="B8362">
        <v>1</v>
      </c>
      <c r="C8362">
        <v>5</v>
      </c>
      <c r="D8362">
        <v>11</v>
      </c>
    </row>
    <row r="8363" spans="1:4" x14ac:dyDescent="0.25">
      <c r="A8363" s="1">
        <v>42332</v>
      </c>
      <c r="B8363">
        <v>1</v>
      </c>
      <c r="C8363">
        <v>5</v>
      </c>
      <c r="D8363">
        <v>16</v>
      </c>
    </row>
    <row r="8364" spans="1:4" x14ac:dyDescent="0.25">
      <c r="A8364" s="1">
        <v>42333</v>
      </c>
      <c r="B8364">
        <v>1</v>
      </c>
      <c r="C8364">
        <v>5</v>
      </c>
      <c r="D8364">
        <v>17</v>
      </c>
    </row>
    <row r="8365" spans="1:4" x14ac:dyDescent="0.25">
      <c r="A8365" s="1">
        <v>42334</v>
      </c>
      <c r="B8365">
        <v>1</v>
      </c>
      <c r="C8365">
        <v>5</v>
      </c>
      <c r="D8365">
        <v>24</v>
      </c>
    </row>
    <row r="8366" spans="1:4" x14ac:dyDescent="0.25">
      <c r="A8366" s="1">
        <v>42335</v>
      </c>
      <c r="B8366">
        <v>1</v>
      </c>
      <c r="C8366">
        <v>5</v>
      </c>
      <c r="D8366">
        <v>28</v>
      </c>
    </row>
    <row r="8367" spans="1:4" x14ac:dyDescent="0.25">
      <c r="A8367" s="1">
        <v>42336</v>
      </c>
      <c r="B8367">
        <v>1</v>
      </c>
      <c r="C8367">
        <v>5</v>
      </c>
      <c r="D8367">
        <v>19</v>
      </c>
    </row>
    <row r="8368" spans="1:4" x14ac:dyDescent="0.25">
      <c r="A8368" s="1">
        <v>42337</v>
      </c>
      <c r="B8368">
        <v>1</v>
      </c>
      <c r="C8368">
        <v>5</v>
      </c>
      <c r="D8368">
        <v>30</v>
      </c>
    </row>
    <row r="8369" spans="1:4" x14ac:dyDescent="0.25">
      <c r="A8369" s="1">
        <v>42338</v>
      </c>
      <c r="B8369">
        <v>1</v>
      </c>
      <c r="C8369">
        <v>5</v>
      </c>
      <c r="D8369">
        <v>14</v>
      </c>
    </row>
    <row r="8370" spans="1:4" x14ac:dyDescent="0.25">
      <c r="A8370" s="1">
        <v>42339</v>
      </c>
      <c r="B8370">
        <v>1</v>
      </c>
      <c r="C8370">
        <v>5</v>
      </c>
      <c r="D8370">
        <v>14</v>
      </c>
    </row>
    <row r="8371" spans="1:4" x14ac:dyDescent="0.25">
      <c r="A8371" s="1">
        <v>42340</v>
      </c>
      <c r="B8371">
        <v>1</v>
      </c>
      <c r="C8371">
        <v>5</v>
      </c>
      <c r="D8371">
        <v>7</v>
      </c>
    </row>
    <row r="8372" spans="1:4" x14ac:dyDescent="0.25">
      <c r="A8372" s="1">
        <v>42341</v>
      </c>
      <c r="B8372">
        <v>1</v>
      </c>
      <c r="C8372">
        <v>5</v>
      </c>
      <c r="D8372">
        <v>9</v>
      </c>
    </row>
    <row r="8373" spans="1:4" x14ac:dyDescent="0.25">
      <c r="A8373" s="1">
        <v>42342</v>
      </c>
      <c r="B8373">
        <v>1</v>
      </c>
      <c r="C8373">
        <v>5</v>
      </c>
      <c r="D8373">
        <v>17</v>
      </c>
    </row>
    <row r="8374" spans="1:4" x14ac:dyDescent="0.25">
      <c r="A8374" s="1">
        <v>42343</v>
      </c>
      <c r="B8374">
        <v>1</v>
      </c>
      <c r="C8374">
        <v>5</v>
      </c>
      <c r="D8374">
        <v>20</v>
      </c>
    </row>
    <row r="8375" spans="1:4" x14ac:dyDescent="0.25">
      <c r="A8375" s="1">
        <v>42344</v>
      </c>
      <c r="B8375">
        <v>1</v>
      </c>
      <c r="C8375">
        <v>5</v>
      </c>
      <c r="D8375">
        <v>14</v>
      </c>
    </row>
    <row r="8376" spans="1:4" x14ac:dyDescent="0.25">
      <c r="A8376" s="1">
        <v>42345</v>
      </c>
      <c r="B8376">
        <v>1</v>
      </c>
      <c r="C8376">
        <v>5</v>
      </c>
      <c r="D8376">
        <v>10</v>
      </c>
    </row>
    <row r="8377" spans="1:4" x14ac:dyDescent="0.25">
      <c r="A8377" s="1">
        <v>42346</v>
      </c>
      <c r="B8377">
        <v>1</v>
      </c>
      <c r="C8377">
        <v>5</v>
      </c>
      <c r="D8377">
        <v>7</v>
      </c>
    </row>
    <row r="8378" spans="1:4" x14ac:dyDescent="0.25">
      <c r="A8378" s="1">
        <v>42347</v>
      </c>
      <c r="B8378">
        <v>1</v>
      </c>
      <c r="C8378">
        <v>5</v>
      </c>
      <c r="D8378">
        <v>14</v>
      </c>
    </row>
    <row r="8379" spans="1:4" x14ac:dyDescent="0.25">
      <c r="A8379" s="1">
        <v>42348</v>
      </c>
      <c r="B8379">
        <v>1</v>
      </c>
      <c r="C8379">
        <v>5</v>
      </c>
      <c r="D8379">
        <v>18</v>
      </c>
    </row>
    <row r="8380" spans="1:4" x14ac:dyDescent="0.25">
      <c r="A8380" s="1">
        <v>42349</v>
      </c>
      <c r="B8380">
        <v>1</v>
      </c>
      <c r="C8380">
        <v>5</v>
      </c>
      <c r="D8380">
        <v>12</v>
      </c>
    </row>
    <row r="8381" spans="1:4" x14ac:dyDescent="0.25">
      <c r="A8381" s="1">
        <v>42350</v>
      </c>
      <c r="B8381">
        <v>1</v>
      </c>
      <c r="C8381">
        <v>5</v>
      </c>
      <c r="D8381">
        <v>8</v>
      </c>
    </row>
    <row r="8382" spans="1:4" x14ac:dyDescent="0.25">
      <c r="A8382" s="1">
        <v>42351</v>
      </c>
      <c r="B8382">
        <v>1</v>
      </c>
      <c r="C8382">
        <v>5</v>
      </c>
      <c r="D8382">
        <v>12</v>
      </c>
    </row>
    <row r="8383" spans="1:4" x14ac:dyDescent="0.25">
      <c r="A8383" s="1">
        <v>42352</v>
      </c>
      <c r="B8383">
        <v>1</v>
      </c>
      <c r="C8383">
        <v>5</v>
      </c>
      <c r="D8383">
        <v>9</v>
      </c>
    </row>
    <row r="8384" spans="1:4" x14ac:dyDescent="0.25">
      <c r="A8384" s="1">
        <v>42353</v>
      </c>
      <c r="B8384">
        <v>1</v>
      </c>
      <c r="C8384">
        <v>5</v>
      </c>
      <c r="D8384">
        <v>12</v>
      </c>
    </row>
    <row r="8385" spans="1:4" x14ac:dyDescent="0.25">
      <c r="A8385" s="1">
        <v>42354</v>
      </c>
      <c r="B8385">
        <v>1</v>
      </c>
      <c r="C8385">
        <v>5</v>
      </c>
      <c r="D8385">
        <v>10</v>
      </c>
    </row>
    <row r="8386" spans="1:4" x14ac:dyDescent="0.25">
      <c r="A8386" s="1">
        <v>42355</v>
      </c>
      <c r="B8386">
        <v>1</v>
      </c>
      <c r="C8386">
        <v>5</v>
      </c>
      <c r="D8386">
        <v>11</v>
      </c>
    </row>
    <row r="8387" spans="1:4" x14ac:dyDescent="0.25">
      <c r="A8387" s="1">
        <v>42356</v>
      </c>
      <c r="B8387">
        <v>1</v>
      </c>
      <c r="C8387">
        <v>5</v>
      </c>
      <c r="D8387">
        <v>12</v>
      </c>
    </row>
    <row r="8388" spans="1:4" x14ac:dyDescent="0.25">
      <c r="A8388" s="1">
        <v>42357</v>
      </c>
      <c r="B8388">
        <v>1</v>
      </c>
      <c r="C8388">
        <v>5</v>
      </c>
      <c r="D8388">
        <v>15</v>
      </c>
    </row>
    <row r="8389" spans="1:4" x14ac:dyDescent="0.25">
      <c r="A8389" s="1">
        <v>42358</v>
      </c>
      <c r="B8389">
        <v>1</v>
      </c>
      <c r="C8389">
        <v>5</v>
      </c>
      <c r="D8389">
        <v>16</v>
      </c>
    </row>
    <row r="8390" spans="1:4" x14ac:dyDescent="0.25">
      <c r="A8390" s="1">
        <v>42359</v>
      </c>
      <c r="B8390">
        <v>1</v>
      </c>
      <c r="C8390">
        <v>5</v>
      </c>
      <c r="D8390">
        <v>11</v>
      </c>
    </row>
    <row r="8391" spans="1:4" x14ac:dyDescent="0.25">
      <c r="A8391" s="1">
        <v>42360</v>
      </c>
      <c r="B8391">
        <v>1</v>
      </c>
      <c r="C8391">
        <v>5</v>
      </c>
      <c r="D8391">
        <v>15</v>
      </c>
    </row>
    <row r="8392" spans="1:4" x14ac:dyDescent="0.25">
      <c r="A8392" s="1">
        <v>42361</v>
      </c>
      <c r="B8392">
        <v>1</v>
      </c>
      <c r="C8392">
        <v>5</v>
      </c>
      <c r="D8392">
        <v>17</v>
      </c>
    </row>
    <row r="8393" spans="1:4" x14ac:dyDescent="0.25">
      <c r="A8393" s="1">
        <v>42362</v>
      </c>
      <c r="B8393">
        <v>1</v>
      </c>
      <c r="C8393">
        <v>5</v>
      </c>
      <c r="D8393">
        <v>12</v>
      </c>
    </row>
    <row r="8394" spans="1:4" x14ac:dyDescent="0.25">
      <c r="A8394" s="1">
        <v>42363</v>
      </c>
      <c r="B8394">
        <v>1</v>
      </c>
      <c r="C8394">
        <v>5</v>
      </c>
      <c r="D8394">
        <v>9</v>
      </c>
    </row>
    <row r="8395" spans="1:4" x14ac:dyDescent="0.25">
      <c r="A8395" s="1">
        <v>42364</v>
      </c>
      <c r="B8395">
        <v>1</v>
      </c>
      <c r="C8395">
        <v>5</v>
      </c>
      <c r="D8395">
        <v>19</v>
      </c>
    </row>
    <row r="8396" spans="1:4" x14ac:dyDescent="0.25">
      <c r="A8396" s="1">
        <v>42365</v>
      </c>
      <c r="B8396">
        <v>1</v>
      </c>
      <c r="C8396">
        <v>5</v>
      </c>
      <c r="D8396">
        <v>10</v>
      </c>
    </row>
    <row r="8397" spans="1:4" x14ac:dyDescent="0.25">
      <c r="A8397" s="1">
        <v>42366</v>
      </c>
      <c r="B8397">
        <v>1</v>
      </c>
      <c r="C8397">
        <v>5</v>
      </c>
      <c r="D8397">
        <v>10</v>
      </c>
    </row>
    <row r="8398" spans="1:4" x14ac:dyDescent="0.25">
      <c r="A8398" s="1">
        <v>42367</v>
      </c>
      <c r="B8398">
        <v>1</v>
      </c>
      <c r="C8398">
        <v>5</v>
      </c>
      <c r="D8398">
        <v>5</v>
      </c>
    </row>
    <row r="8399" spans="1:4" x14ac:dyDescent="0.25">
      <c r="A8399" s="1">
        <v>42368</v>
      </c>
      <c r="B8399">
        <v>1</v>
      </c>
      <c r="C8399">
        <v>5</v>
      </c>
      <c r="D8399">
        <v>15</v>
      </c>
    </row>
    <row r="8400" spans="1:4" x14ac:dyDescent="0.25">
      <c r="A8400" s="1">
        <v>42369</v>
      </c>
      <c r="B8400">
        <v>1</v>
      </c>
      <c r="C8400">
        <v>5</v>
      </c>
      <c r="D8400">
        <v>10</v>
      </c>
    </row>
    <row r="8401" spans="1:4" x14ac:dyDescent="0.25">
      <c r="A8401" s="1">
        <v>42370</v>
      </c>
      <c r="B8401">
        <v>1</v>
      </c>
      <c r="C8401">
        <v>5</v>
      </c>
      <c r="D8401">
        <v>14</v>
      </c>
    </row>
    <row r="8402" spans="1:4" x14ac:dyDescent="0.25">
      <c r="A8402" s="1">
        <v>42371</v>
      </c>
      <c r="B8402">
        <v>1</v>
      </c>
      <c r="C8402">
        <v>5</v>
      </c>
      <c r="D8402">
        <v>12</v>
      </c>
    </row>
    <row r="8403" spans="1:4" x14ac:dyDescent="0.25">
      <c r="A8403" s="1">
        <v>42372</v>
      </c>
      <c r="B8403">
        <v>1</v>
      </c>
      <c r="C8403">
        <v>5</v>
      </c>
      <c r="D8403">
        <v>14</v>
      </c>
    </row>
    <row r="8404" spans="1:4" x14ac:dyDescent="0.25">
      <c r="A8404" s="1">
        <v>42373</v>
      </c>
      <c r="B8404">
        <v>1</v>
      </c>
      <c r="C8404">
        <v>5</v>
      </c>
      <c r="D8404">
        <v>5</v>
      </c>
    </row>
    <row r="8405" spans="1:4" x14ac:dyDescent="0.25">
      <c r="A8405" s="1">
        <v>42374</v>
      </c>
      <c r="B8405">
        <v>1</v>
      </c>
      <c r="C8405">
        <v>5</v>
      </c>
      <c r="D8405">
        <v>13</v>
      </c>
    </row>
    <row r="8406" spans="1:4" x14ac:dyDescent="0.25">
      <c r="A8406" s="1">
        <v>42375</v>
      </c>
      <c r="B8406">
        <v>1</v>
      </c>
      <c r="C8406">
        <v>5</v>
      </c>
      <c r="D8406">
        <v>8</v>
      </c>
    </row>
    <row r="8407" spans="1:4" x14ac:dyDescent="0.25">
      <c r="A8407" s="1">
        <v>42376</v>
      </c>
      <c r="B8407">
        <v>1</v>
      </c>
      <c r="C8407">
        <v>5</v>
      </c>
      <c r="D8407">
        <v>16</v>
      </c>
    </row>
    <row r="8408" spans="1:4" x14ac:dyDescent="0.25">
      <c r="A8408" s="1">
        <v>42377</v>
      </c>
      <c r="B8408">
        <v>1</v>
      </c>
      <c r="C8408">
        <v>5</v>
      </c>
      <c r="D8408">
        <v>16</v>
      </c>
    </row>
    <row r="8409" spans="1:4" x14ac:dyDescent="0.25">
      <c r="A8409" s="1">
        <v>42378</v>
      </c>
      <c r="B8409">
        <v>1</v>
      </c>
      <c r="C8409">
        <v>5</v>
      </c>
      <c r="D8409">
        <v>13</v>
      </c>
    </row>
    <row r="8410" spans="1:4" x14ac:dyDescent="0.25">
      <c r="A8410" s="1">
        <v>42379</v>
      </c>
      <c r="B8410">
        <v>1</v>
      </c>
      <c r="C8410">
        <v>5</v>
      </c>
      <c r="D8410">
        <v>22</v>
      </c>
    </row>
    <row r="8411" spans="1:4" x14ac:dyDescent="0.25">
      <c r="A8411" s="1">
        <v>42380</v>
      </c>
      <c r="B8411">
        <v>1</v>
      </c>
      <c r="C8411">
        <v>5</v>
      </c>
      <c r="D8411">
        <v>3</v>
      </c>
    </row>
    <row r="8412" spans="1:4" x14ac:dyDescent="0.25">
      <c r="A8412" s="1">
        <v>42381</v>
      </c>
      <c r="B8412">
        <v>1</v>
      </c>
      <c r="C8412">
        <v>5</v>
      </c>
      <c r="D8412">
        <v>9</v>
      </c>
    </row>
    <row r="8413" spans="1:4" x14ac:dyDescent="0.25">
      <c r="A8413" s="1">
        <v>42382</v>
      </c>
      <c r="B8413">
        <v>1</v>
      </c>
      <c r="C8413">
        <v>5</v>
      </c>
      <c r="D8413">
        <v>9</v>
      </c>
    </row>
    <row r="8414" spans="1:4" x14ac:dyDescent="0.25">
      <c r="A8414" s="1">
        <v>42383</v>
      </c>
      <c r="B8414">
        <v>1</v>
      </c>
      <c r="C8414">
        <v>5</v>
      </c>
      <c r="D8414">
        <v>12</v>
      </c>
    </row>
    <row r="8415" spans="1:4" x14ac:dyDescent="0.25">
      <c r="A8415" s="1">
        <v>42384</v>
      </c>
      <c r="B8415">
        <v>1</v>
      </c>
      <c r="C8415">
        <v>5</v>
      </c>
      <c r="D8415">
        <v>13</v>
      </c>
    </row>
    <row r="8416" spans="1:4" x14ac:dyDescent="0.25">
      <c r="A8416" s="1">
        <v>42385</v>
      </c>
      <c r="B8416">
        <v>1</v>
      </c>
      <c r="C8416">
        <v>5</v>
      </c>
      <c r="D8416">
        <v>18</v>
      </c>
    </row>
    <row r="8417" spans="1:4" x14ac:dyDescent="0.25">
      <c r="A8417" s="1">
        <v>42386</v>
      </c>
      <c r="B8417">
        <v>1</v>
      </c>
      <c r="C8417">
        <v>5</v>
      </c>
      <c r="D8417">
        <v>19</v>
      </c>
    </row>
    <row r="8418" spans="1:4" x14ac:dyDescent="0.25">
      <c r="A8418" s="1">
        <v>42387</v>
      </c>
      <c r="B8418">
        <v>1</v>
      </c>
      <c r="C8418">
        <v>5</v>
      </c>
      <c r="D8418">
        <v>8</v>
      </c>
    </row>
    <row r="8419" spans="1:4" x14ac:dyDescent="0.25">
      <c r="A8419" s="1">
        <v>42388</v>
      </c>
      <c r="B8419">
        <v>1</v>
      </c>
      <c r="C8419">
        <v>5</v>
      </c>
      <c r="D8419">
        <v>13</v>
      </c>
    </row>
    <row r="8420" spans="1:4" x14ac:dyDescent="0.25">
      <c r="A8420" s="1">
        <v>42389</v>
      </c>
      <c r="B8420">
        <v>1</v>
      </c>
      <c r="C8420">
        <v>5</v>
      </c>
      <c r="D8420">
        <v>18</v>
      </c>
    </row>
    <row r="8421" spans="1:4" x14ac:dyDescent="0.25">
      <c r="A8421" s="1">
        <v>42390</v>
      </c>
      <c r="B8421">
        <v>1</v>
      </c>
      <c r="C8421">
        <v>5</v>
      </c>
      <c r="D8421">
        <v>15</v>
      </c>
    </row>
    <row r="8422" spans="1:4" x14ac:dyDescent="0.25">
      <c r="A8422" s="1">
        <v>42391</v>
      </c>
      <c r="B8422">
        <v>1</v>
      </c>
      <c r="C8422">
        <v>5</v>
      </c>
      <c r="D8422">
        <v>13</v>
      </c>
    </row>
    <row r="8423" spans="1:4" x14ac:dyDescent="0.25">
      <c r="A8423" s="1">
        <v>42392</v>
      </c>
      <c r="B8423">
        <v>1</v>
      </c>
      <c r="C8423">
        <v>5</v>
      </c>
      <c r="D8423">
        <v>16</v>
      </c>
    </row>
    <row r="8424" spans="1:4" x14ac:dyDescent="0.25">
      <c r="A8424" s="1">
        <v>42393</v>
      </c>
      <c r="B8424">
        <v>1</v>
      </c>
      <c r="C8424">
        <v>5</v>
      </c>
      <c r="D8424">
        <v>14</v>
      </c>
    </row>
    <row r="8425" spans="1:4" x14ac:dyDescent="0.25">
      <c r="A8425" s="1">
        <v>42394</v>
      </c>
      <c r="B8425">
        <v>1</v>
      </c>
      <c r="C8425">
        <v>5</v>
      </c>
      <c r="D8425">
        <v>11</v>
      </c>
    </row>
    <row r="8426" spans="1:4" x14ac:dyDescent="0.25">
      <c r="A8426" s="1">
        <v>42395</v>
      </c>
      <c r="B8426">
        <v>1</v>
      </c>
      <c r="C8426">
        <v>5</v>
      </c>
      <c r="D8426">
        <v>18</v>
      </c>
    </row>
    <row r="8427" spans="1:4" x14ac:dyDescent="0.25">
      <c r="A8427" s="1">
        <v>42396</v>
      </c>
      <c r="B8427">
        <v>1</v>
      </c>
      <c r="C8427">
        <v>5</v>
      </c>
      <c r="D8427">
        <v>15</v>
      </c>
    </row>
    <row r="8428" spans="1:4" x14ac:dyDescent="0.25">
      <c r="A8428" s="1">
        <v>42397</v>
      </c>
      <c r="B8428">
        <v>1</v>
      </c>
      <c r="C8428">
        <v>5</v>
      </c>
      <c r="D8428">
        <v>13</v>
      </c>
    </row>
    <row r="8429" spans="1:4" x14ac:dyDescent="0.25">
      <c r="A8429" s="1">
        <v>42398</v>
      </c>
      <c r="B8429">
        <v>1</v>
      </c>
      <c r="C8429">
        <v>5</v>
      </c>
      <c r="D8429">
        <v>13</v>
      </c>
    </row>
    <row r="8430" spans="1:4" x14ac:dyDescent="0.25">
      <c r="A8430" s="1">
        <v>42399</v>
      </c>
      <c r="B8430">
        <v>1</v>
      </c>
      <c r="C8430">
        <v>5</v>
      </c>
      <c r="D8430">
        <v>16</v>
      </c>
    </row>
    <row r="8431" spans="1:4" x14ac:dyDescent="0.25">
      <c r="A8431" s="1">
        <v>42400</v>
      </c>
      <c r="B8431">
        <v>1</v>
      </c>
      <c r="C8431">
        <v>5</v>
      </c>
      <c r="D8431">
        <v>14</v>
      </c>
    </row>
    <row r="8432" spans="1:4" x14ac:dyDescent="0.25">
      <c r="A8432" s="1">
        <v>42401</v>
      </c>
      <c r="B8432">
        <v>1</v>
      </c>
      <c r="C8432">
        <v>5</v>
      </c>
      <c r="D8432">
        <v>16</v>
      </c>
    </row>
    <row r="8433" spans="1:4" x14ac:dyDescent="0.25">
      <c r="A8433" s="1">
        <v>42402</v>
      </c>
      <c r="B8433">
        <v>1</v>
      </c>
      <c r="C8433">
        <v>5</v>
      </c>
      <c r="D8433">
        <v>17</v>
      </c>
    </row>
    <row r="8434" spans="1:4" x14ac:dyDescent="0.25">
      <c r="A8434" s="1">
        <v>42403</v>
      </c>
      <c r="B8434">
        <v>1</v>
      </c>
      <c r="C8434">
        <v>5</v>
      </c>
      <c r="D8434">
        <v>12</v>
      </c>
    </row>
    <row r="8435" spans="1:4" x14ac:dyDescent="0.25">
      <c r="A8435" s="1">
        <v>42404</v>
      </c>
      <c r="B8435">
        <v>1</v>
      </c>
      <c r="C8435">
        <v>5</v>
      </c>
      <c r="D8435">
        <v>14</v>
      </c>
    </row>
    <row r="8436" spans="1:4" x14ac:dyDescent="0.25">
      <c r="A8436" s="1">
        <v>42405</v>
      </c>
      <c r="B8436">
        <v>1</v>
      </c>
      <c r="C8436">
        <v>5</v>
      </c>
      <c r="D8436">
        <v>16</v>
      </c>
    </row>
    <row r="8437" spans="1:4" x14ac:dyDescent="0.25">
      <c r="A8437" s="1">
        <v>42406</v>
      </c>
      <c r="B8437">
        <v>1</v>
      </c>
      <c r="C8437">
        <v>5</v>
      </c>
      <c r="D8437">
        <v>19</v>
      </c>
    </row>
    <row r="8438" spans="1:4" x14ac:dyDescent="0.25">
      <c r="A8438" s="1">
        <v>42407</v>
      </c>
      <c r="B8438">
        <v>1</v>
      </c>
      <c r="C8438">
        <v>5</v>
      </c>
      <c r="D8438">
        <v>14</v>
      </c>
    </row>
    <row r="8439" spans="1:4" x14ac:dyDescent="0.25">
      <c r="A8439" s="1">
        <v>42408</v>
      </c>
      <c r="B8439">
        <v>1</v>
      </c>
      <c r="C8439">
        <v>5</v>
      </c>
      <c r="D8439">
        <v>6</v>
      </c>
    </row>
    <row r="8440" spans="1:4" x14ac:dyDescent="0.25">
      <c r="A8440" s="1">
        <v>42409</v>
      </c>
      <c r="B8440">
        <v>1</v>
      </c>
      <c r="C8440">
        <v>5</v>
      </c>
      <c r="D8440">
        <v>18</v>
      </c>
    </row>
    <row r="8441" spans="1:4" x14ac:dyDescent="0.25">
      <c r="A8441" s="1">
        <v>42410</v>
      </c>
      <c r="B8441">
        <v>1</v>
      </c>
      <c r="C8441">
        <v>5</v>
      </c>
      <c r="D8441">
        <v>15</v>
      </c>
    </row>
    <row r="8442" spans="1:4" x14ac:dyDescent="0.25">
      <c r="A8442" s="1">
        <v>42411</v>
      </c>
      <c r="B8442">
        <v>1</v>
      </c>
      <c r="C8442">
        <v>5</v>
      </c>
      <c r="D8442">
        <v>18</v>
      </c>
    </row>
    <row r="8443" spans="1:4" x14ac:dyDescent="0.25">
      <c r="A8443" s="1">
        <v>42412</v>
      </c>
      <c r="B8443">
        <v>1</v>
      </c>
      <c r="C8443">
        <v>5</v>
      </c>
      <c r="D8443">
        <v>12</v>
      </c>
    </row>
    <row r="8444" spans="1:4" x14ac:dyDescent="0.25">
      <c r="A8444" s="1">
        <v>42413</v>
      </c>
      <c r="B8444">
        <v>1</v>
      </c>
      <c r="C8444">
        <v>5</v>
      </c>
      <c r="D8444">
        <v>15</v>
      </c>
    </row>
    <row r="8445" spans="1:4" x14ac:dyDescent="0.25">
      <c r="A8445" s="1">
        <v>42414</v>
      </c>
      <c r="B8445">
        <v>1</v>
      </c>
      <c r="C8445">
        <v>5</v>
      </c>
      <c r="D8445">
        <v>12</v>
      </c>
    </row>
    <row r="8446" spans="1:4" x14ac:dyDescent="0.25">
      <c r="A8446" s="1">
        <v>42415</v>
      </c>
      <c r="B8446">
        <v>1</v>
      </c>
      <c r="C8446">
        <v>5</v>
      </c>
      <c r="D8446">
        <v>11</v>
      </c>
    </row>
    <row r="8447" spans="1:4" x14ac:dyDescent="0.25">
      <c r="A8447" s="1">
        <v>42416</v>
      </c>
      <c r="B8447">
        <v>1</v>
      </c>
      <c r="C8447">
        <v>5</v>
      </c>
      <c r="D8447">
        <v>13</v>
      </c>
    </row>
    <row r="8448" spans="1:4" x14ac:dyDescent="0.25">
      <c r="A8448" s="1">
        <v>42417</v>
      </c>
      <c r="B8448">
        <v>1</v>
      </c>
      <c r="C8448">
        <v>5</v>
      </c>
      <c r="D8448">
        <v>15</v>
      </c>
    </row>
    <row r="8449" spans="1:4" x14ac:dyDescent="0.25">
      <c r="A8449" s="1">
        <v>42418</v>
      </c>
      <c r="B8449">
        <v>1</v>
      </c>
      <c r="C8449">
        <v>5</v>
      </c>
      <c r="D8449">
        <v>17</v>
      </c>
    </row>
    <row r="8450" spans="1:4" x14ac:dyDescent="0.25">
      <c r="A8450" s="1">
        <v>42419</v>
      </c>
      <c r="B8450">
        <v>1</v>
      </c>
      <c r="C8450">
        <v>5</v>
      </c>
      <c r="D8450">
        <v>13</v>
      </c>
    </row>
    <row r="8451" spans="1:4" x14ac:dyDescent="0.25">
      <c r="A8451" s="1">
        <v>42420</v>
      </c>
      <c r="B8451">
        <v>1</v>
      </c>
      <c r="C8451">
        <v>5</v>
      </c>
      <c r="D8451">
        <v>21</v>
      </c>
    </row>
    <row r="8452" spans="1:4" x14ac:dyDescent="0.25">
      <c r="A8452" s="1">
        <v>42421</v>
      </c>
      <c r="B8452">
        <v>1</v>
      </c>
      <c r="C8452">
        <v>5</v>
      </c>
      <c r="D8452">
        <v>18</v>
      </c>
    </row>
    <row r="8453" spans="1:4" x14ac:dyDescent="0.25">
      <c r="A8453" s="1">
        <v>42422</v>
      </c>
      <c r="B8453">
        <v>1</v>
      </c>
      <c r="C8453">
        <v>5</v>
      </c>
      <c r="D8453">
        <v>9</v>
      </c>
    </row>
    <row r="8454" spans="1:4" x14ac:dyDescent="0.25">
      <c r="A8454" s="1">
        <v>42423</v>
      </c>
      <c r="B8454">
        <v>1</v>
      </c>
      <c r="C8454">
        <v>5</v>
      </c>
      <c r="D8454">
        <v>14</v>
      </c>
    </row>
    <row r="8455" spans="1:4" x14ac:dyDescent="0.25">
      <c r="A8455" s="1">
        <v>42424</v>
      </c>
      <c r="B8455">
        <v>1</v>
      </c>
      <c r="C8455">
        <v>5</v>
      </c>
      <c r="D8455">
        <v>11</v>
      </c>
    </row>
    <row r="8456" spans="1:4" x14ac:dyDescent="0.25">
      <c r="A8456" s="1">
        <v>42425</v>
      </c>
      <c r="B8456">
        <v>1</v>
      </c>
      <c r="C8456">
        <v>5</v>
      </c>
      <c r="D8456">
        <v>10</v>
      </c>
    </row>
    <row r="8457" spans="1:4" x14ac:dyDescent="0.25">
      <c r="A8457" s="1">
        <v>42426</v>
      </c>
      <c r="B8457">
        <v>1</v>
      </c>
      <c r="C8457">
        <v>5</v>
      </c>
      <c r="D8457">
        <v>13</v>
      </c>
    </row>
    <row r="8458" spans="1:4" x14ac:dyDescent="0.25">
      <c r="A8458" s="1">
        <v>42427</v>
      </c>
      <c r="B8458">
        <v>1</v>
      </c>
      <c r="C8458">
        <v>5</v>
      </c>
      <c r="D8458">
        <v>16</v>
      </c>
    </row>
    <row r="8459" spans="1:4" x14ac:dyDescent="0.25">
      <c r="A8459" s="1">
        <v>42428</v>
      </c>
      <c r="B8459">
        <v>1</v>
      </c>
      <c r="C8459">
        <v>5</v>
      </c>
      <c r="D8459">
        <v>20</v>
      </c>
    </row>
    <row r="8460" spans="1:4" x14ac:dyDescent="0.25">
      <c r="A8460" s="1">
        <v>42429</v>
      </c>
      <c r="B8460">
        <v>1</v>
      </c>
      <c r="C8460">
        <v>5</v>
      </c>
      <c r="D8460">
        <v>12</v>
      </c>
    </row>
    <row r="8461" spans="1:4" x14ac:dyDescent="0.25">
      <c r="A8461" s="1">
        <v>42430</v>
      </c>
      <c r="B8461">
        <v>1</v>
      </c>
      <c r="C8461">
        <v>5</v>
      </c>
      <c r="D8461">
        <v>19</v>
      </c>
    </row>
    <row r="8462" spans="1:4" x14ac:dyDescent="0.25">
      <c r="A8462" s="1">
        <v>42431</v>
      </c>
      <c r="B8462">
        <v>1</v>
      </c>
      <c r="C8462">
        <v>5</v>
      </c>
      <c r="D8462">
        <v>19</v>
      </c>
    </row>
    <row r="8463" spans="1:4" x14ac:dyDescent="0.25">
      <c r="A8463" s="1">
        <v>42432</v>
      </c>
      <c r="B8463">
        <v>1</v>
      </c>
      <c r="C8463">
        <v>5</v>
      </c>
      <c r="D8463">
        <v>19</v>
      </c>
    </row>
    <row r="8464" spans="1:4" x14ac:dyDescent="0.25">
      <c r="A8464" s="1">
        <v>42433</v>
      </c>
      <c r="B8464">
        <v>1</v>
      </c>
      <c r="C8464">
        <v>5</v>
      </c>
      <c r="D8464">
        <v>13</v>
      </c>
    </row>
    <row r="8465" spans="1:4" x14ac:dyDescent="0.25">
      <c r="A8465" s="1">
        <v>42434</v>
      </c>
      <c r="B8465">
        <v>1</v>
      </c>
      <c r="C8465">
        <v>5</v>
      </c>
      <c r="D8465">
        <v>22</v>
      </c>
    </row>
    <row r="8466" spans="1:4" x14ac:dyDescent="0.25">
      <c r="A8466" s="1">
        <v>42435</v>
      </c>
      <c r="B8466">
        <v>1</v>
      </c>
      <c r="C8466">
        <v>5</v>
      </c>
      <c r="D8466">
        <v>22</v>
      </c>
    </row>
    <row r="8467" spans="1:4" x14ac:dyDescent="0.25">
      <c r="A8467" s="1">
        <v>42436</v>
      </c>
      <c r="B8467">
        <v>1</v>
      </c>
      <c r="C8467">
        <v>5</v>
      </c>
      <c r="D8467">
        <v>13</v>
      </c>
    </row>
    <row r="8468" spans="1:4" x14ac:dyDescent="0.25">
      <c r="A8468" s="1">
        <v>42437</v>
      </c>
      <c r="B8468">
        <v>1</v>
      </c>
      <c r="C8468">
        <v>5</v>
      </c>
      <c r="D8468">
        <v>13</v>
      </c>
    </row>
    <row r="8469" spans="1:4" x14ac:dyDescent="0.25">
      <c r="A8469" s="1">
        <v>42438</v>
      </c>
      <c r="B8469">
        <v>1</v>
      </c>
      <c r="C8469">
        <v>5</v>
      </c>
      <c r="D8469">
        <v>20</v>
      </c>
    </row>
    <row r="8470" spans="1:4" x14ac:dyDescent="0.25">
      <c r="A8470" s="1">
        <v>42439</v>
      </c>
      <c r="B8470">
        <v>1</v>
      </c>
      <c r="C8470">
        <v>5</v>
      </c>
      <c r="D8470">
        <v>17</v>
      </c>
    </row>
    <row r="8471" spans="1:4" x14ac:dyDescent="0.25">
      <c r="A8471" s="1">
        <v>42440</v>
      </c>
      <c r="B8471">
        <v>1</v>
      </c>
      <c r="C8471">
        <v>5</v>
      </c>
      <c r="D8471">
        <v>12</v>
      </c>
    </row>
    <row r="8472" spans="1:4" x14ac:dyDescent="0.25">
      <c r="A8472" s="1">
        <v>42441</v>
      </c>
      <c r="B8472">
        <v>1</v>
      </c>
      <c r="C8472">
        <v>5</v>
      </c>
      <c r="D8472">
        <v>15</v>
      </c>
    </row>
    <row r="8473" spans="1:4" x14ac:dyDescent="0.25">
      <c r="A8473" s="1">
        <v>42442</v>
      </c>
      <c r="B8473">
        <v>1</v>
      </c>
      <c r="C8473">
        <v>5</v>
      </c>
      <c r="D8473">
        <v>26</v>
      </c>
    </row>
    <row r="8474" spans="1:4" x14ac:dyDescent="0.25">
      <c r="A8474" s="1">
        <v>42443</v>
      </c>
      <c r="B8474">
        <v>1</v>
      </c>
      <c r="C8474">
        <v>5</v>
      </c>
      <c r="D8474">
        <v>15</v>
      </c>
    </row>
    <row r="8475" spans="1:4" x14ac:dyDescent="0.25">
      <c r="A8475" s="1">
        <v>42444</v>
      </c>
      <c r="B8475">
        <v>1</v>
      </c>
      <c r="C8475">
        <v>5</v>
      </c>
      <c r="D8475">
        <v>7</v>
      </c>
    </row>
    <row r="8476" spans="1:4" x14ac:dyDescent="0.25">
      <c r="A8476" s="1">
        <v>42445</v>
      </c>
      <c r="B8476">
        <v>1</v>
      </c>
      <c r="C8476">
        <v>5</v>
      </c>
      <c r="D8476">
        <v>15</v>
      </c>
    </row>
    <row r="8477" spans="1:4" x14ac:dyDescent="0.25">
      <c r="A8477" s="1">
        <v>42446</v>
      </c>
      <c r="B8477">
        <v>1</v>
      </c>
      <c r="C8477">
        <v>5</v>
      </c>
      <c r="D8477">
        <v>20</v>
      </c>
    </row>
    <row r="8478" spans="1:4" x14ac:dyDescent="0.25">
      <c r="A8478" s="1">
        <v>42447</v>
      </c>
      <c r="B8478">
        <v>1</v>
      </c>
      <c r="C8478">
        <v>5</v>
      </c>
      <c r="D8478">
        <v>11</v>
      </c>
    </row>
    <row r="8479" spans="1:4" x14ac:dyDescent="0.25">
      <c r="A8479" s="1">
        <v>42448</v>
      </c>
      <c r="B8479">
        <v>1</v>
      </c>
      <c r="C8479">
        <v>5</v>
      </c>
      <c r="D8479">
        <v>21</v>
      </c>
    </row>
    <row r="8480" spans="1:4" x14ac:dyDescent="0.25">
      <c r="A8480" s="1">
        <v>42449</v>
      </c>
      <c r="B8480">
        <v>1</v>
      </c>
      <c r="C8480">
        <v>5</v>
      </c>
      <c r="D8480">
        <v>15</v>
      </c>
    </row>
    <row r="8481" spans="1:4" x14ac:dyDescent="0.25">
      <c r="A8481" s="1">
        <v>42450</v>
      </c>
      <c r="B8481">
        <v>1</v>
      </c>
      <c r="C8481">
        <v>5</v>
      </c>
      <c r="D8481">
        <v>14</v>
      </c>
    </row>
    <row r="8482" spans="1:4" x14ac:dyDescent="0.25">
      <c r="A8482" s="1">
        <v>42451</v>
      </c>
      <c r="B8482">
        <v>1</v>
      </c>
      <c r="C8482">
        <v>5</v>
      </c>
      <c r="D8482">
        <v>20</v>
      </c>
    </row>
    <row r="8483" spans="1:4" x14ac:dyDescent="0.25">
      <c r="A8483" s="1">
        <v>42452</v>
      </c>
      <c r="B8483">
        <v>1</v>
      </c>
      <c r="C8483">
        <v>5</v>
      </c>
      <c r="D8483">
        <v>16</v>
      </c>
    </row>
    <row r="8484" spans="1:4" x14ac:dyDescent="0.25">
      <c r="A8484" s="1">
        <v>42453</v>
      </c>
      <c r="B8484">
        <v>1</v>
      </c>
      <c r="C8484">
        <v>5</v>
      </c>
      <c r="D8484">
        <v>15</v>
      </c>
    </row>
    <row r="8485" spans="1:4" x14ac:dyDescent="0.25">
      <c r="A8485" s="1">
        <v>42454</v>
      </c>
      <c r="B8485">
        <v>1</v>
      </c>
      <c r="C8485">
        <v>5</v>
      </c>
      <c r="D8485">
        <v>18</v>
      </c>
    </row>
    <row r="8486" spans="1:4" x14ac:dyDescent="0.25">
      <c r="A8486" s="1">
        <v>42455</v>
      </c>
      <c r="B8486">
        <v>1</v>
      </c>
      <c r="C8486">
        <v>5</v>
      </c>
      <c r="D8486">
        <v>18</v>
      </c>
    </row>
    <row r="8487" spans="1:4" x14ac:dyDescent="0.25">
      <c r="A8487" s="1">
        <v>42456</v>
      </c>
      <c r="B8487">
        <v>1</v>
      </c>
      <c r="C8487">
        <v>5</v>
      </c>
      <c r="D8487">
        <v>23</v>
      </c>
    </row>
    <row r="8488" spans="1:4" x14ac:dyDescent="0.25">
      <c r="A8488" s="1">
        <v>42457</v>
      </c>
      <c r="B8488">
        <v>1</v>
      </c>
      <c r="C8488">
        <v>5</v>
      </c>
      <c r="D8488">
        <v>12</v>
      </c>
    </row>
    <row r="8489" spans="1:4" x14ac:dyDescent="0.25">
      <c r="A8489" s="1">
        <v>42458</v>
      </c>
      <c r="B8489">
        <v>1</v>
      </c>
      <c r="C8489">
        <v>5</v>
      </c>
      <c r="D8489">
        <v>17</v>
      </c>
    </row>
    <row r="8490" spans="1:4" x14ac:dyDescent="0.25">
      <c r="A8490" s="1">
        <v>42459</v>
      </c>
      <c r="B8490">
        <v>1</v>
      </c>
      <c r="C8490">
        <v>5</v>
      </c>
      <c r="D8490">
        <v>8</v>
      </c>
    </row>
    <row r="8491" spans="1:4" x14ac:dyDescent="0.25">
      <c r="A8491" s="1">
        <v>42460</v>
      </c>
      <c r="B8491">
        <v>1</v>
      </c>
      <c r="C8491">
        <v>5</v>
      </c>
      <c r="D8491">
        <v>20</v>
      </c>
    </row>
    <row r="8492" spans="1:4" x14ac:dyDescent="0.25">
      <c r="A8492" s="1">
        <v>42461</v>
      </c>
      <c r="B8492">
        <v>1</v>
      </c>
      <c r="C8492">
        <v>5</v>
      </c>
      <c r="D8492">
        <v>15</v>
      </c>
    </row>
    <row r="8493" spans="1:4" x14ac:dyDescent="0.25">
      <c r="A8493" s="1">
        <v>42462</v>
      </c>
      <c r="B8493">
        <v>1</v>
      </c>
      <c r="C8493">
        <v>5</v>
      </c>
      <c r="D8493">
        <v>21</v>
      </c>
    </row>
    <row r="8494" spans="1:4" x14ac:dyDescent="0.25">
      <c r="A8494" s="1">
        <v>42463</v>
      </c>
      <c r="B8494">
        <v>1</v>
      </c>
      <c r="C8494">
        <v>5</v>
      </c>
      <c r="D8494">
        <v>17</v>
      </c>
    </row>
    <row r="8495" spans="1:4" x14ac:dyDescent="0.25">
      <c r="A8495" s="1">
        <v>42464</v>
      </c>
      <c r="B8495">
        <v>1</v>
      </c>
      <c r="C8495">
        <v>5</v>
      </c>
      <c r="D8495">
        <v>12</v>
      </c>
    </row>
    <row r="8496" spans="1:4" x14ac:dyDescent="0.25">
      <c r="A8496" s="1">
        <v>42465</v>
      </c>
      <c r="B8496">
        <v>1</v>
      </c>
      <c r="C8496">
        <v>5</v>
      </c>
      <c r="D8496">
        <v>17</v>
      </c>
    </row>
    <row r="8497" spans="1:4" x14ac:dyDescent="0.25">
      <c r="A8497" s="1">
        <v>42466</v>
      </c>
      <c r="B8497">
        <v>1</v>
      </c>
      <c r="C8497">
        <v>5</v>
      </c>
      <c r="D8497">
        <v>26</v>
      </c>
    </row>
    <row r="8498" spans="1:4" x14ac:dyDescent="0.25">
      <c r="A8498" s="1">
        <v>42467</v>
      </c>
      <c r="B8498">
        <v>1</v>
      </c>
      <c r="C8498">
        <v>5</v>
      </c>
      <c r="D8498">
        <v>15</v>
      </c>
    </row>
    <row r="8499" spans="1:4" x14ac:dyDescent="0.25">
      <c r="A8499" s="1">
        <v>42468</v>
      </c>
      <c r="B8499">
        <v>1</v>
      </c>
      <c r="C8499">
        <v>5</v>
      </c>
      <c r="D8499">
        <v>18</v>
      </c>
    </row>
    <row r="8500" spans="1:4" x14ac:dyDescent="0.25">
      <c r="A8500" s="1">
        <v>42469</v>
      </c>
      <c r="B8500">
        <v>1</v>
      </c>
      <c r="C8500">
        <v>5</v>
      </c>
      <c r="D8500">
        <v>12</v>
      </c>
    </row>
    <row r="8501" spans="1:4" x14ac:dyDescent="0.25">
      <c r="A8501" s="1">
        <v>42470</v>
      </c>
      <c r="B8501">
        <v>1</v>
      </c>
      <c r="C8501">
        <v>5</v>
      </c>
      <c r="D8501">
        <v>30</v>
      </c>
    </row>
    <row r="8502" spans="1:4" x14ac:dyDescent="0.25">
      <c r="A8502" s="1">
        <v>42471</v>
      </c>
      <c r="B8502">
        <v>1</v>
      </c>
      <c r="C8502">
        <v>5</v>
      </c>
      <c r="D8502">
        <v>14</v>
      </c>
    </row>
    <row r="8503" spans="1:4" x14ac:dyDescent="0.25">
      <c r="A8503" s="1">
        <v>42472</v>
      </c>
      <c r="B8503">
        <v>1</v>
      </c>
      <c r="C8503">
        <v>5</v>
      </c>
      <c r="D8503">
        <v>14</v>
      </c>
    </row>
    <row r="8504" spans="1:4" x14ac:dyDescent="0.25">
      <c r="A8504" s="1">
        <v>42473</v>
      </c>
      <c r="B8504">
        <v>1</v>
      </c>
      <c r="C8504">
        <v>5</v>
      </c>
      <c r="D8504">
        <v>23</v>
      </c>
    </row>
    <row r="8505" spans="1:4" x14ac:dyDescent="0.25">
      <c r="A8505" s="1">
        <v>42474</v>
      </c>
      <c r="B8505">
        <v>1</v>
      </c>
      <c r="C8505">
        <v>5</v>
      </c>
      <c r="D8505">
        <v>15</v>
      </c>
    </row>
    <row r="8506" spans="1:4" x14ac:dyDescent="0.25">
      <c r="A8506" s="1">
        <v>42475</v>
      </c>
      <c r="B8506">
        <v>1</v>
      </c>
      <c r="C8506">
        <v>5</v>
      </c>
      <c r="D8506">
        <v>24</v>
      </c>
    </row>
    <row r="8507" spans="1:4" x14ac:dyDescent="0.25">
      <c r="A8507" s="1">
        <v>42476</v>
      </c>
      <c r="B8507">
        <v>1</v>
      </c>
      <c r="C8507">
        <v>5</v>
      </c>
      <c r="D8507">
        <v>18</v>
      </c>
    </row>
    <row r="8508" spans="1:4" x14ac:dyDescent="0.25">
      <c r="A8508" s="1">
        <v>42477</v>
      </c>
      <c r="B8508">
        <v>1</v>
      </c>
      <c r="C8508">
        <v>5</v>
      </c>
      <c r="D8508">
        <v>24</v>
      </c>
    </row>
    <row r="8509" spans="1:4" x14ac:dyDescent="0.25">
      <c r="A8509" s="1">
        <v>42478</v>
      </c>
      <c r="B8509">
        <v>1</v>
      </c>
      <c r="C8509">
        <v>5</v>
      </c>
      <c r="D8509">
        <v>14</v>
      </c>
    </row>
    <row r="8510" spans="1:4" x14ac:dyDescent="0.25">
      <c r="A8510" s="1">
        <v>42479</v>
      </c>
      <c r="B8510">
        <v>1</v>
      </c>
      <c r="C8510">
        <v>5</v>
      </c>
      <c r="D8510">
        <v>17</v>
      </c>
    </row>
    <row r="8511" spans="1:4" x14ac:dyDescent="0.25">
      <c r="A8511" s="1">
        <v>42480</v>
      </c>
      <c r="B8511">
        <v>1</v>
      </c>
      <c r="C8511">
        <v>5</v>
      </c>
      <c r="D8511">
        <v>16</v>
      </c>
    </row>
    <row r="8512" spans="1:4" x14ac:dyDescent="0.25">
      <c r="A8512" s="1">
        <v>42481</v>
      </c>
      <c r="B8512">
        <v>1</v>
      </c>
      <c r="C8512">
        <v>5</v>
      </c>
      <c r="D8512">
        <v>21</v>
      </c>
    </row>
    <row r="8513" spans="1:4" x14ac:dyDescent="0.25">
      <c r="A8513" s="1">
        <v>42482</v>
      </c>
      <c r="B8513">
        <v>1</v>
      </c>
      <c r="C8513">
        <v>5</v>
      </c>
      <c r="D8513">
        <v>20</v>
      </c>
    </row>
    <row r="8514" spans="1:4" x14ac:dyDescent="0.25">
      <c r="A8514" s="1">
        <v>42483</v>
      </c>
      <c r="B8514">
        <v>1</v>
      </c>
      <c r="C8514">
        <v>5</v>
      </c>
      <c r="D8514">
        <v>36</v>
      </c>
    </row>
    <row r="8515" spans="1:4" x14ac:dyDescent="0.25">
      <c r="A8515" s="1">
        <v>42484</v>
      </c>
      <c r="B8515">
        <v>1</v>
      </c>
      <c r="C8515">
        <v>5</v>
      </c>
      <c r="D8515">
        <v>27</v>
      </c>
    </row>
    <row r="8516" spans="1:4" x14ac:dyDescent="0.25">
      <c r="A8516" s="1">
        <v>42485</v>
      </c>
      <c r="B8516">
        <v>1</v>
      </c>
      <c r="C8516">
        <v>5</v>
      </c>
      <c r="D8516">
        <v>20</v>
      </c>
    </row>
    <row r="8517" spans="1:4" x14ac:dyDescent="0.25">
      <c r="A8517" s="1">
        <v>42486</v>
      </c>
      <c r="B8517">
        <v>1</v>
      </c>
      <c r="C8517">
        <v>5</v>
      </c>
      <c r="D8517">
        <v>15</v>
      </c>
    </row>
    <row r="8518" spans="1:4" x14ac:dyDescent="0.25">
      <c r="A8518" s="1">
        <v>42487</v>
      </c>
      <c r="B8518">
        <v>1</v>
      </c>
      <c r="C8518">
        <v>5</v>
      </c>
      <c r="D8518">
        <v>20</v>
      </c>
    </row>
    <row r="8519" spans="1:4" x14ac:dyDescent="0.25">
      <c r="A8519" s="1">
        <v>42488</v>
      </c>
      <c r="B8519">
        <v>1</v>
      </c>
      <c r="C8519">
        <v>5</v>
      </c>
      <c r="D8519">
        <v>20</v>
      </c>
    </row>
    <row r="8520" spans="1:4" x14ac:dyDescent="0.25">
      <c r="A8520" s="1">
        <v>42489</v>
      </c>
      <c r="B8520">
        <v>1</v>
      </c>
      <c r="C8520">
        <v>5</v>
      </c>
      <c r="D8520">
        <v>20</v>
      </c>
    </row>
    <row r="8521" spans="1:4" x14ac:dyDescent="0.25">
      <c r="A8521" s="1">
        <v>42490</v>
      </c>
      <c r="B8521">
        <v>1</v>
      </c>
      <c r="C8521">
        <v>5</v>
      </c>
      <c r="D8521">
        <v>20</v>
      </c>
    </row>
    <row r="8522" spans="1:4" x14ac:dyDescent="0.25">
      <c r="A8522" s="1">
        <v>42491</v>
      </c>
      <c r="B8522">
        <v>1</v>
      </c>
      <c r="C8522">
        <v>5</v>
      </c>
      <c r="D8522">
        <v>18</v>
      </c>
    </row>
    <row r="8523" spans="1:4" x14ac:dyDescent="0.25">
      <c r="A8523" s="1">
        <v>42492</v>
      </c>
      <c r="B8523">
        <v>1</v>
      </c>
      <c r="C8523">
        <v>5</v>
      </c>
      <c r="D8523">
        <v>17</v>
      </c>
    </row>
    <row r="8524" spans="1:4" x14ac:dyDescent="0.25">
      <c r="A8524" s="1">
        <v>42493</v>
      </c>
      <c r="B8524">
        <v>1</v>
      </c>
      <c r="C8524">
        <v>5</v>
      </c>
      <c r="D8524">
        <v>21</v>
      </c>
    </row>
    <row r="8525" spans="1:4" x14ac:dyDescent="0.25">
      <c r="A8525" s="1">
        <v>42494</v>
      </c>
      <c r="B8525">
        <v>1</v>
      </c>
      <c r="C8525">
        <v>5</v>
      </c>
      <c r="D8525">
        <v>11</v>
      </c>
    </row>
    <row r="8526" spans="1:4" x14ac:dyDescent="0.25">
      <c r="A8526" s="1">
        <v>42495</v>
      </c>
      <c r="B8526">
        <v>1</v>
      </c>
      <c r="C8526">
        <v>5</v>
      </c>
      <c r="D8526">
        <v>16</v>
      </c>
    </row>
    <row r="8527" spans="1:4" x14ac:dyDescent="0.25">
      <c r="A8527" s="1">
        <v>42496</v>
      </c>
      <c r="B8527">
        <v>1</v>
      </c>
      <c r="C8527">
        <v>5</v>
      </c>
      <c r="D8527">
        <v>21</v>
      </c>
    </row>
    <row r="8528" spans="1:4" x14ac:dyDescent="0.25">
      <c r="A8528" s="1">
        <v>42497</v>
      </c>
      <c r="B8528">
        <v>1</v>
      </c>
      <c r="C8528">
        <v>5</v>
      </c>
      <c r="D8528">
        <v>15</v>
      </c>
    </row>
    <row r="8529" spans="1:4" x14ac:dyDescent="0.25">
      <c r="A8529" s="1">
        <v>42498</v>
      </c>
      <c r="B8529">
        <v>1</v>
      </c>
      <c r="C8529">
        <v>5</v>
      </c>
      <c r="D8529">
        <v>17</v>
      </c>
    </row>
    <row r="8530" spans="1:4" x14ac:dyDescent="0.25">
      <c r="A8530" s="1">
        <v>42499</v>
      </c>
      <c r="B8530">
        <v>1</v>
      </c>
      <c r="C8530">
        <v>5</v>
      </c>
      <c r="D8530">
        <v>14</v>
      </c>
    </row>
    <row r="8531" spans="1:4" x14ac:dyDescent="0.25">
      <c r="A8531" s="1">
        <v>42500</v>
      </c>
      <c r="B8531">
        <v>1</v>
      </c>
      <c r="C8531">
        <v>5</v>
      </c>
      <c r="D8531">
        <v>21</v>
      </c>
    </row>
    <row r="8532" spans="1:4" x14ac:dyDescent="0.25">
      <c r="A8532" s="1">
        <v>42501</v>
      </c>
      <c r="B8532">
        <v>1</v>
      </c>
      <c r="C8532">
        <v>5</v>
      </c>
      <c r="D8532">
        <v>24</v>
      </c>
    </row>
    <row r="8533" spans="1:4" x14ac:dyDescent="0.25">
      <c r="A8533" s="1">
        <v>42502</v>
      </c>
      <c r="B8533">
        <v>1</v>
      </c>
      <c r="C8533">
        <v>5</v>
      </c>
      <c r="D8533">
        <v>26</v>
      </c>
    </row>
    <row r="8534" spans="1:4" x14ac:dyDescent="0.25">
      <c r="A8534" s="1">
        <v>42503</v>
      </c>
      <c r="B8534">
        <v>1</v>
      </c>
      <c r="C8534">
        <v>5</v>
      </c>
      <c r="D8534">
        <v>24</v>
      </c>
    </row>
    <row r="8535" spans="1:4" x14ac:dyDescent="0.25">
      <c r="A8535" s="1">
        <v>42504</v>
      </c>
      <c r="B8535">
        <v>1</v>
      </c>
      <c r="C8535">
        <v>5</v>
      </c>
      <c r="D8535">
        <v>26</v>
      </c>
    </row>
    <row r="8536" spans="1:4" x14ac:dyDescent="0.25">
      <c r="A8536" s="1">
        <v>42505</v>
      </c>
      <c r="B8536">
        <v>1</v>
      </c>
      <c r="C8536">
        <v>5</v>
      </c>
      <c r="D8536">
        <v>24</v>
      </c>
    </row>
    <row r="8537" spans="1:4" x14ac:dyDescent="0.25">
      <c r="A8537" s="1">
        <v>42506</v>
      </c>
      <c r="B8537">
        <v>1</v>
      </c>
      <c r="C8537">
        <v>5</v>
      </c>
      <c r="D8537">
        <v>16</v>
      </c>
    </row>
    <row r="8538" spans="1:4" x14ac:dyDescent="0.25">
      <c r="A8538" s="1">
        <v>42507</v>
      </c>
      <c r="B8538">
        <v>1</v>
      </c>
      <c r="C8538">
        <v>5</v>
      </c>
      <c r="D8538">
        <v>16</v>
      </c>
    </row>
    <row r="8539" spans="1:4" x14ac:dyDescent="0.25">
      <c r="A8539" s="1">
        <v>42508</v>
      </c>
      <c r="B8539">
        <v>1</v>
      </c>
      <c r="C8539">
        <v>5</v>
      </c>
      <c r="D8539">
        <v>20</v>
      </c>
    </row>
    <row r="8540" spans="1:4" x14ac:dyDescent="0.25">
      <c r="A8540" s="1">
        <v>42509</v>
      </c>
      <c r="B8540">
        <v>1</v>
      </c>
      <c r="C8540">
        <v>5</v>
      </c>
      <c r="D8540">
        <v>23</v>
      </c>
    </row>
    <row r="8541" spans="1:4" x14ac:dyDescent="0.25">
      <c r="A8541" s="1">
        <v>42510</v>
      </c>
      <c r="B8541">
        <v>1</v>
      </c>
      <c r="C8541">
        <v>5</v>
      </c>
      <c r="D8541">
        <v>23</v>
      </c>
    </row>
    <row r="8542" spans="1:4" x14ac:dyDescent="0.25">
      <c r="A8542" s="1">
        <v>42511</v>
      </c>
      <c r="B8542">
        <v>1</v>
      </c>
      <c r="C8542">
        <v>5</v>
      </c>
      <c r="D8542">
        <v>22</v>
      </c>
    </row>
    <row r="8543" spans="1:4" x14ac:dyDescent="0.25">
      <c r="A8543" s="1">
        <v>42512</v>
      </c>
      <c r="B8543">
        <v>1</v>
      </c>
      <c r="C8543">
        <v>5</v>
      </c>
      <c r="D8543">
        <v>23</v>
      </c>
    </row>
    <row r="8544" spans="1:4" x14ac:dyDescent="0.25">
      <c r="A8544" s="1">
        <v>42513</v>
      </c>
      <c r="B8544">
        <v>1</v>
      </c>
      <c r="C8544">
        <v>5</v>
      </c>
      <c r="D8544">
        <v>18</v>
      </c>
    </row>
    <row r="8545" spans="1:4" x14ac:dyDescent="0.25">
      <c r="A8545" s="1">
        <v>42514</v>
      </c>
      <c r="B8545">
        <v>1</v>
      </c>
      <c r="C8545">
        <v>5</v>
      </c>
      <c r="D8545">
        <v>13</v>
      </c>
    </row>
    <row r="8546" spans="1:4" x14ac:dyDescent="0.25">
      <c r="A8546" s="1">
        <v>42515</v>
      </c>
      <c r="B8546">
        <v>1</v>
      </c>
      <c r="C8546">
        <v>5</v>
      </c>
      <c r="D8546">
        <v>28</v>
      </c>
    </row>
    <row r="8547" spans="1:4" x14ac:dyDescent="0.25">
      <c r="A8547" s="1">
        <v>42516</v>
      </c>
      <c r="B8547">
        <v>1</v>
      </c>
      <c r="C8547">
        <v>5</v>
      </c>
      <c r="D8547">
        <v>22</v>
      </c>
    </row>
    <row r="8548" spans="1:4" x14ac:dyDescent="0.25">
      <c r="A8548" s="1">
        <v>42517</v>
      </c>
      <c r="B8548">
        <v>1</v>
      </c>
      <c r="C8548">
        <v>5</v>
      </c>
      <c r="D8548">
        <v>21</v>
      </c>
    </row>
    <row r="8549" spans="1:4" x14ac:dyDescent="0.25">
      <c r="A8549" s="1">
        <v>42518</v>
      </c>
      <c r="B8549">
        <v>1</v>
      </c>
      <c r="C8549">
        <v>5</v>
      </c>
      <c r="D8549">
        <v>10</v>
      </c>
    </row>
    <row r="8550" spans="1:4" x14ac:dyDescent="0.25">
      <c r="A8550" s="1">
        <v>42519</v>
      </c>
      <c r="B8550">
        <v>1</v>
      </c>
      <c r="C8550">
        <v>5</v>
      </c>
      <c r="D8550">
        <v>28</v>
      </c>
    </row>
    <row r="8551" spans="1:4" x14ac:dyDescent="0.25">
      <c r="A8551" s="1">
        <v>42520</v>
      </c>
      <c r="B8551">
        <v>1</v>
      </c>
      <c r="C8551">
        <v>5</v>
      </c>
      <c r="D8551">
        <v>15</v>
      </c>
    </row>
    <row r="8552" spans="1:4" x14ac:dyDescent="0.25">
      <c r="A8552" s="1">
        <v>42521</v>
      </c>
      <c r="B8552">
        <v>1</v>
      </c>
      <c r="C8552">
        <v>5</v>
      </c>
      <c r="D8552">
        <v>26</v>
      </c>
    </row>
    <row r="8553" spans="1:4" x14ac:dyDescent="0.25">
      <c r="A8553" s="1">
        <v>42522</v>
      </c>
      <c r="B8553">
        <v>1</v>
      </c>
      <c r="C8553">
        <v>5</v>
      </c>
      <c r="D8553">
        <v>26</v>
      </c>
    </row>
    <row r="8554" spans="1:4" x14ac:dyDescent="0.25">
      <c r="A8554" s="1">
        <v>42523</v>
      </c>
      <c r="B8554">
        <v>1</v>
      </c>
      <c r="C8554">
        <v>5</v>
      </c>
      <c r="D8554">
        <v>26</v>
      </c>
    </row>
    <row r="8555" spans="1:4" x14ac:dyDescent="0.25">
      <c r="A8555" s="1">
        <v>42524</v>
      </c>
      <c r="B8555">
        <v>1</v>
      </c>
      <c r="C8555">
        <v>5</v>
      </c>
      <c r="D8555">
        <v>22</v>
      </c>
    </row>
    <row r="8556" spans="1:4" x14ac:dyDescent="0.25">
      <c r="A8556" s="1">
        <v>42525</v>
      </c>
      <c r="B8556">
        <v>1</v>
      </c>
      <c r="C8556">
        <v>5</v>
      </c>
      <c r="D8556">
        <v>23</v>
      </c>
    </row>
    <row r="8557" spans="1:4" x14ac:dyDescent="0.25">
      <c r="A8557" s="1">
        <v>42526</v>
      </c>
      <c r="B8557">
        <v>1</v>
      </c>
      <c r="C8557">
        <v>5</v>
      </c>
      <c r="D8557">
        <v>29</v>
      </c>
    </row>
    <row r="8558" spans="1:4" x14ac:dyDescent="0.25">
      <c r="A8558" s="1">
        <v>42527</v>
      </c>
      <c r="B8558">
        <v>1</v>
      </c>
      <c r="C8558">
        <v>5</v>
      </c>
      <c r="D8558">
        <v>16</v>
      </c>
    </row>
    <row r="8559" spans="1:4" x14ac:dyDescent="0.25">
      <c r="A8559" s="1">
        <v>42528</v>
      </c>
      <c r="B8559">
        <v>1</v>
      </c>
      <c r="C8559">
        <v>5</v>
      </c>
      <c r="D8559">
        <v>20</v>
      </c>
    </row>
    <row r="8560" spans="1:4" x14ac:dyDescent="0.25">
      <c r="A8560" s="1">
        <v>42529</v>
      </c>
      <c r="B8560">
        <v>1</v>
      </c>
      <c r="C8560">
        <v>5</v>
      </c>
      <c r="D8560">
        <v>18</v>
      </c>
    </row>
    <row r="8561" spans="1:4" x14ac:dyDescent="0.25">
      <c r="A8561" s="1">
        <v>42530</v>
      </c>
      <c r="B8561">
        <v>1</v>
      </c>
      <c r="C8561">
        <v>5</v>
      </c>
      <c r="D8561">
        <v>19</v>
      </c>
    </row>
    <row r="8562" spans="1:4" x14ac:dyDescent="0.25">
      <c r="A8562" s="1">
        <v>42531</v>
      </c>
      <c r="B8562">
        <v>1</v>
      </c>
      <c r="C8562">
        <v>5</v>
      </c>
      <c r="D8562">
        <v>29</v>
      </c>
    </row>
    <row r="8563" spans="1:4" x14ac:dyDescent="0.25">
      <c r="A8563" s="1">
        <v>42532</v>
      </c>
      <c r="B8563">
        <v>1</v>
      </c>
      <c r="C8563">
        <v>5</v>
      </c>
      <c r="D8563">
        <v>26</v>
      </c>
    </row>
    <row r="8564" spans="1:4" x14ac:dyDescent="0.25">
      <c r="A8564" s="1">
        <v>42533</v>
      </c>
      <c r="B8564">
        <v>1</v>
      </c>
      <c r="C8564">
        <v>5</v>
      </c>
      <c r="D8564">
        <v>29</v>
      </c>
    </row>
    <row r="8565" spans="1:4" x14ac:dyDescent="0.25">
      <c r="A8565" s="1">
        <v>42534</v>
      </c>
      <c r="B8565">
        <v>1</v>
      </c>
      <c r="C8565">
        <v>5</v>
      </c>
      <c r="D8565">
        <v>20</v>
      </c>
    </row>
    <row r="8566" spans="1:4" x14ac:dyDescent="0.25">
      <c r="A8566" s="1">
        <v>42535</v>
      </c>
      <c r="B8566">
        <v>1</v>
      </c>
      <c r="C8566">
        <v>5</v>
      </c>
      <c r="D8566">
        <v>7</v>
      </c>
    </row>
    <row r="8567" spans="1:4" x14ac:dyDescent="0.25">
      <c r="A8567" s="1">
        <v>42536</v>
      </c>
      <c r="B8567">
        <v>1</v>
      </c>
      <c r="C8567">
        <v>5</v>
      </c>
      <c r="D8567">
        <v>21</v>
      </c>
    </row>
    <row r="8568" spans="1:4" x14ac:dyDescent="0.25">
      <c r="A8568" s="1">
        <v>42537</v>
      </c>
      <c r="B8568">
        <v>1</v>
      </c>
      <c r="C8568">
        <v>5</v>
      </c>
      <c r="D8568">
        <v>22</v>
      </c>
    </row>
    <row r="8569" spans="1:4" x14ac:dyDescent="0.25">
      <c r="A8569" s="1">
        <v>42538</v>
      </c>
      <c r="B8569">
        <v>1</v>
      </c>
      <c r="C8569">
        <v>5</v>
      </c>
      <c r="D8569">
        <v>18</v>
      </c>
    </row>
    <row r="8570" spans="1:4" x14ac:dyDescent="0.25">
      <c r="A8570" s="1">
        <v>42539</v>
      </c>
      <c r="B8570">
        <v>1</v>
      </c>
      <c r="C8570">
        <v>5</v>
      </c>
      <c r="D8570">
        <v>26</v>
      </c>
    </row>
    <row r="8571" spans="1:4" x14ac:dyDescent="0.25">
      <c r="A8571" s="1">
        <v>42540</v>
      </c>
      <c r="B8571">
        <v>1</v>
      </c>
      <c r="C8571">
        <v>5</v>
      </c>
      <c r="D8571">
        <v>28</v>
      </c>
    </row>
    <row r="8572" spans="1:4" x14ac:dyDescent="0.25">
      <c r="A8572" s="1">
        <v>42541</v>
      </c>
      <c r="B8572">
        <v>1</v>
      </c>
      <c r="C8572">
        <v>5</v>
      </c>
      <c r="D8572">
        <v>13</v>
      </c>
    </row>
    <row r="8573" spans="1:4" x14ac:dyDescent="0.25">
      <c r="A8573" s="1">
        <v>42542</v>
      </c>
      <c r="B8573">
        <v>1</v>
      </c>
      <c r="C8573">
        <v>5</v>
      </c>
      <c r="D8573">
        <v>23</v>
      </c>
    </row>
    <row r="8574" spans="1:4" x14ac:dyDescent="0.25">
      <c r="A8574" s="1">
        <v>42543</v>
      </c>
      <c r="B8574">
        <v>1</v>
      </c>
      <c r="C8574">
        <v>5</v>
      </c>
      <c r="D8574">
        <v>20</v>
      </c>
    </row>
    <row r="8575" spans="1:4" x14ac:dyDescent="0.25">
      <c r="A8575" s="1">
        <v>42544</v>
      </c>
      <c r="B8575">
        <v>1</v>
      </c>
      <c r="C8575">
        <v>5</v>
      </c>
      <c r="D8575">
        <v>9</v>
      </c>
    </row>
    <row r="8576" spans="1:4" x14ac:dyDescent="0.25">
      <c r="A8576" s="1">
        <v>42545</v>
      </c>
      <c r="B8576">
        <v>1</v>
      </c>
      <c r="C8576">
        <v>5</v>
      </c>
      <c r="D8576">
        <v>14</v>
      </c>
    </row>
    <row r="8577" spans="1:4" x14ac:dyDescent="0.25">
      <c r="A8577" s="1">
        <v>42546</v>
      </c>
      <c r="B8577">
        <v>1</v>
      </c>
      <c r="C8577">
        <v>5</v>
      </c>
      <c r="D8577">
        <v>29</v>
      </c>
    </row>
    <row r="8578" spans="1:4" x14ac:dyDescent="0.25">
      <c r="A8578" s="1">
        <v>42547</v>
      </c>
      <c r="B8578">
        <v>1</v>
      </c>
      <c r="C8578">
        <v>5</v>
      </c>
      <c r="D8578">
        <v>19</v>
      </c>
    </row>
    <row r="8579" spans="1:4" x14ac:dyDescent="0.25">
      <c r="A8579" s="1">
        <v>42548</v>
      </c>
      <c r="B8579">
        <v>1</v>
      </c>
      <c r="C8579">
        <v>5</v>
      </c>
      <c r="D8579">
        <v>16</v>
      </c>
    </row>
    <row r="8580" spans="1:4" x14ac:dyDescent="0.25">
      <c r="A8580" s="1">
        <v>42549</v>
      </c>
      <c r="B8580">
        <v>1</v>
      </c>
      <c r="C8580">
        <v>5</v>
      </c>
      <c r="D8580">
        <v>20</v>
      </c>
    </row>
    <row r="8581" spans="1:4" x14ac:dyDescent="0.25">
      <c r="A8581" s="1">
        <v>42550</v>
      </c>
      <c r="B8581">
        <v>1</v>
      </c>
      <c r="C8581">
        <v>5</v>
      </c>
      <c r="D8581">
        <v>22</v>
      </c>
    </row>
    <row r="8582" spans="1:4" x14ac:dyDescent="0.25">
      <c r="A8582" s="1">
        <v>42551</v>
      </c>
      <c r="B8582">
        <v>1</v>
      </c>
      <c r="C8582">
        <v>5</v>
      </c>
      <c r="D8582">
        <v>33</v>
      </c>
    </row>
    <row r="8583" spans="1:4" x14ac:dyDescent="0.25">
      <c r="A8583" s="1">
        <v>42552</v>
      </c>
      <c r="B8583">
        <v>1</v>
      </c>
      <c r="C8583">
        <v>5</v>
      </c>
      <c r="D8583">
        <v>29</v>
      </c>
    </row>
    <row r="8584" spans="1:4" x14ac:dyDescent="0.25">
      <c r="A8584" s="1">
        <v>42553</v>
      </c>
      <c r="B8584">
        <v>1</v>
      </c>
      <c r="C8584">
        <v>5</v>
      </c>
      <c r="D8584">
        <v>30</v>
      </c>
    </row>
    <row r="8585" spans="1:4" x14ac:dyDescent="0.25">
      <c r="A8585" s="1">
        <v>42554</v>
      </c>
      <c r="B8585">
        <v>1</v>
      </c>
      <c r="C8585">
        <v>5</v>
      </c>
      <c r="D8585">
        <v>23</v>
      </c>
    </row>
    <row r="8586" spans="1:4" x14ac:dyDescent="0.25">
      <c r="A8586" s="1">
        <v>42555</v>
      </c>
      <c r="B8586">
        <v>1</v>
      </c>
      <c r="C8586">
        <v>5</v>
      </c>
      <c r="D8586">
        <v>20</v>
      </c>
    </row>
    <row r="8587" spans="1:4" x14ac:dyDescent="0.25">
      <c r="A8587" s="1">
        <v>42556</v>
      </c>
      <c r="B8587">
        <v>1</v>
      </c>
      <c r="C8587">
        <v>5</v>
      </c>
      <c r="D8587">
        <v>21</v>
      </c>
    </row>
    <row r="8588" spans="1:4" x14ac:dyDescent="0.25">
      <c r="A8588" s="1">
        <v>42557</v>
      </c>
      <c r="B8588">
        <v>1</v>
      </c>
      <c r="C8588">
        <v>5</v>
      </c>
      <c r="D8588">
        <v>25</v>
      </c>
    </row>
    <row r="8589" spans="1:4" x14ac:dyDescent="0.25">
      <c r="A8589" s="1">
        <v>42558</v>
      </c>
      <c r="B8589">
        <v>1</v>
      </c>
      <c r="C8589">
        <v>5</v>
      </c>
      <c r="D8589">
        <v>27</v>
      </c>
    </row>
    <row r="8590" spans="1:4" x14ac:dyDescent="0.25">
      <c r="A8590" s="1">
        <v>42559</v>
      </c>
      <c r="B8590">
        <v>1</v>
      </c>
      <c r="C8590">
        <v>5</v>
      </c>
      <c r="D8590">
        <v>21</v>
      </c>
    </row>
    <row r="8591" spans="1:4" x14ac:dyDescent="0.25">
      <c r="A8591" s="1">
        <v>42560</v>
      </c>
      <c r="B8591">
        <v>1</v>
      </c>
      <c r="C8591">
        <v>5</v>
      </c>
      <c r="D8591">
        <v>24</v>
      </c>
    </row>
    <row r="8592" spans="1:4" x14ac:dyDescent="0.25">
      <c r="A8592" s="1">
        <v>42561</v>
      </c>
      <c r="B8592">
        <v>1</v>
      </c>
      <c r="C8592">
        <v>5</v>
      </c>
      <c r="D8592">
        <v>31</v>
      </c>
    </row>
    <row r="8593" spans="1:4" x14ac:dyDescent="0.25">
      <c r="A8593" s="1">
        <v>42562</v>
      </c>
      <c r="B8593">
        <v>1</v>
      </c>
      <c r="C8593">
        <v>5</v>
      </c>
      <c r="D8593">
        <v>17</v>
      </c>
    </row>
    <row r="8594" spans="1:4" x14ac:dyDescent="0.25">
      <c r="A8594" s="1">
        <v>42563</v>
      </c>
      <c r="B8594">
        <v>1</v>
      </c>
      <c r="C8594">
        <v>5</v>
      </c>
      <c r="D8594">
        <v>22</v>
      </c>
    </row>
    <row r="8595" spans="1:4" x14ac:dyDescent="0.25">
      <c r="A8595" s="1">
        <v>42564</v>
      </c>
      <c r="B8595">
        <v>1</v>
      </c>
      <c r="C8595">
        <v>5</v>
      </c>
      <c r="D8595">
        <v>14</v>
      </c>
    </row>
    <row r="8596" spans="1:4" x14ac:dyDescent="0.25">
      <c r="A8596" s="1">
        <v>42565</v>
      </c>
      <c r="B8596">
        <v>1</v>
      </c>
      <c r="C8596">
        <v>5</v>
      </c>
      <c r="D8596">
        <v>30</v>
      </c>
    </row>
    <row r="8597" spans="1:4" x14ac:dyDescent="0.25">
      <c r="A8597" s="1">
        <v>42566</v>
      </c>
      <c r="B8597">
        <v>1</v>
      </c>
      <c r="C8597">
        <v>5</v>
      </c>
      <c r="D8597">
        <v>18</v>
      </c>
    </row>
    <row r="8598" spans="1:4" x14ac:dyDescent="0.25">
      <c r="A8598" s="1">
        <v>42567</v>
      </c>
      <c r="B8598">
        <v>1</v>
      </c>
      <c r="C8598">
        <v>5</v>
      </c>
      <c r="D8598">
        <v>36</v>
      </c>
    </row>
    <row r="8599" spans="1:4" x14ac:dyDescent="0.25">
      <c r="A8599" s="1">
        <v>42568</v>
      </c>
      <c r="B8599">
        <v>1</v>
      </c>
      <c r="C8599">
        <v>5</v>
      </c>
      <c r="D8599">
        <v>22</v>
      </c>
    </row>
    <row r="8600" spans="1:4" x14ac:dyDescent="0.25">
      <c r="A8600" s="1">
        <v>42569</v>
      </c>
      <c r="B8600">
        <v>1</v>
      </c>
      <c r="C8600">
        <v>5</v>
      </c>
      <c r="D8600">
        <v>22</v>
      </c>
    </row>
    <row r="8601" spans="1:4" x14ac:dyDescent="0.25">
      <c r="A8601" s="1">
        <v>42570</v>
      </c>
      <c r="B8601">
        <v>1</v>
      </c>
      <c r="C8601">
        <v>5</v>
      </c>
      <c r="D8601">
        <v>25</v>
      </c>
    </row>
    <row r="8602" spans="1:4" x14ac:dyDescent="0.25">
      <c r="A8602" s="1">
        <v>42571</v>
      </c>
      <c r="B8602">
        <v>1</v>
      </c>
      <c r="C8602">
        <v>5</v>
      </c>
      <c r="D8602">
        <v>21</v>
      </c>
    </row>
    <row r="8603" spans="1:4" x14ac:dyDescent="0.25">
      <c r="A8603" s="1">
        <v>42572</v>
      </c>
      <c r="B8603">
        <v>1</v>
      </c>
      <c r="C8603">
        <v>5</v>
      </c>
      <c r="D8603">
        <v>26</v>
      </c>
    </row>
    <row r="8604" spans="1:4" x14ac:dyDescent="0.25">
      <c r="A8604" s="1">
        <v>42573</v>
      </c>
      <c r="B8604">
        <v>1</v>
      </c>
      <c r="C8604">
        <v>5</v>
      </c>
      <c r="D8604">
        <v>28</v>
      </c>
    </row>
    <row r="8605" spans="1:4" x14ac:dyDescent="0.25">
      <c r="A8605" s="1">
        <v>42574</v>
      </c>
      <c r="B8605">
        <v>1</v>
      </c>
      <c r="C8605">
        <v>5</v>
      </c>
      <c r="D8605">
        <v>30</v>
      </c>
    </row>
    <row r="8606" spans="1:4" x14ac:dyDescent="0.25">
      <c r="A8606" s="1">
        <v>42575</v>
      </c>
      <c r="B8606">
        <v>1</v>
      </c>
      <c r="C8606">
        <v>5</v>
      </c>
      <c r="D8606">
        <v>22</v>
      </c>
    </row>
    <row r="8607" spans="1:4" x14ac:dyDescent="0.25">
      <c r="A8607" s="1">
        <v>42576</v>
      </c>
      <c r="B8607">
        <v>1</v>
      </c>
      <c r="C8607">
        <v>5</v>
      </c>
      <c r="D8607">
        <v>17</v>
      </c>
    </row>
    <row r="8608" spans="1:4" x14ac:dyDescent="0.25">
      <c r="A8608" s="1">
        <v>42577</v>
      </c>
      <c r="B8608">
        <v>1</v>
      </c>
      <c r="C8608">
        <v>5</v>
      </c>
      <c r="D8608">
        <v>26</v>
      </c>
    </row>
    <row r="8609" spans="1:4" x14ac:dyDescent="0.25">
      <c r="A8609" s="1">
        <v>42578</v>
      </c>
      <c r="B8609">
        <v>1</v>
      </c>
      <c r="C8609">
        <v>5</v>
      </c>
      <c r="D8609">
        <v>17</v>
      </c>
    </row>
    <row r="8610" spans="1:4" x14ac:dyDescent="0.25">
      <c r="A8610" s="1">
        <v>42579</v>
      </c>
      <c r="B8610">
        <v>1</v>
      </c>
      <c r="C8610">
        <v>5</v>
      </c>
      <c r="D8610">
        <v>18</v>
      </c>
    </row>
    <row r="8611" spans="1:4" x14ac:dyDescent="0.25">
      <c r="A8611" s="1">
        <v>42580</v>
      </c>
      <c r="B8611">
        <v>1</v>
      </c>
      <c r="C8611">
        <v>5</v>
      </c>
      <c r="D8611">
        <v>33</v>
      </c>
    </row>
    <row r="8612" spans="1:4" x14ac:dyDescent="0.25">
      <c r="A8612" s="1">
        <v>42581</v>
      </c>
      <c r="B8612">
        <v>1</v>
      </c>
      <c r="C8612">
        <v>5</v>
      </c>
      <c r="D8612">
        <v>21</v>
      </c>
    </row>
    <row r="8613" spans="1:4" x14ac:dyDescent="0.25">
      <c r="A8613" s="1">
        <v>42582</v>
      </c>
      <c r="B8613">
        <v>1</v>
      </c>
      <c r="C8613">
        <v>5</v>
      </c>
      <c r="D8613">
        <v>28</v>
      </c>
    </row>
    <row r="8614" spans="1:4" x14ac:dyDescent="0.25">
      <c r="A8614" s="1">
        <v>42583</v>
      </c>
      <c r="B8614">
        <v>1</v>
      </c>
      <c r="C8614">
        <v>5</v>
      </c>
      <c r="D8614">
        <v>19</v>
      </c>
    </row>
    <row r="8615" spans="1:4" x14ac:dyDescent="0.25">
      <c r="A8615" s="1">
        <v>42584</v>
      </c>
      <c r="B8615">
        <v>1</v>
      </c>
      <c r="C8615">
        <v>5</v>
      </c>
      <c r="D8615">
        <v>13</v>
      </c>
    </row>
    <row r="8616" spans="1:4" x14ac:dyDescent="0.25">
      <c r="A8616" s="1">
        <v>42585</v>
      </c>
      <c r="B8616">
        <v>1</v>
      </c>
      <c r="C8616">
        <v>5</v>
      </c>
      <c r="D8616">
        <v>21</v>
      </c>
    </row>
    <row r="8617" spans="1:4" x14ac:dyDescent="0.25">
      <c r="A8617" s="1">
        <v>42586</v>
      </c>
      <c r="B8617">
        <v>1</v>
      </c>
      <c r="C8617">
        <v>5</v>
      </c>
      <c r="D8617">
        <v>24</v>
      </c>
    </row>
    <row r="8618" spans="1:4" x14ac:dyDescent="0.25">
      <c r="A8618" s="1">
        <v>42587</v>
      </c>
      <c r="B8618">
        <v>1</v>
      </c>
      <c r="C8618">
        <v>5</v>
      </c>
      <c r="D8618">
        <v>22</v>
      </c>
    </row>
    <row r="8619" spans="1:4" x14ac:dyDescent="0.25">
      <c r="A8619" s="1">
        <v>42588</v>
      </c>
      <c r="B8619">
        <v>1</v>
      </c>
      <c r="C8619">
        <v>5</v>
      </c>
      <c r="D8619">
        <v>28</v>
      </c>
    </row>
    <row r="8620" spans="1:4" x14ac:dyDescent="0.25">
      <c r="A8620" s="1">
        <v>42589</v>
      </c>
      <c r="B8620">
        <v>1</v>
      </c>
      <c r="C8620">
        <v>5</v>
      </c>
      <c r="D8620">
        <v>28</v>
      </c>
    </row>
    <row r="8621" spans="1:4" x14ac:dyDescent="0.25">
      <c r="A8621" s="1">
        <v>42590</v>
      </c>
      <c r="B8621">
        <v>1</v>
      </c>
      <c r="C8621">
        <v>5</v>
      </c>
      <c r="D8621">
        <v>22</v>
      </c>
    </row>
    <row r="8622" spans="1:4" x14ac:dyDescent="0.25">
      <c r="A8622" s="1">
        <v>42591</v>
      </c>
      <c r="B8622">
        <v>1</v>
      </c>
      <c r="C8622">
        <v>5</v>
      </c>
      <c r="D8622">
        <v>19</v>
      </c>
    </row>
    <row r="8623" spans="1:4" x14ac:dyDescent="0.25">
      <c r="A8623" s="1">
        <v>42592</v>
      </c>
      <c r="B8623">
        <v>1</v>
      </c>
      <c r="C8623">
        <v>5</v>
      </c>
      <c r="D8623">
        <v>27</v>
      </c>
    </row>
    <row r="8624" spans="1:4" x14ac:dyDescent="0.25">
      <c r="A8624" s="1">
        <v>42593</v>
      </c>
      <c r="B8624">
        <v>1</v>
      </c>
      <c r="C8624">
        <v>5</v>
      </c>
      <c r="D8624">
        <v>19</v>
      </c>
    </row>
    <row r="8625" spans="1:4" x14ac:dyDescent="0.25">
      <c r="A8625" s="1">
        <v>42594</v>
      </c>
      <c r="B8625">
        <v>1</v>
      </c>
      <c r="C8625">
        <v>5</v>
      </c>
      <c r="D8625">
        <v>13</v>
      </c>
    </row>
    <row r="8626" spans="1:4" x14ac:dyDescent="0.25">
      <c r="A8626" s="1">
        <v>42595</v>
      </c>
      <c r="B8626">
        <v>1</v>
      </c>
      <c r="C8626">
        <v>5</v>
      </c>
      <c r="D8626">
        <v>24</v>
      </c>
    </row>
    <row r="8627" spans="1:4" x14ac:dyDescent="0.25">
      <c r="A8627" s="1">
        <v>42596</v>
      </c>
      <c r="B8627">
        <v>1</v>
      </c>
      <c r="C8627">
        <v>5</v>
      </c>
      <c r="D8627">
        <v>24</v>
      </c>
    </row>
    <row r="8628" spans="1:4" x14ac:dyDescent="0.25">
      <c r="A8628" s="1">
        <v>42597</v>
      </c>
      <c r="B8628">
        <v>1</v>
      </c>
      <c r="C8628">
        <v>5</v>
      </c>
      <c r="D8628">
        <v>17</v>
      </c>
    </row>
    <row r="8629" spans="1:4" x14ac:dyDescent="0.25">
      <c r="A8629" s="1">
        <v>42598</v>
      </c>
      <c r="B8629">
        <v>1</v>
      </c>
      <c r="C8629">
        <v>5</v>
      </c>
      <c r="D8629">
        <v>23</v>
      </c>
    </row>
    <row r="8630" spans="1:4" x14ac:dyDescent="0.25">
      <c r="A8630" s="1">
        <v>42599</v>
      </c>
      <c r="B8630">
        <v>1</v>
      </c>
      <c r="C8630">
        <v>5</v>
      </c>
      <c r="D8630">
        <v>15</v>
      </c>
    </row>
    <row r="8631" spans="1:4" x14ac:dyDescent="0.25">
      <c r="A8631" s="1">
        <v>42600</v>
      </c>
      <c r="B8631">
        <v>1</v>
      </c>
      <c r="C8631">
        <v>5</v>
      </c>
      <c r="D8631">
        <v>22</v>
      </c>
    </row>
    <row r="8632" spans="1:4" x14ac:dyDescent="0.25">
      <c r="A8632" s="1">
        <v>42601</v>
      </c>
      <c r="B8632">
        <v>1</v>
      </c>
      <c r="C8632">
        <v>5</v>
      </c>
      <c r="D8632">
        <v>20</v>
      </c>
    </row>
    <row r="8633" spans="1:4" x14ac:dyDescent="0.25">
      <c r="A8633" s="1">
        <v>42602</v>
      </c>
      <c r="B8633">
        <v>1</v>
      </c>
      <c r="C8633">
        <v>5</v>
      </c>
      <c r="D8633">
        <v>19</v>
      </c>
    </row>
    <row r="8634" spans="1:4" x14ac:dyDescent="0.25">
      <c r="A8634" s="1">
        <v>42603</v>
      </c>
      <c r="B8634">
        <v>1</v>
      </c>
      <c r="C8634">
        <v>5</v>
      </c>
      <c r="D8634">
        <v>33</v>
      </c>
    </row>
    <row r="8635" spans="1:4" x14ac:dyDescent="0.25">
      <c r="A8635" s="1">
        <v>42604</v>
      </c>
      <c r="B8635">
        <v>1</v>
      </c>
      <c r="C8635">
        <v>5</v>
      </c>
      <c r="D8635">
        <v>19</v>
      </c>
    </row>
    <row r="8636" spans="1:4" x14ac:dyDescent="0.25">
      <c r="A8636" s="1">
        <v>42605</v>
      </c>
      <c r="B8636">
        <v>1</v>
      </c>
      <c r="C8636">
        <v>5</v>
      </c>
      <c r="D8636">
        <v>28</v>
      </c>
    </row>
    <row r="8637" spans="1:4" x14ac:dyDescent="0.25">
      <c r="A8637" s="1">
        <v>42606</v>
      </c>
      <c r="B8637">
        <v>1</v>
      </c>
      <c r="C8637">
        <v>5</v>
      </c>
      <c r="D8637">
        <v>15</v>
      </c>
    </row>
    <row r="8638" spans="1:4" x14ac:dyDescent="0.25">
      <c r="A8638" s="1">
        <v>42607</v>
      </c>
      <c r="B8638">
        <v>1</v>
      </c>
      <c r="C8638">
        <v>5</v>
      </c>
      <c r="D8638">
        <v>23</v>
      </c>
    </row>
    <row r="8639" spans="1:4" x14ac:dyDescent="0.25">
      <c r="A8639" s="1">
        <v>42608</v>
      </c>
      <c r="B8639">
        <v>1</v>
      </c>
      <c r="C8639">
        <v>5</v>
      </c>
      <c r="D8639">
        <v>23</v>
      </c>
    </row>
    <row r="8640" spans="1:4" x14ac:dyDescent="0.25">
      <c r="A8640" s="1">
        <v>42609</v>
      </c>
      <c r="B8640">
        <v>1</v>
      </c>
      <c r="C8640">
        <v>5</v>
      </c>
      <c r="D8640">
        <v>21</v>
      </c>
    </row>
    <row r="8641" spans="1:4" x14ac:dyDescent="0.25">
      <c r="A8641" s="1">
        <v>42610</v>
      </c>
      <c r="B8641">
        <v>1</v>
      </c>
      <c r="C8641">
        <v>5</v>
      </c>
      <c r="D8641">
        <v>30</v>
      </c>
    </row>
    <row r="8642" spans="1:4" x14ac:dyDescent="0.25">
      <c r="A8642" s="1">
        <v>42611</v>
      </c>
      <c r="B8642">
        <v>1</v>
      </c>
      <c r="C8642">
        <v>5</v>
      </c>
      <c r="D8642">
        <v>14</v>
      </c>
    </row>
    <row r="8643" spans="1:4" x14ac:dyDescent="0.25">
      <c r="A8643" s="1">
        <v>42612</v>
      </c>
      <c r="B8643">
        <v>1</v>
      </c>
      <c r="C8643">
        <v>5</v>
      </c>
      <c r="D8643">
        <v>14</v>
      </c>
    </row>
    <row r="8644" spans="1:4" x14ac:dyDescent="0.25">
      <c r="A8644" s="1">
        <v>42613</v>
      </c>
      <c r="B8644">
        <v>1</v>
      </c>
      <c r="C8644">
        <v>5</v>
      </c>
      <c r="D8644">
        <v>16</v>
      </c>
    </row>
    <row r="8645" spans="1:4" x14ac:dyDescent="0.25">
      <c r="A8645" s="1">
        <v>42614</v>
      </c>
      <c r="B8645">
        <v>1</v>
      </c>
      <c r="C8645">
        <v>5</v>
      </c>
      <c r="D8645">
        <v>12</v>
      </c>
    </row>
    <row r="8646" spans="1:4" x14ac:dyDescent="0.25">
      <c r="A8646" s="1">
        <v>42615</v>
      </c>
      <c r="B8646">
        <v>1</v>
      </c>
      <c r="C8646">
        <v>5</v>
      </c>
      <c r="D8646">
        <v>14</v>
      </c>
    </row>
    <row r="8647" spans="1:4" x14ac:dyDescent="0.25">
      <c r="A8647" s="1">
        <v>42616</v>
      </c>
      <c r="B8647">
        <v>1</v>
      </c>
      <c r="C8647">
        <v>5</v>
      </c>
      <c r="D8647">
        <v>22</v>
      </c>
    </row>
    <row r="8648" spans="1:4" x14ac:dyDescent="0.25">
      <c r="A8648" s="1">
        <v>42617</v>
      </c>
      <c r="B8648">
        <v>1</v>
      </c>
      <c r="C8648">
        <v>5</v>
      </c>
      <c r="D8648">
        <v>15</v>
      </c>
    </row>
    <row r="8649" spans="1:4" x14ac:dyDescent="0.25">
      <c r="A8649" s="1">
        <v>42618</v>
      </c>
      <c r="B8649">
        <v>1</v>
      </c>
      <c r="C8649">
        <v>5</v>
      </c>
      <c r="D8649">
        <v>20</v>
      </c>
    </row>
    <row r="8650" spans="1:4" x14ac:dyDescent="0.25">
      <c r="A8650" s="1">
        <v>42619</v>
      </c>
      <c r="B8650">
        <v>1</v>
      </c>
      <c r="C8650">
        <v>5</v>
      </c>
      <c r="D8650">
        <v>21</v>
      </c>
    </row>
    <row r="8651" spans="1:4" x14ac:dyDescent="0.25">
      <c r="A8651" s="1">
        <v>42620</v>
      </c>
      <c r="B8651">
        <v>1</v>
      </c>
      <c r="C8651">
        <v>5</v>
      </c>
      <c r="D8651">
        <v>16</v>
      </c>
    </row>
    <row r="8652" spans="1:4" x14ac:dyDescent="0.25">
      <c r="A8652" s="1">
        <v>42621</v>
      </c>
      <c r="B8652">
        <v>1</v>
      </c>
      <c r="C8652">
        <v>5</v>
      </c>
      <c r="D8652">
        <v>19</v>
      </c>
    </row>
    <row r="8653" spans="1:4" x14ac:dyDescent="0.25">
      <c r="A8653" s="1">
        <v>42622</v>
      </c>
      <c r="B8653">
        <v>1</v>
      </c>
      <c r="C8653">
        <v>5</v>
      </c>
      <c r="D8653">
        <v>28</v>
      </c>
    </row>
    <row r="8654" spans="1:4" x14ac:dyDescent="0.25">
      <c r="A8654" s="1">
        <v>42623</v>
      </c>
      <c r="B8654">
        <v>1</v>
      </c>
      <c r="C8654">
        <v>5</v>
      </c>
      <c r="D8654">
        <v>19</v>
      </c>
    </row>
    <row r="8655" spans="1:4" x14ac:dyDescent="0.25">
      <c r="A8655" s="1">
        <v>42624</v>
      </c>
      <c r="B8655">
        <v>1</v>
      </c>
      <c r="C8655">
        <v>5</v>
      </c>
      <c r="D8655">
        <v>26</v>
      </c>
    </row>
    <row r="8656" spans="1:4" x14ac:dyDescent="0.25">
      <c r="A8656" s="1">
        <v>42625</v>
      </c>
      <c r="B8656">
        <v>1</v>
      </c>
      <c r="C8656">
        <v>5</v>
      </c>
      <c r="D8656">
        <v>17</v>
      </c>
    </row>
    <row r="8657" spans="1:4" x14ac:dyDescent="0.25">
      <c r="A8657" s="1">
        <v>42626</v>
      </c>
      <c r="B8657">
        <v>1</v>
      </c>
      <c r="C8657">
        <v>5</v>
      </c>
      <c r="D8657">
        <v>19</v>
      </c>
    </row>
    <row r="8658" spans="1:4" x14ac:dyDescent="0.25">
      <c r="A8658" s="1">
        <v>42627</v>
      </c>
      <c r="B8658">
        <v>1</v>
      </c>
      <c r="C8658">
        <v>5</v>
      </c>
      <c r="D8658">
        <v>15</v>
      </c>
    </row>
    <row r="8659" spans="1:4" x14ac:dyDescent="0.25">
      <c r="A8659" s="1">
        <v>42628</v>
      </c>
      <c r="B8659">
        <v>1</v>
      </c>
      <c r="C8659">
        <v>5</v>
      </c>
      <c r="D8659">
        <v>24</v>
      </c>
    </row>
    <row r="8660" spans="1:4" x14ac:dyDescent="0.25">
      <c r="A8660" s="1">
        <v>42629</v>
      </c>
      <c r="B8660">
        <v>1</v>
      </c>
      <c r="C8660">
        <v>5</v>
      </c>
      <c r="D8660">
        <v>19</v>
      </c>
    </row>
    <row r="8661" spans="1:4" x14ac:dyDescent="0.25">
      <c r="A8661" s="1">
        <v>42630</v>
      </c>
      <c r="B8661">
        <v>1</v>
      </c>
      <c r="C8661">
        <v>5</v>
      </c>
      <c r="D8661">
        <v>22</v>
      </c>
    </row>
    <row r="8662" spans="1:4" x14ac:dyDescent="0.25">
      <c r="A8662" s="1">
        <v>42631</v>
      </c>
      <c r="B8662">
        <v>1</v>
      </c>
      <c r="C8662">
        <v>5</v>
      </c>
      <c r="D8662">
        <v>25</v>
      </c>
    </row>
    <row r="8663" spans="1:4" x14ac:dyDescent="0.25">
      <c r="A8663" s="1">
        <v>42632</v>
      </c>
      <c r="B8663">
        <v>1</v>
      </c>
      <c r="C8663">
        <v>5</v>
      </c>
      <c r="D8663">
        <v>14</v>
      </c>
    </row>
    <row r="8664" spans="1:4" x14ac:dyDescent="0.25">
      <c r="A8664" s="1">
        <v>42633</v>
      </c>
      <c r="B8664">
        <v>1</v>
      </c>
      <c r="C8664">
        <v>5</v>
      </c>
      <c r="D8664">
        <v>21</v>
      </c>
    </row>
    <row r="8665" spans="1:4" x14ac:dyDescent="0.25">
      <c r="A8665" s="1">
        <v>42634</v>
      </c>
      <c r="B8665">
        <v>1</v>
      </c>
      <c r="C8665">
        <v>5</v>
      </c>
      <c r="D8665">
        <v>18</v>
      </c>
    </row>
    <row r="8666" spans="1:4" x14ac:dyDescent="0.25">
      <c r="A8666" s="1">
        <v>42635</v>
      </c>
      <c r="B8666">
        <v>1</v>
      </c>
      <c r="C8666">
        <v>5</v>
      </c>
      <c r="D8666">
        <v>25</v>
      </c>
    </row>
    <row r="8667" spans="1:4" x14ac:dyDescent="0.25">
      <c r="A8667" s="1">
        <v>42636</v>
      </c>
      <c r="B8667">
        <v>1</v>
      </c>
      <c r="C8667">
        <v>5</v>
      </c>
      <c r="D8667">
        <v>19</v>
      </c>
    </row>
    <row r="8668" spans="1:4" x14ac:dyDescent="0.25">
      <c r="A8668" s="1">
        <v>42637</v>
      </c>
      <c r="B8668">
        <v>1</v>
      </c>
      <c r="C8668">
        <v>5</v>
      </c>
      <c r="D8668">
        <v>28</v>
      </c>
    </row>
    <row r="8669" spans="1:4" x14ac:dyDescent="0.25">
      <c r="A8669" s="1">
        <v>42638</v>
      </c>
      <c r="B8669">
        <v>1</v>
      </c>
      <c r="C8669">
        <v>5</v>
      </c>
      <c r="D8669">
        <v>18</v>
      </c>
    </row>
    <row r="8670" spans="1:4" x14ac:dyDescent="0.25">
      <c r="A8670" s="1">
        <v>42639</v>
      </c>
      <c r="B8670">
        <v>1</v>
      </c>
      <c r="C8670">
        <v>5</v>
      </c>
      <c r="D8670">
        <v>15</v>
      </c>
    </row>
    <row r="8671" spans="1:4" x14ac:dyDescent="0.25">
      <c r="A8671" s="1">
        <v>42640</v>
      </c>
      <c r="B8671">
        <v>1</v>
      </c>
      <c r="C8671">
        <v>5</v>
      </c>
      <c r="D8671">
        <v>23</v>
      </c>
    </row>
    <row r="8672" spans="1:4" x14ac:dyDescent="0.25">
      <c r="A8672" s="1">
        <v>42641</v>
      </c>
      <c r="B8672">
        <v>1</v>
      </c>
      <c r="C8672">
        <v>5</v>
      </c>
      <c r="D8672">
        <v>21</v>
      </c>
    </row>
    <row r="8673" spans="1:4" x14ac:dyDescent="0.25">
      <c r="A8673" s="1">
        <v>42642</v>
      </c>
      <c r="B8673">
        <v>1</v>
      </c>
      <c r="C8673">
        <v>5</v>
      </c>
      <c r="D8673">
        <v>12</v>
      </c>
    </row>
    <row r="8674" spans="1:4" x14ac:dyDescent="0.25">
      <c r="A8674" s="1">
        <v>42643</v>
      </c>
      <c r="B8674">
        <v>1</v>
      </c>
      <c r="C8674">
        <v>5</v>
      </c>
      <c r="D8674">
        <v>17</v>
      </c>
    </row>
    <row r="8675" spans="1:4" x14ac:dyDescent="0.25">
      <c r="A8675" s="1">
        <v>42644</v>
      </c>
      <c r="B8675">
        <v>1</v>
      </c>
      <c r="C8675">
        <v>5</v>
      </c>
      <c r="D8675">
        <v>18</v>
      </c>
    </row>
    <row r="8676" spans="1:4" x14ac:dyDescent="0.25">
      <c r="A8676" s="1">
        <v>42645</v>
      </c>
      <c r="B8676">
        <v>1</v>
      </c>
      <c r="C8676">
        <v>5</v>
      </c>
      <c r="D8676">
        <v>16</v>
      </c>
    </row>
    <row r="8677" spans="1:4" x14ac:dyDescent="0.25">
      <c r="A8677" s="1">
        <v>42646</v>
      </c>
      <c r="B8677">
        <v>1</v>
      </c>
      <c r="C8677">
        <v>5</v>
      </c>
      <c r="D8677">
        <v>10</v>
      </c>
    </row>
    <row r="8678" spans="1:4" x14ac:dyDescent="0.25">
      <c r="A8678" s="1">
        <v>42647</v>
      </c>
      <c r="B8678">
        <v>1</v>
      </c>
      <c r="C8678">
        <v>5</v>
      </c>
      <c r="D8678">
        <v>22</v>
      </c>
    </row>
    <row r="8679" spans="1:4" x14ac:dyDescent="0.25">
      <c r="A8679" s="1">
        <v>42648</v>
      </c>
      <c r="B8679">
        <v>1</v>
      </c>
      <c r="C8679">
        <v>5</v>
      </c>
      <c r="D8679">
        <v>8</v>
      </c>
    </row>
    <row r="8680" spans="1:4" x14ac:dyDescent="0.25">
      <c r="A8680" s="1">
        <v>42649</v>
      </c>
      <c r="B8680">
        <v>1</v>
      </c>
      <c r="C8680">
        <v>5</v>
      </c>
      <c r="D8680">
        <v>20</v>
      </c>
    </row>
    <row r="8681" spans="1:4" x14ac:dyDescent="0.25">
      <c r="A8681" s="1">
        <v>42650</v>
      </c>
      <c r="B8681">
        <v>1</v>
      </c>
      <c r="C8681">
        <v>5</v>
      </c>
      <c r="D8681">
        <v>21</v>
      </c>
    </row>
    <row r="8682" spans="1:4" x14ac:dyDescent="0.25">
      <c r="A8682" s="1">
        <v>42651</v>
      </c>
      <c r="B8682">
        <v>1</v>
      </c>
      <c r="C8682">
        <v>5</v>
      </c>
      <c r="D8682">
        <v>24</v>
      </c>
    </row>
    <row r="8683" spans="1:4" x14ac:dyDescent="0.25">
      <c r="A8683" s="1">
        <v>42652</v>
      </c>
      <c r="B8683">
        <v>1</v>
      </c>
      <c r="C8683">
        <v>5</v>
      </c>
      <c r="D8683">
        <v>27</v>
      </c>
    </row>
    <row r="8684" spans="1:4" x14ac:dyDescent="0.25">
      <c r="A8684" s="1">
        <v>42653</v>
      </c>
      <c r="B8684">
        <v>1</v>
      </c>
      <c r="C8684">
        <v>5</v>
      </c>
      <c r="D8684">
        <v>12</v>
      </c>
    </row>
    <row r="8685" spans="1:4" x14ac:dyDescent="0.25">
      <c r="A8685" s="1">
        <v>42654</v>
      </c>
      <c r="B8685">
        <v>1</v>
      </c>
      <c r="C8685">
        <v>5</v>
      </c>
      <c r="D8685">
        <v>16</v>
      </c>
    </row>
    <row r="8686" spans="1:4" x14ac:dyDescent="0.25">
      <c r="A8686" s="1">
        <v>42655</v>
      </c>
      <c r="B8686">
        <v>1</v>
      </c>
      <c r="C8686">
        <v>5</v>
      </c>
      <c r="D8686">
        <v>17</v>
      </c>
    </row>
    <row r="8687" spans="1:4" x14ac:dyDescent="0.25">
      <c r="A8687" s="1">
        <v>42656</v>
      </c>
      <c r="B8687">
        <v>1</v>
      </c>
      <c r="C8687">
        <v>5</v>
      </c>
      <c r="D8687">
        <v>18</v>
      </c>
    </row>
    <row r="8688" spans="1:4" x14ac:dyDescent="0.25">
      <c r="A8688" s="1">
        <v>42657</v>
      </c>
      <c r="B8688">
        <v>1</v>
      </c>
      <c r="C8688">
        <v>5</v>
      </c>
      <c r="D8688">
        <v>13</v>
      </c>
    </row>
    <row r="8689" spans="1:4" x14ac:dyDescent="0.25">
      <c r="A8689" s="1">
        <v>42658</v>
      </c>
      <c r="B8689">
        <v>1</v>
      </c>
      <c r="C8689">
        <v>5</v>
      </c>
      <c r="D8689">
        <v>15</v>
      </c>
    </row>
    <row r="8690" spans="1:4" x14ac:dyDescent="0.25">
      <c r="A8690" s="1">
        <v>42659</v>
      </c>
      <c r="B8690">
        <v>1</v>
      </c>
      <c r="C8690">
        <v>5</v>
      </c>
      <c r="D8690">
        <v>21</v>
      </c>
    </row>
    <row r="8691" spans="1:4" x14ac:dyDescent="0.25">
      <c r="A8691" s="1">
        <v>42660</v>
      </c>
      <c r="B8691">
        <v>1</v>
      </c>
      <c r="C8691">
        <v>5</v>
      </c>
      <c r="D8691">
        <v>19</v>
      </c>
    </row>
    <row r="8692" spans="1:4" x14ac:dyDescent="0.25">
      <c r="A8692" s="1">
        <v>42661</v>
      </c>
      <c r="B8692">
        <v>1</v>
      </c>
      <c r="C8692">
        <v>5</v>
      </c>
      <c r="D8692">
        <v>16</v>
      </c>
    </row>
    <row r="8693" spans="1:4" x14ac:dyDescent="0.25">
      <c r="A8693" s="1">
        <v>42662</v>
      </c>
      <c r="B8693">
        <v>1</v>
      </c>
      <c r="C8693">
        <v>5</v>
      </c>
      <c r="D8693">
        <v>20</v>
      </c>
    </row>
    <row r="8694" spans="1:4" x14ac:dyDescent="0.25">
      <c r="A8694" s="1">
        <v>42663</v>
      </c>
      <c r="B8694">
        <v>1</v>
      </c>
      <c r="C8694">
        <v>5</v>
      </c>
      <c r="D8694">
        <v>13</v>
      </c>
    </row>
    <row r="8695" spans="1:4" x14ac:dyDescent="0.25">
      <c r="A8695" s="1">
        <v>42664</v>
      </c>
      <c r="B8695">
        <v>1</v>
      </c>
      <c r="C8695">
        <v>5</v>
      </c>
      <c r="D8695">
        <v>22</v>
      </c>
    </row>
    <row r="8696" spans="1:4" x14ac:dyDescent="0.25">
      <c r="A8696" s="1">
        <v>42665</v>
      </c>
      <c r="B8696">
        <v>1</v>
      </c>
      <c r="C8696">
        <v>5</v>
      </c>
      <c r="D8696">
        <v>15</v>
      </c>
    </row>
    <row r="8697" spans="1:4" x14ac:dyDescent="0.25">
      <c r="A8697" s="1">
        <v>42666</v>
      </c>
      <c r="B8697">
        <v>1</v>
      </c>
      <c r="C8697">
        <v>5</v>
      </c>
      <c r="D8697">
        <v>26</v>
      </c>
    </row>
    <row r="8698" spans="1:4" x14ac:dyDescent="0.25">
      <c r="A8698" s="1">
        <v>42667</v>
      </c>
      <c r="B8698">
        <v>1</v>
      </c>
      <c r="C8698">
        <v>5</v>
      </c>
      <c r="D8698">
        <v>15</v>
      </c>
    </row>
    <row r="8699" spans="1:4" x14ac:dyDescent="0.25">
      <c r="A8699" s="1">
        <v>42668</v>
      </c>
      <c r="B8699">
        <v>1</v>
      </c>
      <c r="C8699">
        <v>5</v>
      </c>
      <c r="D8699">
        <v>19</v>
      </c>
    </row>
    <row r="8700" spans="1:4" x14ac:dyDescent="0.25">
      <c r="A8700" s="1">
        <v>42669</v>
      </c>
      <c r="B8700">
        <v>1</v>
      </c>
      <c r="C8700">
        <v>5</v>
      </c>
      <c r="D8700">
        <v>16</v>
      </c>
    </row>
    <row r="8701" spans="1:4" x14ac:dyDescent="0.25">
      <c r="A8701" s="1">
        <v>42670</v>
      </c>
      <c r="B8701">
        <v>1</v>
      </c>
      <c r="C8701">
        <v>5</v>
      </c>
      <c r="D8701">
        <v>22</v>
      </c>
    </row>
    <row r="8702" spans="1:4" x14ac:dyDescent="0.25">
      <c r="A8702" s="1">
        <v>42671</v>
      </c>
      <c r="B8702">
        <v>1</v>
      </c>
      <c r="C8702">
        <v>5</v>
      </c>
      <c r="D8702">
        <v>26</v>
      </c>
    </row>
    <row r="8703" spans="1:4" x14ac:dyDescent="0.25">
      <c r="A8703" s="1">
        <v>42672</v>
      </c>
      <c r="B8703">
        <v>1</v>
      </c>
      <c r="C8703">
        <v>5</v>
      </c>
      <c r="D8703">
        <v>25</v>
      </c>
    </row>
    <row r="8704" spans="1:4" x14ac:dyDescent="0.25">
      <c r="A8704" s="1">
        <v>42673</v>
      </c>
      <c r="B8704">
        <v>1</v>
      </c>
      <c r="C8704">
        <v>5</v>
      </c>
      <c r="D8704">
        <v>16</v>
      </c>
    </row>
    <row r="8705" spans="1:4" x14ac:dyDescent="0.25">
      <c r="A8705" s="1">
        <v>42674</v>
      </c>
      <c r="B8705">
        <v>1</v>
      </c>
      <c r="C8705">
        <v>5</v>
      </c>
      <c r="D8705">
        <v>17</v>
      </c>
    </row>
    <row r="8706" spans="1:4" x14ac:dyDescent="0.25">
      <c r="A8706" s="1">
        <v>42675</v>
      </c>
      <c r="B8706">
        <v>1</v>
      </c>
      <c r="C8706">
        <v>5</v>
      </c>
      <c r="D8706">
        <v>17</v>
      </c>
    </row>
    <row r="8707" spans="1:4" x14ac:dyDescent="0.25">
      <c r="A8707" s="1">
        <v>42676</v>
      </c>
      <c r="B8707">
        <v>1</v>
      </c>
      <c r="C8707">
        <v>5</v>
      </c>
      <c r="D8707">
        <v>24</v>
      </c>
    </row>
    <row r="8708" spans="1:4" x14ac:dyDescent="0.25">
      <c r="A8708" s="1">
        <v>42677</v>
      </c>
      <c r="B8708">
        <v>1</v>
      </c>
      <c r="C8708">
        <v>5</v>
      </c>
      <c r="D8708">
        <v>25</v>
      </c>
    </row>
    <row r="8709" spans="1:4" x14ac:dyDescent="0.25">
      <c r="A8709" s="1">
        <v>42678</v>
      </c>
      <c r="B8709">
        <v>1</v>
      </c>
      <c r="C8709">
        <v>5</v>
      </c>
      <c r="D8709">
        <v>21</v>
      </c>
    </row>
    <row r="8710" spans="1:4" x14ac:dyDescent="0.25">
      <c r="A8710" s="1">
        <v>42679</v>
      </c>
      <c r="B8710">
        <v>1</v>
      </c>
      <c r="C8710">
        <v>5</v>
      </c>
      <c r="D8710">
        <v>18</v>
      </c>
    </row>
    <row r="8711" spans="1:4" x14ac:dyDescent="0.25">
      <c r="A8711" s="1">
        <v>42680</v>
      </c>
      <c r="B8711">
        <v>1</v>
      </c>
      <c r="C8711">
        <v>5</v>
      </c>
      <c r="D8711">
        <v>23</v>
      </c>
    </row>
    <row r="8712" spans="1:4" x14ac:dyDescent="0.25">
      <c r="A8712" s="1">
        <v>42681</v>
      </c>
      <c r="B8712">
        <v>1</v>
      </c>
      <c r="C8712">
        <v>5</v>
      </c>
      <c r="D8712">
        <v>20</v>
      </c>
    </row>
    <row r="8713" spans="1:4" x14ac:dyDescent="0.25">
      <c r="A8713" s="1">
        <v>42682</v>
      </c>
      <c r="B8713">
        <v>1</v>
      </c>
      <c r="C8713">
        <v>5</v>
      </c>
      <c r="D8713">
        <v>12</v>
      </c>
    </row>
    <row r="8714" spans="1:4" x14ac:dyDescent="0.25">
      <c r="A8714" s="1">
        <v>42683</v>
      </c>
      <c r="B8714">
        <v>1</v>
      </c>
      <c r="C8714">
        <v>5</v>
      </c>
      <c r="D8714">
        <v>13</v>
      </c>
    </row>
    <row r="8715" spans="1:4" x14ac:dyDescent="0.25">
      <c r="A8715" s="1">
        <v>42684</v>
      </c>
      <c r="B8715">
        <v>1</v>
      </c>
      <c r="C8715">
        <v>5</v>
      </c>
      <c r="D8715">
        <v>17</v>
      </c>
    </row>
    <row r="8716" spans="1:4" x14ac:dyDescent="0.25">
      <c r="A8716" s="1">
        <v>42685</v>
      </c>
      <c r="B8716">
        <v>1</v>
      </c>
      <c r="C8716">
        <v>5</v>
      </c>
      <c r="D8716">
        <v>24</v>
      </c>
    </row>
    <row r="8717" spans="1:4" x14ac:dyDescent="0.25">
      <c r="A8717" s="1">
        <v>42686</v>
      </c>
      <c r="B8717">
        <v>1</v>
      </c>
      <c r="C8717">
        <v>5</v>
      </c>
      <c r="D8717">
        <v>19</v>
      </c>
    </row>
    <row r="8718" spans="1:4" x14ac:dyDescent="0.25">
      <c r="A8718" s="1">
        <v>42687</v>
      </c>
      <c r="B8718">
        <v>1</v>
      </c>
      <c r="C8718">
        <v>5</v>
      </c>
      <c r="D8718">
        <v>21</v>
      </c>
    </row>
    <row r="8719" spans="1:4" x14ac:dyDescent="0.25">
      <c r="A8719" s="1">
        <v>42688</v>
      </c>
      <c r="B8719">
        <v>1</v>
      </c>
      <c r="C8719">
        <v>5</v>
      </c>
      <c r="D8719">
        <v>9</v>
      </c>
    </row>
    <row r="8720" spans="1:4" x14ac:dyDescent="0.25">
      <c r="A8720" s="1">
        <v>42689</v>
      </c>
      <c r="B8720">
        <v>1</v>
      </c>
      <c r="C8720">
        <v>5</v>
      </c>
      <c r="D8720">
        <v>18</v>
      </c>
    </row>
    <row r="8721" spans="1:4" x14ac:dyDescent="0.25">
      <c r="A8721" s="1">
        <v>42690</v>
      </c>
      <c r="B8721">
        <v>1</v>
      </c>
      <c r="C8721">
        <v>5</v>
      </c>
      <c r="D8721">
        <v>17</v>
      </c>
    </row>
    <row r="8722" spans="1:4" x14ac:dyDescent="0.25">
      <c r="A8722" s="1">
        <v>42691</v>
      </c>
      <c r="B8722">
        <v>1</v>
      </c>
      <c r="C8722">
        <v>5</v>
      </c>
      <c r="D8722">
        <v>14</v>
      </c>
    </row>
    <row r="8723" spans="1:4" x14ac:dyDescent="0.25">
      <c r="A8723" s="1">
        <v>42692</v>
      </c>
      <c r="B8723">
        <v>1</v>
      </c>
      <c r="C8723">
        <v>5</v>
      </c>
      <c r="D8723">
        <v>21</v>
      </c>
    </row>
    <row r="8724" spans="1:4" x14ac:dyDescent="0.25">
      <c r="A8724" s="1">
        <v>42693</v>
      </c>
      <c r="B8724">
        <v>1</v>
      </c>
      <c r="C8724">
        <v>5</v>
      </c>
      <c r="D8724">
        <v>17</v>
      </c>
    </row>
    <row r="8725" spans="1:4" x14ac:dyDescent="0.25">
      <c r="A8725" s="1">
        <v>42694</v>
      </c>
      <c r="B8725">
        <v>1</v>
      </c>
      <c r="C8725">
        <v>5</v>
      </c>
      <c r="D8725">
        <v>19</v>
      </c>
    </row>
    <row r="8726" spans="1:4" x14ac:dyDescent="0.25">
      <c r="A8726" s="1">
        <v>42695</v>
      </c>
      <c r="B8726">
        <v>1</v>
      </c>
      <c r="C8726">
        <v>5</v>
      </c>
      <c r="D8726">
        <v>11</v>
      </c>
    </row>
    <row r="8727" spans="1:4" x14ac:dyDescent="0.25">
      <c r="A8727" s="1">
        <v>42696</v>
      </c>
      <c r="B8727">
        <v>1</v>
      </c>
      <c r="C8727">
        <v>5</v>
      </c>
      <c r="D8727">
        <v>19</v>
      </c>
    </row>
    <row r="8728" spans="1:4" x14ac:dyDescent="0.25">
      <c r="A8728" s="1">
        <v>42697</v>
      </c>
      <c r="B8728">
        <v>1</v>
      </c>
      <c r="C8728">
        <v>5</v>
      </c>
      <c r="D8728">
        <v>17</v>
      </c>
    </row>
    <row r="8729" spans="1:4" x14ac:dyDescent="0.25">
      <c r="A8729" s="1">
        <v>42698</v>
      </c>
      <c r="B8729">
        <v>1</v>
      </c>
      <c r="C8729">
        <v>5</v>
      </c>
      <c r="D8729">
        <v>28</v>
      </c>
    </row>
    <row r="8730" spans="1:4" x14ac:dyDescent="0.25">
      <c r="A8730" s="1">
        <v>42699</v>
      </c>
      <c r="B8730">
        <v>1</v>
      </c>
      <c r="C8730">
        <v>5</v>
      </c>
      <c r="D8730">
        <v>19</v>
      </c>
    </row>
    <row r="8731" spans="1:4" x14ac:dyDescent="0.25">
      <c r="A8731" s="1">
        <v>42700</v>
      </c>
      <c r="B8731">
        <v>1</v>
      </c>
      <c r="C8731">
        <v>5</v>
      </c>
      <c r="D8731">
        <v>20</v>
      </c>
    </row>
    <row r="8732" spans="1:4" x14ac:dyDescent="0.25">
      <c r="A8732" s="1">
        <v>42701</v>
      </c>
      <c r="B8732">
        <v>1</v>
      </c>
      <c r="C8732">
        <v>5</v>
      </c>
      <c r="D8732">
        <v>19</v>
      </c>
    </row>
    <row r="8733" spans="1:4" x14ac:dyDescent="0.25">
      <c r="A8733" s="1">
        <v>42702</v>
      </c>
      <c r="B8733">
        <v>1</v>
      </c>
      <c r="C8733">
        <v>5</v>
      </c>
      <c r="D8733">
        <v>16</v>
      </c>
    </row>
    <row r="8734" spans="1:4" x14ac:dyDescent="0.25">
      <c r="A8734" s="1">
        <v>42703</v>
      </c>
      <c r="B8734">
        <v>1</v>
      </c>
      <c r="C8734">
        <v>5</v>
      </c>
      <c r="D8734">
        <v>21</v>
      </c>
    </row>
    <row r="8735" spans="1:4" x14ac:dyDescent="0.25">
      <c r="A8735" s="1">
        <v>42704</v>
      </c>
      <c r="B8735">
        <v>1</v>
      </c>
      <c r="C8735">
        <v>5</v>
      </c>
      <c r="D8735">
        <v>20</v>
      </c>
    </row>
    <row r="8736" spans="1:4" x14ac:dyDescent="0.25">
      <c r="A8736" s="1">
        <v>42705</v>
      </c>
      <c r="B8736">
        <v>1</v>
      </c>
      <c r="C8736">
        <v>5</v>
      </c>
      <c r="D8736">
        <v>19</v>
      </c>
    </row>
    <row r="8737" spans="1:4" x14ac:dyDescent="0.25">
      <c r="A8737" s="1">
        <v>42706</v>
      </c>
      <c r="B8737">
        <v>1</v>
      </c>
      <c r="C8737">
        <v>5</v>
      </c>
      <c r="D8737">
        <v>17</v>
      </c>
    </row>
    <row r="8738" spans="1:4" x14ac:dyDescent="0.25">
      <c r="A8738" s="1">
        <v>42707</v>
      </c>
      <c r="B8738">
        <v>1</v>
      </c>
      <c r="C8738">
        <v>5</v>
      </c>
      <c r="D8738">
        <v>15</v>
      </c>
    </row>
    <row r="8739" spans="1:4" x14ac:dyDescent="0.25">
      <c r="A8739" s="1">
        <v>42708</v>
      </c>
      <c r="B8739">
        <v>1</v>
      </c>
      <c r="C8739">
        <v>5</v>
      </c>
      <c r="D8739">
        <v>22</v>
      </c>
    </row>
    <row r="8740" spans="1:4" x14ac:dyDescent="0.25">
      <c r="A8740" s="1">
        <v>42709</v>
      </c>
      <c r="B8740">
        <v>1</v>
      </c>
      <c r="C8740">
        <v>5</v>
      </c>
      <c r="D8740">
        <v>14</v>
      </c>
    </row>
    <row r="8741" spans="1:4" x14ac:dyDescent="0.25">
      <c r="A8741" s="1">
        <v>42710</v>
      </c>
      <c r="B8741">
        <v>1</v>
      </c>
      <c r="C8741">
        <v>5</v>
      </c>
      <c r="D8741">
        <v>13</v>
      </c>
    </row>
    <row r="8742" spans="1:4" x14ac:dyDescent="0.25">
      <c r="A8742" s="1">
        <v>42711</v>
      </c>
      <c r="B8742">
        <v>1</v>
      </c>
      <c r="C8742">
        <v>5</v>
      </c>
      <c r="D8742">
        <v>14</v>
      </c>
    </row>
    <row r="8743" spans="1:4" x14ac:dyDescent="0.25">
      <c r="A8743" s="1">
        <v>42712</v>
      </c>
      <c r="B8743">
        <v>1</v>
      </c>
      <c r="C8743">
        <v>5</v>
      </c>
      <c r="D8743">
        <v>13</v>
      </c>
    </row>
    <row r="8744" spans="1:4" x14ac:dyDescent="0.25">
      <c r="A8744" s="1">
        <v>42713</v>
      </c>
      <c r="B8744">
        <v>1</v>
      </c>
      <c r="C8744">
        <v>5</v>
      </c>
      <c r="D8744">
        <v>11</v>
      </c>
    </row>
    <row r="8745" spans="1:4" x14ac:dyDescent="0.25">
      <c r="A8745" s="1">
        <v>42714</v>
      </c>
      <c r="B8745">
        <v>1</v>
      </c>
      <c r="C8745">
        <v>5</v>
      </c>
      <c r="D8745">
        <v>15</v>
      </c>
    </row>
    <row r="8746" spans="1:4" x14ac:dyDescent="0.25">
      <c r="A8746" s="1">
        <v>42715</v>
      </c>
      <c r="B8746">
        <v>1</v>
      </c>
      <c r="C8746">
        <v>5</v>
      </c>
      <c r="D8746">
        <v>22</v>
      </c>
    </row>
    <row r="8747" spans="1:4" x14ac:dyDescent="0.25">
      <c r="A8747" s="1">
        <v>42716</v>
      </c>
      <c r="B8747">
        <v>1</v>
      </c>
      <c r="C8747">
        <v>5</v>
      </c>
      <c r="D8747">
        <v>9</v>
      </c>
    </row>
    <row r="8748" spans="1:4" x14ac:dyDescent="0.25">
      <c r="A8748" s="1">
        <v>42717</v>
      </c>
      <c r="B8748">
        <v>1</v>
      </c>
      <c r="C8748">
        <v>5</v>
      </c>
      <c r="D8748">
        <v>4</v>
      </c>
    </row>
    <row r="8749" spans="1:4" x14ac:dyDescent="0.25">
      <c r="A8749" s="1">
        <v>42718</v>
      </c>
      <c r="B8749">
        <v>1</v>
      </c>
      <c r="C8749">
        <v>5</v>
      </c>
      <c r="D8749">
        <v>18</v>
      </c>
    </row>
    <row r="8750" spans="1:4" x14ac:dyDescent="0.25">
      <c r="A8750" s="1">
        <v>42719</v>
      </c>
      <c r="B8750">
        <v>1</v>
      </c>
      <c r="C8750">
        <v>5</v>
      </c>
      <c r="D8750">
        <v>8</v>
      </c>
    </row>
    <row r="8751" spans="1:4" x14ac:dyDescent="0.25">
      <c r="A8751" s="1">
        <v>42720</v>
      </c>
      <c r="B8751">
        <v>1</v>
      </c>
      <c r="C8751">
        <v>5</v>
      </c>
      <c r="D8751">
        <v>12</v>
      </c>
    </row>
    <row r="8752" spans="1:4" x14ac:dyDescent="0.25">
      <c r="A8752" s="1">
        <v>42721</v>
      </c>
      <c r="B8752">
        <v>1</v>
      </c>
      <c r="C8752">
        <v>5</v>
      </c>
      <c r="D8752">
        <v>17</v>
      </c>
    </row>
    <row r="8753" spans="1:4" x14ac:dyDescent="0.25">
      <c r="A8753" s="1">
        <v>42722</v>
      </c>
      <c r="B8753">
        <v>1</v>
      </c>
      <c r="C8753">
        <v>5</v>
      </c>
      <c r="D8753">
        <v>16</v>
      </c>
    </row>
    <row r="8754" spans="1:4" x14ac:dyDescent="0.25">
      <c r="A8754" s="1">
        <v>42723</v>
      </c>
      <c r="B8754">
        <v>1</v>
      </c>
      <c r="C8754">
        <v>5</v>
      </c>
      <c r="D8754">
        <v>9</v>
      </c>
    </row>
    <row r="8755" spans="1:4" x14ac:dyDescent="0.25">
      <c r="A8755" s="1">
        <v>42724</v>
      </c>
      <c r="B8755">
        <v>1</v>
      </c>
      <c r="C8755">
        <v>5</v>
      </c>
      <c r="D8755">
        <v>15</v>
      </c>
    </row>
    <row r="8756" spans="1:4" x14ac:dyDescent="0.25">
      <c r="A8756" s="1">
        <v>42725</v>
      </c>
      <c r="B8756">
        <v>1</v>
      </c>
      <c r="C8756">
        <v>5</v>
      </c>
      <c r="D8756">
        <v>8</v>
      </c>
    </row>
    <row r="8757" spans="1:4" x14ac:dyDescent="0.25">
      <c r="A8757" s="1">
        <v>42726</v>
      </c>
      <c r="B8757">
        <v>1</v>
      </c>
      <c r="C8757">
        <v>5</v>
      </c>
      <c r="D8757">
        <v>11</v>
      </c>
    </row>
    <row r="8758" spans="1:4" x14ac:dyDescent="0.25">
      <c r="A8758" s="1">
        <v>42727</v>
      </c>
      <c r="B8758">
        <v>1</v>
      </c>
      <c r="C8758">
        <v>5</v>
      </c>
      <c r="D8758">
        <v>18</v>
      </c>
    </row>
    <row r="8759" spans="1:4" x14ac:dyDescent="0.25">
      <c r="A8759" s="1">
        <v>42728</v>
      </c>
      <c r="B8759">
        <v>1</v>
      </c>
      <c r="C8759">
        <v>5</v>
      </c>
      <c r="D8759">
        <v>23</v>
      </c>
    </row>
    <row r="8760" spans="1:4" x14ac:dyDescent="0.25">
      <c r="A8760" s="1">
        <v>42729</v>
      </c>
      <c r="B8760">
        <v>1</v>
      </c>
      <c r="C8760">
        <v>5</v>
      </c>
      <c r="D8760">
        <v>11</v>
      </c>
    </row>
    <row r="8761" spans="1:4" x14ac:dyDescent="0.25">
      <c r="A8761" s="1">
        <v>42730</v>
      </c>
      <c r="B8761">
        <v>1</v>
      </c>
      <c r="C8761">
        <v>5</v>
      </c>
      <c r="D8761">
        <v>15</v>
      </c>
    </row>
    <row r="8762" spans="1:4" x14ac:dyDescent="0.25">
      <c r="A8762" s="1">
        <v>42731</v>
      </c>
      <c r="B8762">
        <v>1</v>
      </c>
      <c r="C8762">
        <v>5</v>
      </c>
      <c r="D8762">
        <v>12</v>
      </c>
    </row>
    <row r="8763" spans="1:4" x14ac:dyDescent="0.25">
      <c r="A8763" s="1">
        <v>42732</v>
      </c>
      <c r="B8763">
        <v>1</v>
      </c>
      <c r="C8763">
        <v>5</v>
      </c>
      <c r="D8763">
        <v>19</v>
      </c>
    </row>
    <row r="8764" spans="1:4" x14ac:dyDescent="0.25">
      <c r="A8764" s="1">
        <v>42733</v>
      </c>
      <c r="B8764">
        <v>1</v>
      </c>
      <c r="C8764">
        <v>5</v>
      </c>
      <c r="D8764">
        <v>12</v>
      </c>
    </row>
    <row r="8765" spans="1:4" x14ac:dyDescent="0.25">
      <c r="A8765" s="1">
        <v>42734</v>
      </c>
      <c r="B8765">
        <v>1</v>
      </c>
      <c r="C8765">
        <v>5</v>
      </c>
      <c r="D8765">
        <v>11</v>
      </c>
    </row>
    <row r="8766" spans="1:4" x14ac:dyDescent="0.25">
      <c r="A8766" s="1">
        <v>42735</v>
      </c>
      <c r="B8766">
        <v>1</v>
      </c>
      <c r="C8766">
        <v>5</v>
      </c>
      <c r="D8766">
        <v>17</v>
      </c>
    </row>
    <row r="8767" spans="1:4" x14ac:dyDescent="0.25">
      <c r="A8767" s="1">
        <v>42736</v>
      </c>
      <c r="B8767">
        <v>1</v>
      </c>
      <c r="C8767">
        <v>5</v>
      </c>
      <c r="D8767">
        <v>25</v>
      </c>
    </row>
    <row r="8768" spans="1:4" x14ac:dyDescent="0.25">
      <c r="A8768" s="1">
        <v>42737</v>
      </c>
      <c r="B8768">
        <v>1</v>
      </c>
      <c r="C8768">
        <v>5</v>
      </c>
      <c r="D8768">
        <v>14</v>
      </c>
    </row>
    <row r="8769" spans="1:4" x14ac:dyDescent="0.25">
      <c r="A8769" s="1">
        <v>42738</v>
      </c>
      <c r="B8769">
        <v>1</v>
      </c>
      <c r="C8769">
        <v>5</v>
      </c>
      <c r="D8769">
        <v>13</v>
      </c>
    </row>
    <row r="8770" spans="1:4" x14ac:dyDescent="0.25">
      <c r="A8770" s="1">
        <v>42739</v>
      </c>
      <c r="B8770">
        <v>1</v>
      </c>
      <c r="C8770">
        <v>5</v>
      </c>
      <c r="D8770">
        <v>15</v>
      </c>
    </row>
    <row r="8771" spans="1:4" x14ac:dyDescent="0.25">
      <c r="A8771" s="1">
        <v>42740</v>
      </c>
      <c r="B8771">
        <v>1</v>
      </c>
      <c r="C8771">
        <v>5</v>
      </c>
      <c r="D8771">
        <v>15</v>
      </c>
    </row>
    <row r="8772" spans="1:4" x14ac:dyDescent="0.25">
      <c r="A8772" s="1">
        <v>42741</v>
      </c>
      <c r="B8772">
        <v>1</v>
      </c>
      <c r="C8772">
        <v>5</v>
      </c>
      <c r="D8772">
        <v>18</v>
      </c>
    </row>
    <row r="8773" spans="1:4" x14ac:dyDescent="0.25">
      <c r="A8773" s="1">
        <v>42742</v>
      </c>
      <c r="B8773">
        <v>1</v>
      </c>
      <c r="C8773">
        <v>5</v>
      </c>
      <c r="D8773">
        <v>15</v>
      </c>
    </row>
    <row r="8774" spans="1:4" x14ac:dyDescent="0.25">
      <c r="A8774" s="1">
        <v>42743</v>
      </c>
      <c r="B8774">
        <v>1</v>
      </c>
      <c r="C8774">
        <v>5</v>
      </c>
      <c r="D8774">
        <v>12</v>
      </c>
    </row>
    <row r="8775" spans="1:4" x14ac:dyDescent="0.25">
      <c r="A8775" s="1">
        <v>42744</v>
      </c>
      <c r="B8775">
        <v>1</v>
      </c>
      <c r="C8775">
        <v>5</v>
      </c>
      <c r="D8775">
        <v>17</v>
      </c>
    </row>
    <row r="8776" spans="1:4" x14ac:dyDescent="0.25">
      <c r="A8776" s="1">
        <v>42745</v>
      </c>
      <c r="B8776">
        <v>1</v>
      </c>
      <c r="C8776">
        <v>5</v>
      </c>
      <c r="D8776">
        <v>11</v>
      </c>
    </row>
    <row r="8777" spans="1:4" x14ac:dyDescent="0.25">
      <c r="A8777" s="1">
        <v>42746</v>
      </c>
      <c r="B8777">
        <v>1</v>
      </c>
      <c r="C8777">
        <v>5</v>
      </c>
      <c r="D8777">
        <v>16</v>
      </c>
    </row>
    <row r="8778" spans="1:4" x14ac:dyDescent="0.25">
      <c r="A8778" s="1">
        <v>42747</v>
      </c>
      <c r="B8778">
        <v>1</v>
      </c>
      <c r="C8778">
        <v>5</v>
      </c>
      <c r="D8778">
        <v>8</v>
      </c>
    </row>
    <row r="8779" spans="1:4" x14ac:dyDescent="0.25">
      <c r="A8779" s="1">
        <v>42748</v>
      </c>
      <c r="B8779">
        <v>1</v>
      </c>
      <c r="C8779">
        <v>5</v>
      </c>
      <c r="D8779">
        <v>10</v>
      </c>
    </row>
    <row r="8780" spans="1:4" x14ac:dyDescent="0.25">
      <c r="A8780" s="1">
        <v>42749</v>
      </c>
      <c r="B8780">
        <v>1</v>
      </c>
      <c r="C8780">
        <v>5</v>
      </c>
      <c r="D8780">
        <v>15</v>
      </c>
    </row>
    <row r="8781" spans="1:4" x14ac:dyDescent="0.25">
      <c r="A8781" s="1">
        <v>42750</v>
      </c>
      <c r="B8781">
        <v>1</v>
      </c>
      <c r="C8781">
        <v>5</v>
      </c>
      <c r="D8781">
        <v>15</v>
      </c>
    </row>
    <row r="8782" spans="1:4" x14ac:dyDescent="0.25">
      <c r="A8782" s="1">
        <v>42751</v>
      </c>
      <c r="B8782">
        <v>1</v>
      </c>
      <c r="C8782">
        <v>5</v>
      </c>
      <c r="D8782">
        <v>7</v>
      </c>
    </row>
    <row r="8783" spans="1:4" x14ac:dyDescent="0.25">
      <c r="A8783" s="1">
        <v>42752</v>
      </c>
      <c r="B8783">
        <v>1</v>
      </c>
      <c r="C8783">
        <v>5</v>
      </c>
      <c r="D8783">
        <v>16</v>
      </c>
    </row>
    <row r="8784" spans="1:4" x14ac:dyDescent="0.25">
      <c r="A8784" s="1">
        <v>42753</v>
      </c>
      <c r="B8784">
        <v>1</v>
      </c>
      <c r="C8784">
        <v>5</v>
      </c>
      <c r="D8784">
        <v>14</v>
      </c>
    </row>
    <row r="8785" spans="1:4" x14ac:dyDescent="0.25">
      <c r="A8785" s="1">
        <v>42754</v>
      </c>
      <c r="B8785">
        <v>1</v>
      </c>
      <c r="C8785">
        <v>5</v>
      </c>
      <c r="D8785">
        <v>17</v>
      </c>
    </row>
    <row r="8786" spans="1:4" x14ac:dyDescent="0.25">
      <c r="A8786" s="1">
        <v>42755</v>
      </c>
      <c r="B8786">
        <v>1</v>
      </c>
      <c r="C8786">
        <v>5</v>
      </c>
      <c r="D8786">
        <v>16</v>
      </c>
    </row>
    <row r="8787" spans="1:4" x14ac:dyDescent="0.25">
      <c r="A8787" s="1">
        <v>42756</v>
      </c>
      <c r="B8787">
        <v>1</v>
      </c>
      <c r="C8787">
        <v>5</v>
      </c>
      <c r="D8787">
        <v>12</v>
      </c>
    </row>
    <row r="8788" spans="1:4" x14ac:dyDescent="0.25">
      <c r="A8788" s="1">
        <v>42757</v>
      </c>
      <c r="B8788">
        <v>1</v>
      </c>
      <c r="C8788">
        <v>5</v>
      </c>
      <c r="D8788">
        <v>9</v>
      </c>
    </row>
    <row r="8789" spans="1:4" x14ac:dyDescent="0.25">
      <c r="A8789" s="1">
        <v>42758</v>
      </c>
      <c r="B8789">
        <v>1</v>
      </c>
      <c r="C8789">
        <v>5</v>
      </c>
      <c r="D8789">
        <v>11</v>
      </c>
    </row>
    <row r="8790" spans="1:4" x14ac:dyDescent="0.25">
      <c r="A8790" s="1">
        <v>42759</v>
      </c>
      <c r="B8790">
        <v>1</v>
      </c>
      <c r="C8790">
        <v>5</v>
      </c>
      <c r="D8790">
        <v>14</v>
      </c>
    </row>
    <row r="8791" spans="1:4" x14ac:dyDescent="0.25">
      <c r="A8791" s="1">
        <v>42760</v>
      </c>
      <c r="B8791">
        <v>1</v>
      </c>
      <c r="C8791">
        <v>5</v>
      </c>
      <c r="D8791">
        <v>10</v>
      </c>
    </row>
    <row r="8792" spans="1:4" x14ac:dyDescent="0.25">
      <c r="A8792" s="1">
        <v>42761</v>
      </c>
      <c r="B8792">
        <v>1</v>
      </c>
      <c r="C8792">
        <v>5</v>
      </c>
      <c r="D8792">
        <v>14</v>
      </c>
    </row>
    <row r="8793" spans="1:4" x14ac:dyDescent="0.25">
      <c r="A8793" s="1">
        <v>42762</v>
      </c>
      <c r="B8793">
        <v>1</v>
      </c>
      <c r="C8793">
        <v>5</v>
      </c>
      <c r="D8793">
        <v>12</v>
      </c>
    </row>
    <row r="8794" spans="1:4" x14ac:dyDescent="0.25">
      <c r="A8794" s="1">
        <v>42763</v>
      </c>
      <c r="B8794">
        <v>1</v>
      </c>
      <c r="C8794">
        <v>5</v>
      </c>
      <c r="D8794">
        <v>10</v>
      </c>
    </row>
    <row r="8795" spans="1:4" x14ac:dyDescent="0.25">
      <c r="A8795" s="1">
        <v>42764</v>
      </c>
      <c r="B8795">
        <v>1</v>
      </c>
      <c r="C8795">
        <v>5</v>
      </c>
      <c r="D8795">
        <v>14</v>
      </c>
    </row>
    <row r="8796" spans="1:4" x14ac:dyDescent="0.25">
      <c r="A8796" s="1">
        <v>42765</v>
      </c>
      <c r="B8796">
        <v>1</v>
      </c>
      <c r="C8796">
        <v>5</v>
      </c>
      <c r="D8796">
        <v>4</v>
      </c>
    </row>
    <row r="8797" spans="1:4" x14ac:dyDescent="0.25">
      <c r="A8797" s="1">
        <v>42766</v>
      </c>
      <c r="B8797">
        <v>1</v>
      </c>
      <c r="C8797">
        <v>5</v>
      </c>
      <c r="D8797">
        <v>8</v>
      </c>
    </row>
    <row r="8798" spans="1:4" x14ac:dyDescent="0.25">
      <c r="A8798" s="1">
        <v>42767</v>
      </c>
      <c r="B8798">
        <v>1</v>
      </c>
      <c r="C8798">
        <v>5</v>
      </c>
      <c r="D8798">
        <v>19</v>
      </c>
    </row>
    <row r="8799" spans="1:4" x14ac:dyDescent="0.25">
      <c r="A8799" s="1">
        <v>42768</v>
      </c>
      <c r="B8799">
        <v>1</v>
      </c>
      <c r="C8799">
        <v>5</v>
      </c>
      <c r="D8799">
        <v>10</v>
      </c>
    </row>
    <row r="8800" spans="1:4" x14ac:dyDescent="0.25">
      <c r="A8800" s="1">
        <v>42769</v>
      </c>
      <c r="B8800">
        <v>1</v>
      </c>
      <c r="C8800">
        <v>5</v>
      </c>
      <c r="D8800">
        <v>12</v>
      </c>
    </row>
    <row r="8801" spans="1:4" x14ac:dyDescent="0.25">
      <c r="A8801" s="1">
        <v>42770</v>
      </c>
      <c r="B8801">
        <v>1</v>
      </c>
      <c r="C8801">
        <v>5</v>
      </c>
      <c r="D8801">
        <v>14</v>
      </c>
    </row>
    <row r="8802" spans="1:4" x14ac:dyDescent="0.25">
      <c r="A8802" s="1">
        <v>42771</v>
      </c>
      <c r="B8802">
        <v>1</v>
      </c>
      <c r="C8802">
        <v>5</v>
      </c>
      <c r="D8802">
        <v>13</v>
      </c>
    </row>
    <row r="8803" spans="1:4" x14ac:dyDescent="0.25">
      <c r="A8803" s="1">
        <v>42772</v>
      </c>
      <c r="B8803">
        <v>1</v>
      </c>
      <c r="C8803">
        <v>5</v>
      </c>
      <c r="D8803">
        <v>17</v>
      </c>
    </row>
    <row r="8804" spans="1:4" x14ac:dyDescent="0.25">
      <c r="A8804" s="1">
        <v>42773</v>
      </c>
      <c r="B8804">
        <v>1</v>
      </c>
      <c r="C8804">
        <v>5</v>
      </c>
      <c r="D8804">
        <v>19</v>
      </c>
    </row>
    <row r="8805" spans="1:4" x14ac:dyDescent="0.25">
      <c r="A8805" s="1">
        <v>42774</v>
      </c>
      <c r="B8805">
        <v>1</v>
      </c>
      <c r="C8805">
        <v>5</v>
      </c>
      <c r="D8805">
        <v>14</v>
      </c>
    </row>
    <row r="8806" spans="1:4" x14ac:dyDescent="0.25">
      <c r="A8806" s="1">
        <v>42775</v>
      </c>
      <c r="B8806">
        <v>1</v>
      </c>
      <c r="C8806">
        <v>5</v>
      </c>
      <c r="D8806">
        <v>14</v>
      </c>
    </row>
    <row r="8807" spans="1:4" x14ac:dyDescent="0.25">
      <c r="A8807" s="1">
        <v>42776</v>
      </c>
      <c r="B8807">
        <v>1</v>
      </c>
      <c r="C8807">
        <v>5</v>
      </c>
      <c r="D8807">
        <v>6</v>
      </c>
    </row>
    <row r="8808" spans="1:4" x14ac:dyDescent="0.25">
      <c r="A8808" s="1">
        <v>42777</v>
      </c>
      <c r="B8808">
        <v>1</v>
      </c>
      <c r="C8808">
        <v>5</v>
      </c>
      <c r="D8808">
        <v>20</v>
      </c>
    </row>
    <row r="8809" spans="1:4" x14ac:dyDescent="0.25">
      <c r="A8809" s="1">
        <v>42778</v>
      </c>
      <c r="B8809">
        <v>1</v>
      </c>
      <c r="C8809">
        <v>5</v>
      </c>
      <c r="D8809">
        <v>21</v>
      </c>
    </row>
    <row r="8810" spans="1:4" x14ac:dyDescent="0.25">
      <c r="A8810" s="1">
        <v>42779</v>
      </c>
      <c r="B8810">
        <v>1</v>
      </c>
      <c r="C8810">
        <v>5</v>
      </c>
      <c r="D8810">
        <v>9</v>
      </c>
    </row>
    <row r="8811" spans="1:4" x14ac:dyDescent="0.25">
      <c r="A8811" s="1">
        <v>42780</v>
      </c>
      <c r="B8811">
        <v>1</v>
      </c>
      <c r="C8811">
        <v>5</v>
      </c>
      <c r="D8811">
        <v>7</v>
      </c>
    </row>
    <row r="8812" spans="1:4" x14ac:dyDescent="0.25">
      <c r="A8812" s="1">
        <v>42781</v>
      </c>
      <c r="B8812">
        <v>1</v>
      </c>
      <c r="C8812">
        <v>5</v>
      </c>
      <c r="D8812">
        <v>13</v>
      </c>
    </row>
    <row r="8813" spans="1:4" x14ac:dyDescent="0.25">
      <c r="A8813" s="1">
        <v>42782</v>
      </c>
      <c r="B8813">
        <v>1</v>
      </c>
      <c r="C8813">
        <v>5</v>
      </c>
      <c r="D8813">
        <v>10</v>
      </c>
    </row>
    <row r="8814" spans="1:4" x14ac:dyDescent="0.25">
      <c r="A8814" s="1">
        <v>42783</v>
      </c>
      <c r="B8814">
        <v>1</v>
      </c>
      <c r="C8814">
        <v>5</v>
      </c>
      <c r="D8814">
        <v>26</v>
      </c>
    </row>
    <row r="8815" spans="1:4" x14ac:dyDescent="0.25">
      <c r="A8815" s="1">
        <v>42784</v>
      </c>
      <c r="B8815">
        <v>1</v>
      </c>
      <c r="C8815">
        <v>5</v>
      </c>
      <c r="D8815">
        <v>26</v>
      </c>
    </row>
    <row r="8816" spans="1:4" x14ac:dyDescent="0.25">
      <c r="A8816" s="1">
        <v>42785</v>
      </c>
      <c r="B8816">
        <v>1</v>
      </c>
      <c r="C8816">
        <v>5</v>
      </c>
      <c r="D8816">
        <v>19</v>
      </c>
    </row>
    <row r="8817" spans="1:4" x14ac:dyDescent="0.25">
      <c r="A8817" s="1">
        <v>42786</v>
      </c>
      <c r="B8817">
        <v>1</v>
      </c>
      <c r="C8817">
        <v>5</v>
      </c>
      <c r="D8817">
        <v>9</v>
      </c>
    </row>
    <row r="8818" spans="1:4" x14ac:dyDescent="0.25">
      <c r="A8818" s="1">
        <v>42787</v>
      </c>
      <c r="B8818">
        <v>1</v>
      </c>
      <c r="C8818">
        <v>5</v>
      </c>
      <c r="D8818">
        <v>17</v>
      </c>
    </row>
    <row r="8819" spans="1:4" x14ac:dyDescent="0.25">
      <c r="A8819" s="1">
        <v>42788</v>
      </c>
      <c r="B8819">
        <v>1</v>
      </c>
      <c r="C8819">
        <v>5</v>
      </c>
      <c r="D8819">
        <v>16</v>
      </c>
    </row>
    <row r="8820" spans="1:4" x14ac:dyDescent="0.25">
      <c r="A8820" s="1">
        <v>42789</v>
      </c>
      <c r="B8820">
        <v>1</v>
      </c>
      <c r="C8820">
        <v>5</v>
      </c>
      <c r="D8820">
        <v>11</v>
      </c>
    </row>
    <row r="8821" spans="1:4" x14ac:dyDescent="0.25">
      <c r="A8821" s="1">
        <v>42790</v>
      </c>
      <c r="B8821">
        <v>1</v>
      </c>
      <c r="C8821">
        <v>5</v>
      </c>
      <c r="D8821">
        <v>22</v>
      </c>
    </row>
    <row r="8822" spans="1:4" x14ac:dyDescent="0.25">
      <c r="A8822" s="1">
        <v>42791</v>
      </c>
      <c r="B8822">
        <v>1</v>
      </c>
      <c r="C8822">
        <v>5</v>
      </c>
      <c r="D8822">
        <v>22</v>
      </c>
    </row>
    <row r="8823" spans="1:4" x14ac:dyDescent="0.25">
      <c r="A8823" s="1">
        <v>42792</v>
      </c>
      <c r="B8823">
        <v>1</v>
      </c>
      <c r="C8823">
        <v>5</v>
      </c>
      <c r="D8823">
        <v>17</v>
      </c>
    </row>
    <row r="8824" spans="1:4" x14ac:dyDescent="0.25">
      <c r="A8824" s="1">
        <v>42793</v>
      </c>
      <c r="B8824">
        <v>1</v>
      </c>
      <c r="C8824">
        <v>5</v>
      </c>
      <c r="D8824">
        <v>14</v>
      </c>
    </row>
    <row r="8825" spans="1:4" x14ac:dyDescent="0.25">
      <c r="A8825" s="1">
        <v>42794</v>
      </c>
      <c r="B8825">
        <v>1</v>
      </c>
      <c r="C8825">
        <v>5</v>
      </c>
      <c r="D8825">
        <v>15</v>
      </c>
    </row>
    <row r="8826" spans="1:4" x14ac:dyDescent="0.25">
      <c r="A8826" s="1">
        <v>42795</v>
      </c>
      <c r="B8826">
        <v>1</v>
      </c>
      <c r="C8826">
        <v>5</v>
      </c>
      <c r="D8826">
        <v>17</v>
      </c>
    </row>
    <row r="8827" spans="1:4" x14ac:dyDescent="0.25">
      <c r="A8827" s="1">
        <v>42796</v>
      </c>
      <c r="B8827">
        <v>1</v>
      </c>
      <c r="C8827">
        <v>5</v>
      </c>
      <c r="D8827">
        <v>16</v>
      </c>
    </row>
    <row r="8828" spans="1:4" x14ac:dyDescent="0.25">
      <c r="A8828" s="1">
        <v>42797</v>
      </c>
      <c r="B8828">
        <v>1</v>
      </c>
      <c r="C8828">
        <v>5</v>
      </c>
      <c r="D8828">
        <v>14</v>
      </c>
    </row>
    <row r="8829" spans="1:4" x14ac:dyDescent="0.25">
      <c r="A8829" s="1">
        <v>42798</v>
      </c>
      <c r="B8829">
        <v>1</v>
      </c>
      <c r="C8829">
        <v>5</v>
      </c>
      <c r="D8829">
        <v>17</v>
      </c>
    </row>
    <row r="8830" spans="1:4" x14ac:dyDescent="0.25">
      <c r="A8830" s="1">
        <v>42799</v>
      </c>
      <c r="B8830">
        <v>1</v>
      </c>
      <c r="C8830">
        <v>5</v>
      </c>
      <c r="D8830">
        <v>26</v>
      </c>
    </row>
    <row r="8831" spans="1:4" x14ac:dyDescent="0.25">
      <c r="A8831" s="1">
        <v>42800</v>
      </c>
      <c r="B8831">
        <v>1</v>
      </c>
      <c r="C8831">
        <v>5</v>
      </c>
      <c r="D8831">
        <v>5</v>
      </c>
    </row>
    <row r="8832" spans="1:4" x14ac:dyDescent="0.25">
      <c r="A8832" s="1">
        <v>42801</v>
      </c>
      <c r="B8832">
        <v>1</v>
      </c>
      <c r="C8832">
        <v>5</v>
      </c>
      <c r="D8832">
        <v>9</v>
      </c>
    </row>
    <row r="8833" spans="1:4" x14ac:dyDescent="0.25">
      <c r="A8833" s="1">
        <v>42802</v>
      </c>
      <c r="B8833">
        <v>1</v>
      </c>
      <c r="C8833">
        <v>5</v>
      </c>
      <c r="D8833">
        <v>16</v>
      </c>
    </row>
    <row r="8834" spans="1:4" x14ac:dyDescent="0.25">
      <c r="A8834" s="1">
        <v>42803</v>
      </c>
      <c r="B8834">
        <v>1</v>
      </c>
      <c r="C8834">
        <v>5</v>
      </c>
      <c r="D8834">
        <v>19</v>
      </c>
    </row>
    <row r="8835" spans="1:4" x14ac:dyDescent="0.25">
      <c r="A8835" s="1">
        <v>42804</v>
      </c>
      <c r="B8835">
        <v>1</v>
      </c>
      <c r="C8835">
        <v>5</v>
      </c>
      <c r="D8835">
        <v>28</v>
      </c>
    </row>
    <row r="8836" spans="1:4" x14ac:dyDescent="0.25">
      <c r="A8836" s="1">
        <v>42805</v>
      </c>
      <c r="B8836">
        <v>1</v>
      </c>
      <c r="C8836">
        <v>5</v>
      </c>
      <c r="D8836">
        <v>20</v>
      </c>
    </row>
    <row r="8837" spans="1:4" x14ac:dyDescent="0.25">
      <c r="A8837" s="1">
        <v>42806</v>
      </c>
      <c r="B8837">
        <v>1</v>
      </c>
      <c r="C8837">
        <v>5</v>
      </c>
      <c r="D8837">
        <v>16</v>
      </c>
    </row>
    <row r="8838" spans="1:4" x14ac:dyDescent="0.25">
      <c r="A8838" s="1">
        <v>42807</v>
      </c>
      <c r="B8838">
        <v>1</v>
      </c>
      <c r="C8838">
        <v>5</v>
      </c>
      <c r="D8838">
        <v>9</v>
      </c>
    </row>
    <row r="8839" spans="1:4" x14ac:dyDescent="0.25">
      <c r="A8839" s="1">
        <v>42808</v>
      </c>
      <c r="B8839">
        <v>1</v>
      </c>
      <c r="C8839">
        <v>5</v>
      </c>
      <c r="D8839">
        <v>10</v>
      </c>
    </row>
    <row r="8840" spans="1:4" x14ac:dyDescent="0.25">
      <c r="A8840" s="1">
        <v>42809</v>
      </c>
      <c r="B8840">
        <v>1</v>
      </c>
      <c r="C8840">
        <v>5</v>
      </c>
      <c r="D8840">
        <v>15</v>
      </c>
    </row>
    <row r="8841" spans="1:4" x14ac:dyDescent="0.25">
      <c r="A8841" s="1">
        <v>42810</v>
      </c>
      <c r="B8841">
        <v>1</v>
      </c>
      <c r="C8841">
        <v>5</v>
      </c>
      <c r="D8841">
        <v>16</v>
      </c>
    </row>
    <row r="8842" spans="1:4" x14ac:dyDescent="0.25">
      <c r="A8842" s="1">
        <v>42811</v>
      </c>
      <c r="B8842">
        <v>1</v>
      </c>
      <c r="C8842">
        <v>5</v>
      </c>
      <c r="D8842">
        <v>16</v>
      </c>
    </row>
    <row r="8843" spans="1:4" x14ac:dyDescent="0.25">
      <c r="A8843" s="1">
        <v>42812</v>
      </c>
      <c r="B8843">
        <v>1</v>
      </c>
      <c r="C8843">
        <v>5</v>
      </c>
      <c r="D8843">
        <v>20</v>
      </c>
    </row>
    <row r="8844" spans="1:4" x14ac:dyDescent="0.25">
      <c r="A8844" s="1">
        <v>42813</v>
      </c>
      <c r="B8844">
        <v>1</v>
      </c>
      <c r="C8844">
        <v>5</v>
      </c>
      <c r="D8844">
        <v>14</v>
      </c>
    </row>
    <row r="8845" spans="1:4" x14ac:dyDescent="0.25">
      <c r="A8845" s="1">
        <v>42814</v>
      </c>
      <c r="B8845">
        <v>1</v>
      </c>
      <c r="C8845">
        <v>5</v>
      </c>
      <c r="D8845">
        <v>13</v>
      </c>
    </row>
    <row r="8846" spans="1:4" x14ac:dyDescent="0.25">
      <c r="A8846" s="1">
        <v>42815</v>
      </c>
      <c r="B8846">
        <v>1</v>
      </c>
      <c r="C8846">
        <v>5</v>
      </c>
      <c r="D8846">
        <v>18</v>
      </c>
    </row>
    <row r="8847" spans="1:4" x14ac:dyDescent="0.25">
      <c r="A8847" s="1">
        <v>42816</v>
      </c>
      <c r="B8847">
        <v>1</v>
      </c>
      <c r="C8847">
        <v>5</v>
      </c>
      <c r="D8847">
        <v>19</v>
      </c>
    </row>
    <row r="8848" spans="1:4" x14ac:dyDescent="0.25">
      <c r="A8848" s="1">
        <v>42817</v>
      </c>
      <c r="B8848">
        <v>1</v>
      </c>
      <c r="C8848">
        <v>5</v>
      </c>
      <c r="D8848">
        <v>16</v>
      </c>
    </row>
    <row r="8849" spans="1:4" x14ac:dyDescent="0.25">
      <c r="A8849" s="1">
        <v>42818</v>
      </c>
      <c r="B8849">
        <v>1</v>
      </c>
      <c r="C8849">
        <v>5</v>
      </c>
      <c r="D8849">
        <v>16</v>
      </c>
    </row>
    <row r="8850" spans="1:4" x14ac:dyDescent="0.25">
      <c r="A8850" s="1">
        <v>42819</v>
      </c>
      <c r="B8850">
        <v>1</v>
      </c>
      <c r="C8850">
        <v>5</v>
      </c>
      <c r="D8850">
        <v>19</v>
      </c>
    </row>
    <row r="8851" spans="1:4" x14ac:dyDescent="0.25">
      <c r="A8851" s="1">
        <v>42820</v>
      </c>
      <c r="B8851">
        <v>1</v>
      </c>
      <c r="C8851">
        <v>5</v>
      </c>
      <c r="D8851">
        <v>22</v>
      </c>
    </row>
    <row r="8852" spans="1:4" x14ac:dyDescent="0.25">
      <c r="A8852" s="1">
        <v>42821</v>
      </c>
      <c r="B8852">
        <v>1</v>
      </c>
      <c r="C8852">
        <v>5</v>
      </c>
      <c r="D8852">
        <v>15</v>
      </c>
    </row>
    <row r="8853" spans="1:4" x14ac:dyDescent="0.25">
      <c r="A8853" s="1">
        <v>42822</v>
      </c>
      <c r="B8853">
        <v>1</v>
      </c>
      <c r="C8853">
        <v>5</v>
      </c>
      <c r="D8853">
        <v>12</v>
      </c>
    </row>
    <row r="8854" spans="1:4" x14ac:dyDescent="0.25">
      <c r="A8854" s="1">
        <v>42823</v>
      </c>
      <c r="B8854">
        <v>1</v>
      </c>
      <c r="C8854">
        <v>5</v>
      </c>
      <c r="D8854">
        <v>10</v>
      </c>
    </row>
    <row r="8855" spans="1:4" x14ac:dyDescent="0.25">
      <c r="A8855" s="1">
        <v>42824</v>
      </c>
      <c r="B8855">
        <v>1</v>
      </c>
      <c r="C8855">
        <v>5</v>
      </c>
      <c r="D8855">
        <v>25</v>
      </c>
    </row>
    <row r="8856" spans="1:4" x14ac:dyDescent="0.25">
      <c r="A8856" s="1">
        <v>42825</v>
      </c>
      <c r="B8856">
        <v>1</v>
      </c>
      <c r="C8856">
        <v>5</v>
      </c>
      <c r="D8856">
        <v>24</v>
      </c>
    </row>
    <row r="8857" spans="1:4" x14ac:dyDescent="0.25">
      <c r="A8857" s="1">
        <v>42826</v>
      </c>
      <c r="B8857">
        <v>1</v>
      </c>
      <c r="C8857">
        <v>5</v>
      </c>
      <c r="D8857">
        <v>26</v>
      </c>
    </row>
    <row r="8858" spans="1:4" x14ac:dyDescent="0.25">
      <c r="A8858" s="1">
        <v>42827</v>
      </c>
      <c r="B8858">
        <v>1</v>
      </c>
      <c r="C8858">
        <v>5</v>
      </c>
      <c r="D8858">
        <v>32</v>
      </c>
    </row>
    <row r="8859" spans="1:4" x14ac:dyDescent="0.25">
      <c r="A8859" s="1">
        <v>42828</v>
      </c>
      <c r="B8859">
        <v>1</v>
      </c>
      <c r="C8859">
        <v>5</v>
      </c>
      <c r="D8859">
        <v>18</v>
      </c>
    </row>
    <row r="8860" spans="1:4" x14ac:dyDescent="0.25">
      <c r="A8860" s="1">
        <v>42829</v>
      </c>
      <c r="B8860">
        <v>1</v>
      </c>
      <c r="C8860">
        <v>5</v>
      </c>
      <c r="D8860">
        <v>21</v>
      </c>
    </row>
    <row r="8861" spans="1:4" x14ac:dyDescent="0.25">
      <c r="A8861" s="1">
        <v>42830</v>
      </c>
      <c r="B8861">
        <v>1</v>
      </c>
      <c r="C8861">
        <v>5</v>
      </c>
      <c r="D8861">
        <v>17</v>
      </c>
    </row>
    <row r="8862" spans="1:4" x14ac:dyDescent="0.25">
      <c r="A8862" s="1">
        <v>42831</v>
      </c>
      <c r="B8862">
        <v>1</v>
      </c>
      <c r="C8862">
        <v>5</v>
      </c>
      <c r="D8862">
        <v>19</v>
      </c>
    </row>
    <row r="8863" spans="1:4" x14ac:dyDescent="0.25">
      <c r="A8863" s="1">
        <v>42832</v>
      </c>
      <c r="B8863">
        <v>1</v>
      </c>
      <c r="C8863">
        <v>5</v>
      </c>
      <c r="D8863">
        <v>15</v>
      </c>
    </row>
    <row r="8864" spans="1:4" x14ac:dyDescent="0.25">
      <c r="A8864" s="1">
        <v>42833</v>
      </c>
      <c r="B8864">
        <v>1</v>
      </c>
      <c r="C8864">
        <v>5</v>
      </c>
      <c r="D8864">
        <v>25</v>
      </c>
    </row>
    <row r="8865" spans="1:4" x14ac:dyDescent="0.25">
      <c r="A8865" s="1">
        <v>42834</v>
      </c>
      <c r="B8865">
        <v>1</v>
      </c>
      <c r="C8865">
        <v>5</v>
      </c>
      <c r="D8865">
        <v>24</v>
      </c>
    </row>
    <row r="8866" spans="1:4" x14ac:dyDescent="0.25">
      <c r="A8866" s="1">
        <v>42835</v>
      </c>
      <c r="B8866">
        <v>1</v>
      </c>
      <c r="C8866">
        <v>5</v>
      </c>
      <c r="D8866">
        <v>9</v>
      </c>
    </row>
    <row r="8867" spans="1:4" x14ac:dyDescent="0.25">
      <c r="A8867" s="1">
        <v>42836</v>
      </c>
      <c r="B8867">
        <v>1</v>
      </c>
      <c r="C8867">
        <v>5</v>
      </c>
      <c r="D8867">
        <v>19</v>
      </c>
    </row>
    <row r="8868" spans="1:4" x14ac:dyDescent="0.25">
      <c r="A8868" s="1">
        <v>42837</v>
      </c>
      <c r="B8868">
        <v>1</v>
      </c>
      <c r="C8868">
        <v>5</v>
      </c>
      <c r="D8868">
        <v>22</v>
      </c>
    </row>
    <row r="8869" spans="1:4" x14ac:dyDescent="0.25">
      <c r="A8869" s="1">
        <v>42838</v>
      </c>
      <c r="B8869">
        <v>1</v>
      </c>
      <c r="C8869">
        <v>5</v>
      </c>
      <c r="D8869">
        <v>26</v>
      </c>
    </row>
    <row r="8870" spans="1:4" x14ac:dyDescent="0.25">
      <c r="A8870" s="1">
        <v>42839</v>
      </c>
      <c r="B8870">
        <v>1</v>
      </c>
      <c r="C8870">
        <v>5</v>
      </c>
      <c r="D8870">
        <v>20</v>
      </c>
    </row>
    <row r="8871" spans="1:4" x14ac:dyDescent="0.25">
      <c r="A8871" s="1">
        <v>42840</v>
      </c>
      <c r="B8871">
        <v>1</v>
      </c>
      <c r="C8871">
        <v>5</v>
      </c>
      <c r="D8871">
        <v>26</v>
      </c>
    </row>
    <row r="8872" spans="1:4" x14ac:dyDescent="0.25">
      <c r="A8872" s="1">
        <v>42841</v>
      </c>
      <c r="B8872">
        <v>1</v>
      </c>
      <c r="C8872">
        <v>5</v>
      </c>
      <c r="D8872">
        <v>29</v>
      </c>
    </row>
    <row r="8873" spans="1:4" x14ac:dyDescent="0.25">
      <c r="A8873" s="1">
        <v>42842</v>
      </c>
      <c r="B8873">
        <v>1</v>
      </c>
      <c r="C8873">
        <v>5</v>
      </c>
      <c r="D8873">
        <v>11</v>
      </c>
    </row>
    <row r="8874" spans="1:4" x14ac:dyDescent="0.25">
      <c r="A8874" s="1">
        <v>42843</v>
      </c>
      <c r="B8874">
        <v>1</v>
      </c>
      <c r="C8874">
        <v>5</v>
      </c>
      <c r="D8874">
        <v>20</v>
      </c>
    </row>
    <row r="8875" spans="1:4" x14ac:dyDescent="0.25">
      <c r="A8875" s="1">
        <v>42844</v>
      </c>
      <c r="B8875">
        <v>1</v>
      </c>
      <c r="C8875">
        <v>5</v>
      </c>
      <c r="D8875">
        <v>23</v>
      </c>
    </row>
    <row r="8876" spans="1:4" x14ac:dyDescent="0.25">
      <c r="A8876" s="1">
        <v>42845</v>
      </c>
      <c r="B8876">
        <v>1</v>
      </c>
      <c r="C8876">
        <v>5</v>
      </c>
      <c r="D8876">
        <v>19</v>
      </c>
    </row>
    <row r="8877" spans="1:4" x14ac:dyDescent="0.25">
      <c r="A8877" s="1">
        <v>42846</v>
      </c>
      <c r="B8877">
        <v>1</v>
      </c>
      <c r="C8877">
        <v>5</v>
      </c>
      <c r="D8877">
        <v>20</v>
      </c>
    </row>
    <row r="8878" spans="1:4" x14ac:dyDescent="0.25">
      <c r="A8878" s="1">
        <v>42847</v>
      </c>
      <c r="B8878">
        <v>1</v>
      </c>
      <c r="C8878">
        <v>5</v>
      </c>
      <c r="D8878">
        <v>22</v>
      </c>
    </row>
    <row r="8879" spans="1:4" x14ac:dyDescent="0.25">
      <c r="A8879" s="1">
        <v>42848</v>
      </c>
      <c r="B8879">
        <v>1</v>
      </c>
      <c r="C8879">
        <v>5</v>
      </c>
      <c r="D8879">
        <v>28</v>
      </c>
    </row>
    <row r="8880" spans="1:4" x14ac:dyDescent="0.25">
      <c r="A8880" s="1">
        <v>42849</v>
      </c>
      <c r="B8880">
        <v>1</v>
      </c>
      <c r="C8880">
        <v>5</v>
      </c>
      <c r="D8880">
        <v>15</v>
      </c>
    </row>
    <row r="8881" spans="1:4" x14ac:dyDescent="0.25">
      <c r="A8881" s="1">
        <v>42850</v>
      </c>
      <c r="B8881">
        <v>1</v>
      </c>
      <c r="C8881">
        <v>5</v>
      </c>
      <c r="D8881">
        <v>19</v>
      </c>
    </row>
    <row r="8882" spans="1:4" x14ac:dyDescent="0.25">
      <c r="A8882" s="1">
        <v>42851</v>
      </c>
      <c r="B8882">
        <v>1</v>
      </c>
      <c r="C8882">
        <v>5</v>
      </c>
      <c r="D8882">
        <v>24</v>
      </c>
    </row>
    <row r="8883" spans="1:4" x14ac:dyDescent="0.25">
      <c r="A8883" s="1">
        <v>42852</v>
      </c>
      <c r="B8883">
        <v>1</v>
      </c>
      <c r="C8883">
        <v>5</v>
      </c>
      <c r="D8883">
        <v>21</v>
      </c>
    </row>
    <row r="8884" spans="1:4" x14ac:dyDescent="0.25">
      <c r="A8884" s="1">
        <v>42853</v>
      </c>
      <c r="B8884">
        <v>1</v>
      </c>
      <c r="C8884">
        <v>5</v>
      </c>
      <c r="D8884">
        <v>20</v>
      </c>
    </row>
    <row r="8885" spans="1:4" x14ac:dyDescent="0.25">
      <c r="A8885" s="1">
        <v>42854</v>
      </c>
      <c r="B8885">
        <v>1</v>
      </c>
      <c r="C8885">
        <v>5</v>
      </c>
      <c r="D8885">
        <v>21</v>
      </c>
    </row>
    <row r="8886" spans="1:4" x14ac:dyDescent="0.25">
      <c r="A8886" s="1">
        <v>42855</v>
      </c>
      <c r="B8886">
        <v>1</v>
      </c>
      <c r="C8886">
        <v>5</v>
      </c>
      <c r="D8886">
        <v>22</v>
      </c>
    </row>
    <row r="8887" spans="1:4" x14ac:dyDescent="0.25">
      <c r="A8887" s="1">
        <v>42856</v>
      </c>
      <c r="B8887">
        <v>1</v>
      </c>
      <c r="C8887">
        <v>5</v>
      </c>
      <c r="D8887">
        <v>12</v>
      </c>
    </row>
    <row r="8888" spans="1:4" x14ac:dyDescent="0.25">
      <c r="A8888" s="1">
        <v>42857</v>
      </c>
      <c r="B8888">
        <v>1</v>
      </c>
      <c r="C8888">
        <v>5</v>
      </c>
      <c r="D8888">
        <v>17</v>
      </c>
    </row>
    <row r="8889" spans="1:4" x14ac:dyDescent="0.25">
      <c r="A8889" s="1">
        <v>42858</v>
      </c>
      <c r="B8889">
        <v>1</v>
      </c>
      <c r="C8889">
        <v>5</v>
      </c>
      <c r="D8889">
        <v>19</v>
      </c>
    </row>
    <row r="8890" spans="1:4" x14ac:dyDescent="0.25">
      <c r="A8890" s="1">
        <v>42859</v>
      </c>
      <c r="B8890">
        <v>1</v>
      </c>
      <c r="C8890">
        <v>5</v>
      </c>
      <c r="D8890">
        <v>22</v>
      </c>
    </row>
    <row r="8891" spans="1:4" x14ac:dyDescent="0.25">
      <c r="A8891" s="1">
        <v>42860</v>
      </c>
      <c r="B8891">
        <v>1</v>
      </c>
      <c r="C8891">
        <v>5</v>
      </c>
      <c r="D8891">
        <v>21</v>
      </c>
    </row>
    <row r="8892" spans="1:4" x14ac:dyDescent="0.25">
      <c r="A8892" s="1">
        <v>42861</v>
      </c>
      <c r="B8892">
        <v>1</v>
      </c>
      <c r="C8892">
        <v>5</v>
      </c>
      <c r="D8892">
        <v>16</v>
      </c>
    </row>
    <row r="8893" spans="1:4" x14ac:dyDescent="0.25">
      <c r="A8893" s="1">
        <v>42862</v>
      </c>
      <c r="B8893">
        <v>1</v>
      </c>
      <c r="C8893">
        <v>5</v>
      </c>
      <c r="D8893">
        <v>25</v>
      </c>
    </row>
    <row r="8894" spans="1:4" x14ac:dyDescent="0.25">
      <c r="A8894" s="1">
        <v>42863</v>
      </c>
      <c r="B8894">
        <v>1</v>
      </c>
      <c r="C8894">
        <v>5</v>
      </c>
      <c r="D8894">
        <v>21</v>
      </c>
    </row>
    <row r="8895" spans="1:4" x14ac:dyDescent="0.25">
      <c r="A8895" s="1">
        <v>42864</v>
      </c>
      <c r="B8895">
        <v>1</v>
      </c>
      <c r="C8895">
        <v>5</v>
      </c>
      <c r="D8895">
        <v>18</v>
      </c>
    </row>
    <row r="8896" spans="1:4" x14ac:dyDescent="0.25">
      <c r="A8896" s="1">
        <v>42865</v>
      </c>
      <c r="B8896">
        <v>1</v>
      </c>
      <c r="C8896">
        <v>5</v>
      </c>
      <c r="D8896">
        <v>18</v>
      </c>
    </row>
    <row r="8897" spans="1:4" x14ac:dyDescent="0.25">
      <c r="A8897" s="1">
        <v>42866</v>
      </c>
      <c r="B8897">
        <v>1</v>
      </c>
      <c r="C8897">
        <v>5</v>
      </c>
      <c r="D8897">
        <v>21</v>
      </c>
    </row>
    <row r="8898" spans="1:4" x14ac:dyDescent="0.25">
      <c r="A8898" s="1">
        <v>42867</v>
      </c>
      <c r="B8898">
        <v>1</v>
      </c>
      <c r="C8898">
        <v>5</v>
      </c>
      <c r="D8898">
        <v>24</v>
      </c>
    </row>
    <row r="8899" spans="1:4" x14ac:dyDescent="0.25">
      <c r="A8899" s="1">
        <v>42868</v>
      </c>
      <c r="B8899">
        <v>1</v>
      </c>
      <c r="C8899">
        <v>5</v>
      </c>
      <c r="D8899">
        <v>21</v>
      </c>
    </row>
    <row r="8900" spans="1:4" x14ac:dyDescent="0.25">
      <c r="A8900" s="1">
        <v>42869</v>
      </c>
      <c r="B8900">
        <v>1</v>
      </c>
      <c r="C8900">
        <v>5</v>
      </c>
      <c r="D8900">
        <v>30</v>
      </c>
    </row>
    <row r="8901" spans="1:4" x14ac:dyDescent="0.25">
      <c r="A8901" s="1">
        <v>42870</v>
      </c>
      <c r="B8901">
        <v>1</v>
      </c>
      <c r="C8901">
        <v>5</v>
      </c>
      <c r="D8901">
        <v>17</v>
      </c>
    </row>
    <row r="8902" spans="1:4" x14ac:dyDescent="0.25">
      <c r="A8902" s="1">
        <v>42871</v>
      </c>
      <c r="B8902">
        <v>1</v>
      </c>
      <c r="C8902">
        <v>5</v>
      </c>
      <c r="D8902">
        <v>21</v>
      </c>
    </row>
    <row r="8903" spans="1:4" x14ac:dyDescent="0.25">
      <c r="A8903" s="1">
        <v>42872</v>
      </c>
      <c r="B8903">
        <v>1</v>
      </c>
      <c r="C8903">
        <v>5</v>
      </c>
      <c r="D8903">
        <v>18</v>
      </c>
    </row>
    <row r="8904" spans="1:4" x14ac:dyDescent="0.25">
      <c r="A8904" s="1">
        <v>42873</v>
      </c>
      <c r="B8904">
        <v>1</v>
      </c>
      <c r="C8904">
        <v>5</v>
      </c>
      <c r="D8904">
        <v>21</v>
      </c>
    </row>
    <row r="8905" spans="1:4" x14ac:dyDescent="0.25">
      <c r="A8905" s="1">
        <v>42874</v>
      </c>
      <c r="B8905">
        <v>1</v>
      </c>
      <c r="C8905">
        <v>5</v>
      </c>
      <c r="D8905">
        <v>21</v>
      </c>
    </row>
    <row r="8906" spans="1:4" x14ac:dyDescent="0.25">
      <c r="A8906" s="1">
        <v>42875</v>
      </c>
      <c r="B8906">
        <v>1</v>
      </c>
      <c r="C8906">
        <v>5</v>
      </c>
      <c r="D8906">
        <v>32</v>
      </c>
    </row>
    <row r="8907" spans="1:4" x14ac:dyDescent="0.25">
      <c r="A8907" s="1">
        <v>42876</v>
      </c>
      <c r="B8907">
        <v>1</v>
      </c>
      <c r="C8907">
        <v>5</v>
      </c>
      <c r="D8907">
        <v>28</v>
      </c>
    </row>
    <row r="8908" spans="1:4" x14ac:dyDescent="0.25">
      <c r="A8908" s="1">
        <v>42877</v>
      </c>
      <c r="B8908">
        <v>1</v>
      </c>
      <c r="C8908">
        <v>5</v>
      </c>
      <c r="D8908">
        <v>22</v>
      </c>
    </row>
    <row r="8909" spans="1:4" x14ac:dyDescent="0.25">
      <c r="A8909" s="1">
        <v>42878</v>
      </c>
      <c r="B8909">
        <v>1</v>
      </c>
      <c r="C8909">
        <v>5</v>
      </c>
      <c r="D8909">
        <v>20</v>
      </c>
    </row>
    <row r="8910" spans="1:4" x14ac:dyDescent="0.25">
      <c r="A8910" s="1">
        <v>42879</v>
      </c>
      <c r="B8910">
        <v>1</v>
      </c>
      <c r="C8910">
        <v>5</v>
      </c>
      <c r="D8910">
        <v>25</v>
      </c>
    </row>
    <row r="8911" spans="1:4" x14ac:dyDescent="0.25">
      <c r="A8911" s="1">
        <v>42880</v>
      </c>
      <c r="B8911">
        <v>1</v>
      </c>
      <c r="C8911">
        <v>5</v>
      </c>
      <c r="D8911">
        <v>14</v>
      </c>
    </row>
    <row r="8912" spans="1:4" x14ac:dyDescent="0.25">
      <c r="A8912" s="1">
        <v>42881</v>
      </c>
      <c r="B8912">
        <v>1</v>
      </c>
      <c r="C8912">
        <v>5</v>
      </c>
      <c r="D8912">
        <v>19</v>
      </c>
    </row>
    <row r="8913" spans="1:4" x14ac:dyDescent="0.25">
      <c r="A8913" s="1">
        <v>42882</v>
      </c>
      <c r="B8913">
        <v>1</v>
      </c>
      <c r="C8913">
        <v>5</v>
      </c>
      <c r="D8913">
        <v>23</v>
      </c>
    </row>
    <row r="8914" spans="1:4" x14ac:dyDescent="0.25">
      <c r="A8914" s="1">
        <v>42883</v>
      </c>
      <c r="B8914">
        <v>1</v>
      </c>
      <c r="C8914">
        <v>5</v>
      </c>
      <c r="D8914">
        <v>23</v>
      </c>
    </row>
    <row r="8915" spans="1:4" x14ac:dyDescent="0.25">
      <c r="A8915" s="1">
        <v>42884</v>
      </c>
      <c r="B8915">
        <v>1</v>
      </c>
      <c r="C8915">
        <v>5</v>
      </c>
      <c r="D8915">
        <v>17</v>
      </c>
    </row>
    <row r="8916" spans="1:4" x14ac:dyDescent="0.25">
      <c r="A8916" s="1">
        <v>42885</v>
      </c>
      <c r="B8916">
        <v>1</v>
      </c>
      <c r="C8916">
        <v>5</v>
      </c>
      <c r="D8916">
        <v>20</v>
      </c>
    </row>
    <row r="8917" spans="1:4" x14ac:dyDescent="0.25">
      <c r="A8917" s="1">
        <v>42886</v>
      </c>
      <c r="B8917">
        <v>1</v>
      </c>
      <c r="C8917">
        <v>5</v>
      </c>
      <c r="D8917">
        <v>27</v>
      </c>
    </row>
    <row r="8918" spans="1:4" x14ac:dyDescent="0.25">
      <c r="A8918" s="1">
        <v>42887</v>
      </c>
      <c r="B8918">
        <v>1</v>
      </c>
      <c r="C8918">
        <v>5</v>
      </c>
      <c r="D8918">
        <v>27</v>
      </c>
    </row>
    <row r="8919" spans="1:4" x14ac:dyDescent="0.25">
      <c r="A8919" s="1">
        <v>42888</v>
      </c>
      <c r="B8919">
        <v>1</v>
      </c>
      <c r="C8919">
        <v>5</v>
      </c>
      <c r="D8919">
        <v>19</v>
      </c>
    </row>
    <row r="8920" spans="1:4" x14ac:dyDescent="0.25">
      <c r="A8920" s="1">
        <v>42889</v>
      </c>
      <c r="B8920">
        <v>1</v>
      </c>
      <c r="C8920">
        <v>5</v>
      </c>
      <c r="D8920">
        <v>27</v>
      </c>
    </row>
    <row r="8921" spans="1:4" x14ac:dyDescent="0.25">
      <c r="A8921" s="1">
        <v>42890</v>
      </c>
      <c r="B8921">
        <v>1</v>
      </c>
      <c r="C8921">
        <v>5</v>
      </c>
      <c r="D8921">
        <v>36</v>
      </c>
    </row>
    <row r="8922" spans="1:4" x14ac:dyDescent="0.25">
      <c r="A8922" s="1">
        <v>42891</v>
      </c>
      <c r="B8922">
        <v>1</v>
      </c>
      <c r="C8922">
        <v>5</v>
      </c>
      <c r="D8922">
        <v>21</v>
      </c>
    </row>
    <row r="8923" spans="1:4" x14ac:dyDescent="0.25">
      <c r="A8923" s="1">
        <v>42892</v>
      </c>
      <c r="B8923">
        <v>1</v>
      </c>
      <c r="C8923">
        <v>5</v>
      </c>
      <c r="D8923">
        <v>20</v>
      </c>
    </row>
    <row r="8924" spans="1:4" x14ac:dyDescent="0.25">
      <c r="A8924" s="1">
        <v>42893</v>
      </c>
      <c r="B8924">
        <v>1</v>
      </c>
      <c r="C8924">
        <v>5</v>
      </c>
      <c r="D8924">
        <v>21</v>
      </c>
    </row>
    <row r="8925" spans="1:4" x14ac:dyDescent="0.25">
      <c r="A8925" s="1">
        <v>42894</v>
      </c>
      <c r="B8925">
        <v>1</v>
      </c>
      <c r="C8925">
        <v>5</v>
      </c>
      <c r="D8925">
        <v>24</v>
      </c>
    </row>
    <row r="8926" spans="1:4" x14ac:dyDescent="0.25">
      <c r="A8926" s="1">
        <v>42895</v>
      </c>
      <c r="B8926">
        <v>1</v>
      </c>
      <c r="C8926">
        <v>5</v>
      </c>
      <c r="D8926">
        <v>24</v>
      </c>
    </row>
    <row r="8927" spans="1:4" x14ac:dyDescent="0.25">
      <c r="A8927" s="1">
        <v>42896</v>
      </c>
      <c r="B8927">
        <v>1</v>
      </c>
      <c r="C8927">
        <v>5</v>
      </c>
      <c r="D8927">
        <v>27</v>
      </c>
    </row>
    <row r="8928" spans="1:4" x14ac:dyDescent="0.25">
      <c r="A8928" s="1">
        <v>42897</v>
      </c>
      <c r="B8928">
        <v>1</v>
      </c>
      <c r="C8928">
        <v>5</v>
      </c>
      <c r="D8928">
        <v>25</v>
      </c>
    </row>
    <row r="8929" spans="1:4" x14ac:dyDescent="0.25">
      <c r="A8929" s="1">
        <v>42898</v>
      </c>
      <c r="B8929">
        <v>1</v>
      </c>
      <c r="C8929">
        <v>5</v>
      </c>
      <c r="D8929">
        <v>25</v>
      </c>
    </row>
    <row r="8930" spans="1:4" x14ac:dyDescent="0.25">
      <c r="A8930" s="1">
        <v>42899</v>
      </c>
      <c r="B8930">
        <v>1</v>
      </c>
      <c r="C8930">
        <v>5</v>
      </c>
      <c r="D8930">
        <v>32</v>
      </c>
    </row>
    <row r="8931" spans="1:4" x14ac:dyDescent="0.25">
      <c r="A8931" s="1">
        <v>42900</v>
      </c>
      <c r="B8931">
        <v>1</v>
      </c>
      <c r="C8931">
        <v>5</v>
      </c>
      <c r="D8931">
        <v>21</v>
      </c>
    </row>
    <row r="8932" spans="1:4" x14ac:dyDescent="0.25">
      <c r="A8932" s="1">
        <v>42901</v>
      </c>
      <c r="B8932">
        <v>1</v>
      </c>
      <c r="C8932">
        <v>5</v>
      </c>
      <c r="D8932">
        <v>22</v>
      </c>
    </row>
    <row r="8933" spans="1:4" x14ac:dyDescent="0.25">
      <c r="A8933" s="1">
        <v>42902</v>
      </c>
      <c r="B8933">
        <v>1</v>
      </c>
      <c r="C8933">
        <v>5</v>
      </c>
      <c r="D8933">
        <v>33</v>
      </c>
    </row>
    <row r="8934" spans="1:4" x14ac:dyDescent="0.25">
      <c r="A8934" s="1">
        <v>42903</v>
      </c>
      <c r="B8934">
        <v>1</v>
      </c>
      <c r="C8934">
        <v>5</v>
      </c>
      <c r="D8934">
        <v>23</v>
      </c>
    </row>
    <row r="8935" spans="1:4" x14ac:dyDescent="0.25">
      <c r="A8935" s="1">
        <v>42904</v>
      </c>
      <c r="B8935">
        <v>1</v>
      </c>
      <c r="C8935">
        <v>5</v>
      </c>
      <c r="D8935">
        <v>20</v>
      </c>
    </row>
    <row r="8936" spans="1:4" x14ac:dyDescent="0.25">
      <c r="A8936" s="1">
        <v>42905</v>
      </c>
      <c r="B8936">
        <v>1</v>
      </c>
      <c r="C8936">
        <v>5</v>
      </c>
      <c r="D8936">
        <v>19</v>
      </c>
    </row>
    <row r="8937" spans="1:4" x14ac:dyDescent="0.25">
      <c r="A8937" s="1">
        <v>42906</v>
      </c>
      <c r="B8937">
        <v>1</v>
      </c>
      <c r="C8937">
        <v>5</v>
      </c>
      <c r="D8937">
        <v>24</v>
      </c>
    </row>
    <row r="8938" spans="1:4" x14ac:dyDescent="0.25">
      <c r="A8938" s="1">
        <v>42907</v>
      </c>
      <c r="B8938">
        <v>1</v>
      </c>
      <c r="C8938">
        <v>5</v>
      </c>
      <c r="D8938">
        <v>17</v>
      </c>
    </row>
    <row r="8939" spans="1:4" x14ac:dyDescent="0.25">
      <c r="A8939" s="1">
        <v>42908</v>
      </c>
      <c r="B8939">
        <v>1</v>
      </c>
      <c r="C8939">
        <v>5</v>
      </c>
      <c r="D8939">
        <v>20</v>
      </c>
    </row>
    <row r="8940" spans="1:4" x14ac:dyDescent="0.25">
      <c r="A8940" s="1">
        <v>42909</v>
      </c>
      <c r="B8940">
        <v>1</v>
      </c>
      <c r="C8940">
        <v>5</v>
      </c>
      <c r="D8940">
        <v>24</v>
      </c>
    </row>
    <row r="8941" spans="1:4" x14ac:dyDescent="0.25">
      <c r="A8941" s="1">
        <v>42910</v>
      </c>
      <c r="B8941">
        <v>1</v>
      </c>
      <c r="C8941">
        <v>5</v>
      </c>
      <c r="D8941">
        <v>20</v>
      </c>
    </row>
    <row r="8942" spans="1:4" x14ac:dyDescent="0.25">
      <c r="A8942" s="1">
        <v>42911</v>
      </c>
      <c r="B8942">
        <v>1</v>
      </c>
      <c r="C8942">
        <v>5</v>
      </c>
      <c r="D8942">
        <v>24</v>
      </c>
    </row>
    <row r="8943" spans="1:4" x14ac:dyDescent="0.25">
      <c r="A8943" s="1">
        <v>42912</v>
      </c>
      <c r="B8943">
        <v>1</v>
      </c>
      <c r="C8943">
        <v>5</v>
      </c>
      <c r="D8943">
        <v>16</v>
      </c>
    </row>
    <row r="8944" spans="1:4" x14ac:dyDescent="0.25">
      <c r="A8944" s="1">
        <v>42913</v>
      </c>
      <c r="B8944">
        <v>1</v>
      </c>
      <c r="C8944">
        <v>5</v>
      </c>
      <c r="D8944">
        <v>16</v>
      </c>
    </row>
    <row r="8945" spans="1:4" x14ac:dyDescent="0.25">
      <c r="A8945" s="1">
        <v>42914</v>
      </c>
      <c r="B8945">
        <v>1</v>
      </c>
      <c r="C8945">
        <v>5</v>
      </c>
      <c r="D8945">
        <v>14</v>
      </c>
    </row>
    <row r="8946" spans="1:4" x14ac:dyDescent="0.25">
      <c r="A8946" s="1">
        <v>42915</v>
      </c>
      <c r="B8946">
        <v>1</v>
      </c>
      <c r="C8946">
        <v>5</v>
      </c>
      <c r="D8946">
        <v>23</v>
      </c>
    </row>
    <row r="8947" spans="1:4" x14ac:dyDescent="0.25">
      <c r="A8947" s="1">
        <v>42916</v>
      </c>
      <c r="B8947">
        <v>1</v>
      </c>
      <c r="C8947">
        <v>5</v>
      </c>
      <c r="D8947">
        <v>22</v>
      </c>
    </row>
    <row r="8948" spans="1:4" x14ac:dyDescent="0.25">
      <c r="A8948" s="1">
        <v>42917</v>
      </c>
      <c r="B8948">
        <v>1</v>
      </c>
      <c r="C8948">
        <v>5</v>
      </c>
      <c r="D8948">
        <v>26</v>
      </c>
    </row>
    <row r="8949" spans="1:4" x14ac:dyDescent="0.25">
      <c r="A8949" s="1">
        <v>42918</v>
      </c>
      <c r="B8949">
        <v>1</v>
      </c>
      <c r="C8949">
        <v>5</v>
      </c>
      <c r="D8949">
        <v>26</v>
      </c>
    </row>
    <row r="8950" spans="1:4" x14ac:dyDescent="0.25">
      <c r="A8950" s="1">
        <v>42919</v>
      </c>
      <c r="B8950">
        <v>1</v>
      </c>
      <c r="C8950">
        <v>5</v>
      </c>
      <c r="D8950">
        <v>18</v>
      </c>
    </row>
    <row r="8951" spans="1:4" x14ac:dyDescent="0.25">
      <c r="A8951" s="1">
        <v>42920</v>
      </c>
      <c r="B8951">
        <v>1</v>
      </c>
      <c r="C8951">
        <v>5</v>
      </c>
      <c r="D8951">
        <v>23</v>
      </c>
    </row>
    <row r="8952" spans="1:4" x14ac:dyDescent="0.25">
      <c r="A8952" s="1">
        <v>42921</v>
      </c>
      <c r="B8952">
        <v>1</v>
      </c>
      <c r="C8952">
        <v>5</v>
      </c>
      <c r="D8952">
        <v>22</v>
      </c>
    </row>
    <row r="8953" spans="1:4" x14ac:dyDescent="0.25">
      <c r="A8953" s="1">
        <v>42922</v>
      </c>
      <c r="B8953">
        <v>1</v>
      </c>
      <c r="C8953">
        <v>5</v>
      </c>
      <c r="D8953">
        <v>26</v>
      </c>
    </row>
    <row r="8954" spans="1:4" x14ac:dyDescent="0.25">
      <c r="A8954" s="1">
        <v>42923</v>
      </c>
      <c r="B8954">
        <v>1</v>
      </c>
      <c r="C8954">
        <v>5</v>
      </c>
      <c r="D8954">
        <v>21</v>
      </c>
    </row>
    <row r="8955" spans="1:4" x14ac:dyDescent="0.25">
      <c r="A8955" s="1">
        <v>42924</v>
      </c>
      <c r="B8955">
        <v>1</v>
      </c>
      <c r="C8955">
        <v>5</v>
      </c>
      <c r="D8955">
        <v>25</v>
      </c>
    </row>
    <row r="8956" spans="1:4" x14ac:dyDescent="0.25">
      <c r="A8956" s="1">
        <v>42925</v>
      </c>
      <c r="B8956">
        <v>1</v>
      </c>
      <c r="C8956">
        <v>5</v>
      </c>
      <c r="D8956">
        <v>23</v>
      </c>
    </row>
    <row r="8957" spans="1:4" x14ac:dyDescent="0.25">
      <c r="A8957" s="1">
        <v>42926</v>
      </c>
      <c r="B8957">
        <v>1</v>
      </c>
      <c r="C8957">
        <v>5</v>
      </c>
      <c r="D8957">
        <v>18</v>
      </c>
    </row>
    <row r="8958" spans="1:4" x14ac:dyDescent="0.25">
      <c r="A8958" s="1">
        <v>42927</v>
      </c>
      <c r="B8958">
        <v>1</v>
      </c>
      <c r="C8958">
        <v>5</v>
      </c>
      <c r="D8958">
        <v>12</v>
      </c>
    </row>
    <row r="8959" spans="1:4" x14ac:dyDescent="0.25">
      <c r="A8959" s="1">
        <v>42928</v>
      </c>
      <c r="B8959">
        <v>1</v>
      </c>
      <c r="C8959">
        <v>5</v>
      </c>
      <c r="D8959">
        <v>22</v>
      </c>
    </row>
    <row r="8960" spans="1:4" x14ac:dyDescent="0.25">
      <c r="A8960" s="1">
        <v>42929</v>
      </c>
      <c r="B8960">
        <v>1</v>
      </c>
      <c r="C8960">
        <v>5</v>
      </c>
      <c r="D8960">
        <v>23</v>
      </c>
    </row>
    <row r="8961" spans="1:4" x14ac:dyDescent="0.25">
      <c r="A8961" s="1">
        <v>42930</v>
      </c>
      <c r="B8961">
        <v>1</v>
      </c>
      <c r="C8961">
        <v>5</v>
      </c>
      <c r="D8961">
        <v>20</v>
      </c>
    </row>
    <row r="8962" spans="1:4" x14ac:dyDescent="0.25">
      <c r="A8962" s="1">
        <v>42931</v>
      </c>
      <c r="B8962">
        <v>1</v>
      </c>
      <c r="C8962">
        <v>5</v>
      </c>
      <c r="D8962">
        <v>37</v>
      </c>
    </row>
    <row r="8963" spans="1:4" x14ac:dyDescent="0.25">
      <c r="A8963" s="1">
        <v>42932</v>
      </c>
      <c r="B8963">
        <v>1</v>
      </c>
      <c r="C8963">
        <v>5</v>
      </c>
      <c r="D8963">
        <v>25</v>
      </c>
    </row>
    <row r="8964" spans="1:4" x14ac:dyDescent="0.25">
      <c r="A8964" s="1">
        <v>42933</v>
      </c>
      <c r="B8964">
        <v>1</v>
      </c>
      <c r="C8964">
        <v>5</v>
      </c>
      <c r="D8964">
        <v>21</v>
      </c>
    </row>
    <row r="8965" spans="1:4" x14ac:dyDescent="0.25">
      <c r="A8965" s="1">
        <v>42934</v>
      </c>
      <c r="B8965">
        <v>1</v>
      </c>
      <c r="C8965">
        <v>5</v>
      </c>
      <c r="D8965">
        <v>19</v>
      </c>
    </row>
    <row r="8966" spans="1:4" x14ac:dyDescent="0.25">
      <c r="A8966" s="1">
        <v>42935</v>
      </c>
      <c r="B8966">
        <v>1</v>
      </c>
      <c r="C8966">
        <v>5</v>
      </c>
      <c r="D8966">
        <v>16</v>
      </c>
    </row>
    <row r="8967" spans="1:4" x14ac:dyDescent="0.25">
      <c r="A8967" s="1">
        <v>42936</v>
      </c>
      <c r="B8967">
        <v>1</v>
      </c>
      <c r="C8967">
        <v>5</v>
      </c>
      <c r="D8967">
        <v>29</v>
      </c>
    </row>
    <row r="8968" spans="1:4" x14ac:dyDescent="0.25">
      <c r="A8968" s="1">
        <v>42937</v>
      </c>
      <c r="B8968">
        <v>1</v>
      </c>
      <c r="C8968">
        <v>5</v>
      </c>
      <c r="D8968">
        <v>17</v>
      </c>
    </row>
    <row r="8969" spans="1:4" x14ac:dyDescent="0.25">
      <c r="A8969" s="1">
        <v>42938</v>
      </c>
      <c r="B8969">
        <v>1</v>
      </c>
      <c r="C8969">
        <v>5</v>
      </c>
      <c r="D8969">
        <v>26</v>
      </c>
    </row>
    <row r="8970" spans="1:4" x14ac:dyDescent="0.25">
      <c r="A8970" s="1">
        <v>42939</v>
      </c>
      <c r="B8970">
        <v>1</v>
      </c>
      <c r="C8970">
        <v>5</v>
      </c>
      <c r="D8970">
        <v>21</v>
      </c>
    </row>
    <row r="8971" spans="1:4" x14ac:dyDescent="0.25">
      <c r="A8971" s="1">
        <v>42940</v>
      </c>
      <c r="B8971">
        <v>1</v>
      </c>
      <c r="C8971">
        <v>5</v>
      </c>
      <c r="D8971">
        <v>23</v>
      </c>
    </row>
    <row r="8972" spans="1:4" x14ac:dyDescent="0.25">
      <c r="A8972" s="1">
        <v>42941</v>
      </c>
      <c r="B8972">
        <v>1</v>
      </c>
      <c r="C8972">
        <v>5</v>
      </c>
      <c r="D8972">
        <v>25</v>
      </c>
    </row>
    <row r="8973" spans="1:4" x14ac:dyDescent="0.25">
      <c r="A8973" s="1">
        <v>42942</v>
      </c>
      <c r="B8973">
        <v>1</v>
      </c>
      <c r="C8973">
        <v>5</v>
      </c>
      <c r="D8973">
        <v>22</v>
      </c>
    </row>
    <row r="8974" spans="1:4" x14ac:dyDescent="0.25">
      <c r="A8974" s="1">
        <v>42943</v>
      </c>
      <c r="B8974">
        <v>1</v>
      </c>
      <c r="C8974">
        <v>5</v>
      </c>
      <c r="D8974">
        <v>25</v>
      </c>
    </row>
    <row r="8975" spans="1:4" x14ac:dyDescent="0.25">
      <c r="A8975" s="1">
        <v>42944</v>
      </c>
      <c r="B8975">
        <v>1</v>
      </c>
      <c r="C8975">
        <v>5</v>
      </c>
      <c r="D8975">
        <v>28</v>
      </c>
    </row>
    <row r="8976" spans="1:4" x14ac:dyDescent="0.25">
      <c r="A8976" s="1">
        <v>42945</v>
      </c>
      <c r="B8976">
        <v>1</v>
      </c>
      <c r="C8976">
        <v>5</v>
      </c>
      <c r="D8976">
        <v>27</v>
      </c>
    </row>
    <row r="8977" spans="1:4" x14ac:dyDescent="0.25">
      <c r="A8977" s="1">
        <v>42946</v>
      </c>
      <c r="B8977">
        <v>1</v>
      </c>
      <c r="C8977">
        <v>5</v>
      </c>
      <c r="D8977">
        <v>22</v>
      </c>
    </row>
    <row r="8978" spans="1:4" x14ac:dyDescent="0.25">
      <c r="A8978" s="1">
        <v>42947</v>
      </c>
      <c r="B8978">
        <v>1</v>
      </c>
      <c r="C8978">
        <v>5</v>
      </c>
      <c r="D8978">
        <v>11</v>
      </c>
    </row>
    <row r="8979" spans="1:4" x14ac:dyDescent="0.25">
      <c r="A8979" s="1">
        <v>42948</v>
      </c>
      <c r="B8979">
        <v>1</v>
      </c>
      <c r="C8979">
        <v>5</v>
      </c>
      <c r="D8979">
        <v>18</v>
      </c>
    </row>
    <row r="8980" spans="1:4" x14ac:dyDescent="0.25">
      <c r="A8980" s="1">
        <v>42949</v>
      </c>
      <c r="B8980">
        <v>1</v>
      </c>
      <c r="C8980">
        <v>5</v>
      </c>
      <c r="D8980">
        <v>13</v>
      </c>
    </row>
    <row r="8981" spans="1:4" x14ac:dyDescent="0.25">
      <c r="A8981" s="1">
        <v>42950</v>
      </c>
      <c r="B8981">
        <v>1</v>
      </c>
      <c r="C8981">
        <v>5</v>
      </c>
      <c r="D8981">
        <v>22</v>
      </c>
    </row>
    <row r="8982" spans="1:4" x14ac:dyDescent="0.25">
      <c r="A8982" s="1">
        <v>42951</v>
      </c>
      <c r="B8982">
        <v>1</v>
      </c>
      <c r="C8982">
        <v>5</v>
      </c>
      <c r="D8982">
        <v>21</v>
      </c>
    </row>
    <row r="8983" spans="1:4" x14ac:dyDescent="0.25">
      <c r="A8983" s="1">
        <v>42952</v>
      </c>
      <c r="B8983">
        <v>1</v>
      </c>
      <c r="C8983">
        <v>5</v>
      </c>
      <c r="D8983">
        <v>18</v>
      </c>
    </row>
    <row r="8984" spans="1:4" x14ac:dyDescent="0.25">
      <c r="A8984" s="1">
        <v>42953</v>
      </c>
      <c r="B8984">
        <v>1</v>
      </c>
      <c r="C8984">
        <v>5</v>
      </c>
      <c r="D8984">
        <v>21</v>
      </c>
    </row>
    <row r="8985" spans="1:4" x14ac:dyDescent="0.25">
      <c r="A8985" s="1">
        <v>42954</v>
      </c>
      <c r="B8985">
        <v>1</v>
      </c>
      <c r="C8985">
        <v>5</v>
      </c>
      <c r="D8985">
        <v>15</v>
      </c>
    </row>
    <row r="8986" spans="1:4" x14ac:dyDescent="0.25">
      <c r="A8986" s="1">
        <v>42955</v>
      </c>
      <c r="B8986">
        <v>1</v>
      </c>
      <c r="C8986">
        <v>5</v>
      </c>
      <c r="D8986">
        <v>16</v>
      </c>
    </row>
    <row r="8987" spans="1:4" x14ac:dyDescent="0.25">
      <c r="A8987" s="1">
        <v>42956</v>
      </c>
      <c r="B8987">
        <v>1</v>
      </c>
      <c r="C8987">
        <v>5</v>
      </c>
      <c r="D8987">
        <v>20</v>
      </c>
    </row>
    <row r="8988" spans="1:4" x14ac:dyDescent="0.25">
      <c r="A8988" s="1">
        <v>42957</v>
      </c>
      <c r="B8988">
        <v>1</v>
      </c>
      <c r="C8988">
        <v>5</v>
      </c>
      <c r="D8988">
        <v>19</v>
      </c>
    </row>
    <row r="8989" spans="1:4" x14ac:dyDescent="0.25">
      <c r="A8989" s="1">
        <v>42958</v>
      </c>
      <c r="B8989">
        <v>1</v>
      </c>
      <c r="C8989">
        <v>5</v>
      </c>
      <c r="D8989">
        <v>25</v>
      </c>
    </row>
    <row r="8990" spans="1:4" x14ac:dyDescent="0.25">
      <c r="A8990" s="1">
        <v>42959</v>
      </c>
      <c r="B8990">
        <v>1</v>
      </c>
      <c r="C8990">
        <v>5</v>
      </c>
      <c r="D8990">
        <v>25</v>
      </c>
    </row>
    <row r="8991" spans="1:4" x14ac:dyDescent="0.25">
      <c r="A8991" s="1">
        <v>42960</v>
      </c>
      <c r="B8991">
        <v>1</v>
      </c>
      <c r="C8991">
        <v>5</v>
      </c>
      <c r="D8991">
        <v>25</v>
      </c>
    </row>
    <row r="8992" spans="1:4" x14ac:dyDescent="0.25">
      <c r="A8992" s="1">
        <v>42961</v>
      </c>
      <c r="B8992">
        <v>1</v>
      </c>
      <c r="C8992">
        <v>5</v>
      </c>
      <c r="D8992">
        <v>22</v>
      </c>
    </row>
    <row r="8993" spans="1:4" x14ac:dyDescent="0.25">
      <c r="A8993" s="1">
        <v>42962</v>
      </c>
      <c r="B8993">
        <v>1</v>
      </c>
      <c r="C8993">
        <v>5</v>
      </c>
      <c r="D8993">
        <v>16</v>
      </c>
    </row>
    <row r="8994" spans="1:4" x14ac:dyDescent="0.25">
      <c r="A8994" s="1">
        <v>42963</v>
      </c>
      <c r="B8994">
        <v>1</v>
      </c>
      <c r="C8994">
        <v>5</v>
      </c>
      <c r="D8994">
        <v>21</v>
      </c>
    </row>
    <row r="8995" spans="1:4" x14ac:dyDescent="0.25">
      <c r="A8995" s="1">
        <v>42964</v>
      </c>
      <c r="B8995">
        <v>1</v>
      </c>
      <c r="C8995">
        <v>5</v>
      </c>
      <c r="D8995">
        <v>21</v>
      </c>
    </row>
    <row r="8996" spans="1:4" x14ac:dyDescent="0.25">
      <c r="A8996" s="1">
        <v>42965</v>
      </c>
      <c r="B8996">
        <v>1</v>
      </c>
      <c r="C8996">
        <v>5</v>
      </c>
      <c r="D8996">
        <v>27</v>
      </c>
    </row>
    <row r="8997" spans="1:4" x14ac:dyDescent="0.25">
      <c r="A8997" s="1">
        <v>42966</v>
      </c>
      <c r="B8997">
        <v>1</v>
      </c>
      <c r="C8997">
        <v>5</v>
      </c>
      <c r="D8997">
        <v>19</v>
      </c>
    </row>
    <row r="8998" spans="1:4" x14ac:dyDescent="0.25">
      <c r="A8998" s="1">
        <v>42967</v>
      </c>
      <c r="B8998">
        <v>1</v>
      </c>
      <c r="C8998">
        <v>5</v>
      </c>
      <c r="D8998">
        <v>26</v>
      </c>
    </row>
    <row r="8999" spans="1:4" x14ac:dyDescent="0.25">
      <c r="A8999" s="1">
        <v>42968</v>
      </c>
      <c r="B8999">
        <v>1</v>
      </c>
      <c r="C8999">
        <v>5</v>
      </c>
      <c r="D8999">
        <v>15</v>
      </c>
    </row>
    <row r="9000" spans="1:4" x14ac:dyDescent="0.25">
      <c r="A9000" s="1">
        <v>42969</v>
      </c>
      <c r="B9000">
        <v>1</v>
      </c>
      <c r="C9000">
        <v>5</v>
      </c>
      <c r="D9000">
        <v>21</v>
      </c>
    </row>
    <row r="9001" spans="1:4" x14ac:dyDescent="0.25">
      <c r="A9001" s="1">
        <v>42970</v>
      </c>
      <c r="B9001">
        <v>1</v>
      </c>
      <c r="C9001">
        <v>5</v>
      </c>
      <c r="D9001">
        <v>25</v>
      </c>
    </row>
    <row r="9002" spans="1:4" x14ac:dyDescent="0.25">
      <c r="A9002" s="1">
        <v>42971</v>
      </c>
      <c r="B9002">
        <v>1</v>
      </c>
      <c r="C9002">
        <v>5</v>
      </c>
      <c r="D9002">
        <v>24</v>
      </c>
    </row>
    <row r="9003" spans="1:4" x14ac:dyDescent="0.25">
      <c r="A9003" s="1">
        <v>42972</v>
      </c>
      <c r="B9003">
        <v>1</v>
      </c>
      <c r="C9003">
        <v>5</v>
      </c>
      <c r="D9003">
        <v>18</v>
      </c>
    </row>
    <row r="9004" spans="1:4" x14ac:dyDescent="0.25">
      <c r="A9004" s="1">
        <v>42973</v>
      </c>
      <c r="B9004">
        <v>1</v>
      </c>
      <c r="C9004">
        <v>5</v>
      </c>
      <c r="D9004">
        <v>19</v>
      </c>
    </row>
    <row r="9005" spans="1:4" x14ac:dyDescent="0.25">
      <c r="A9005" s="1">
        <v>42974</v>
      </c>
      <c r="B9005">
        <v>1</v>
      </c>
      <c r="C9005">
        <v>5</v>
      </c>
      <c r="D9005">
        <v>28</v>
      </c>
    </row>
    <row r="9006" spans="1:4" x14ac:dyDescent="0.25">
      <c r="A9006" s="1">
        <v>42975</v>
      </c>
      <c r="B9006">
        <v>1</v>
      </c>
      <c r="C9006">
        <v>5</v>
      </c>
      <c r="D9006">
        <v>19</v>
      </c>
    </row>
    <row r="9007" spans="1:4" x14ac:dyDescent="0.25">
      <c r="A9007" s="1">
        <v>42976</v>
      </c>
      <c r="B9007">
        <v>1</v>
      </c>
      <c r="C9007">
        <v>5</v>
      </c>
      <c r="D9007">
        <v>16</v>
      </c>
    </row>
    <row r="9008" spans="1:4" x14ac:dyDescent="0.25">
      <c r="A9008" s="1">
        <v>42977</v>
      </c>
      <c r="B9008">
        <v>1</v>
      </c>
      <c r="C9008">
        <v>5</v>
      </c>
      <c r="D9008">
        <v>18</v>
      </c>
    </row>
    <row r="9009" spans="1:4" x14ac:dyDescent="0.25">
      <c r="A9009" s="1">
        <v>42978</v>
      </c>
      <c r="B9009">
        <v>1</v>
      </c>
      <c r="C9009">
        <v>5</v>
      </c>
      <c r="D9009">
        <v>24</v>
      </c>
    </row>
    <row r="9010" spans="1:4" x14ac:dyDescent="0.25">
      <c r="A9010" s="1">
        <v>42979</v>
      </c>
      <c r="B9010">
        <v>1</v>
      </c>
      <c r="C9010">
        <v>5</v>
      </c>
      <c r="D9010">
        <v>26</v>
      </c>
    </row>
    <row r="9011" spans="1:4" x14ac:dyDescent="0.25">
      <c r="A9011" s="1">
        <v>42980</v>
      </c>
      <c r="B9011">
        <v>1</v>
      </c>
      <c r="C9011">
        <v>5</v>
      </c>
      <c r="D9011">
        <v>25</v>
      </c>
    </row>
    <row r="9012" spans="1:4" x14ac:dyDescent="0.25">
      <c r="A9012" s="1">
        <v>42981</v>
      </c>
      <c r="B9012">
        <v>1</v>
      </c>
      <c r="C9012">
        <v>5</v>
      </c>
      <c r="D9012">
        <v>23</v>
      </c>
    </row>
    <row r="9013" spans="1:4" x14ac:dyDescent="0.25">
      <c r="A9013" s="1">
        <v>42982</v>
      </c>
      <c r="B9013">
        <v>1</v>
      </c>
      <c r="C9013">
        <v>5</v>
      </c>
      <c r="D9013">
        <v>17</v>
      </c>
    </row>
    <row r="9014" spans="1:4" x14ac:dyDescent="0.25">
      <c r="A9014" s="1">
        <v>42983</v>
      </c>
      <c r="B9014">
        <v>1</v>
      </c>
      <c r="C9014">
        <v>5</v>
      </c>
      <c r="D9014">
        <v>7</v>
      </c>
    </row>
    <row r="9015" spans="1:4" x14ac:dyDescent="0.25">
      <c r="A9015" s="1">
        <v>42984</v>
      </c>
      <c r="B9015">
        <v>1</v>
      </c>
      <c r="C9015">
        <v>5</v>
      </c>
      <c r="D9015">
        <v>19</v>
      </c>
    </row>
    <row r="9016" spans="1:4" x14ac:dyDescent="0.25">
      <c r="A9016" s="1">
        <v>42985</v>
      </c>
      <c r="B9016">
        <v>1</v>
      </c>
      <c r="C9016">
        <v>5</v>
      </c>
      <c r="D9016">
        <v>25</v>
      </c>
    </row>
    <row r="9017" spans="1:4" x14ac:dyDescent="0.25">
      <c r="A9017" s="1">
        <v>42986</v>
      </c>
      <c r="B9017">
        <v>1</v>
      </c>
      <c r="C9017">
        <v>5</v>
      </c>
      <c r="D9017">
        <v>12</v>
      </c>
    </row>
    <row r="9018" spans="1:4" x14ac:dyDescent="0.25">
      <c r="A9018" s="1">
        <v>42987</v>
      </c>
      <c r="B9018">
        <v>1</v>
      </c>
      <c r="C9018">
        <v>5</v>
      </c>
      <c r="D9018">
        <v>26</v>
      </c>
    </row>
    <row r="9019" spans="1:4" x14ac:dyDescent="0.25">
      <c r="A9019" s="1">
        <v>42988</v>
      </c>
      <c r="B9019">
        <v>1</v>
      </c>
      <c r="C9019">
        <v>5</v>
      </c>
      <c r="D9019">
        <v>23</v>
      </c>
    </row>
    <row r="9020" spans="1:4" x14ac:dyDescent="0.25">
      <c r="A9020" s="1">
        <v>42989</v>
      </c>
      <c r="B9020">
        <v>1</v>
      </c>
      <c r="C9020">
        <v>5</v>
      </c>
      <c r="D9020">
        <v>13</v>
      </c>
    </row>
    <row r="9021" spans="1:4" x14ac:dyDescent="0.25">
      <c r="A9021" s="1">
        <v>42990</v>
      </c>
      <c r="B9021">
        <v>1</v>
      </c>
      <c r="C9021">
        <v>5</v>
      </c>
      <c r="D9021">
        <v>17</v>
      </c>
    </row>
    <row r="9022" spans="1:4" x14ac:dyDescent="0.25">
      <c r="A9022" s="1">
        <v>42991</v>
      </c>
      <c r="B9022">
        <v>1</v>
      </c>
      <c r="C9022">
        <v>5</v>
      </c>
      <c r="D9022">
        <v>20</v>
      </c>
    </row>
    <row r="9023" spans="1:4" x14ac:dyDescent="0.25">
      <c r="A9023" s="1">
        <v>42992</v>
      </c>
      <c r="B9023">
        <v>1</v>
      </c>
      <c r="C9023">
        <v>5</v>
      </c>
      <c r="D9023">
        <v>18</v>
      </c>
    </row>
    <row r="9024" spans="1:4" x14ac:dyDescent="0.25">
      <c r="A9024" s="1">
        <v>42993</v>
      </c>
      <c r="B9024">
        <v>1</v>
      </c>
      <c r="C9024">
        <v>5</v>
      </c>
      <c r="D9024">
        <v>18</v>
      </c>
    </row>
    <row r="9025" spans="1:4" x14ac:dyDescent="0.25">
      <c r="A9025" s="1">
        <v>42994</v>
      </c>
      <c r="B9025">
        <v>1</v>
      </c>
      <c r="C9025">
        <v>5</v>
      </c>
      <c r="D9025">
        <v>22</v>
      </c>
    </row>
    <row r="9026" spans="1:4" x14ac:dyDescent="0.25">
      <c r="A9026" s="1">
        <v>42995</v>
      </c>
      <c r="B9026">
        <v>1</v>
      </c>
      <c r="C9026">
        <v>5</v>
      </c>
      <c r="D9026">
        <v>25</v>
      </c>
    </row>
    <row r="9027" spans="1:4" x14ac:dyDescent="0.25">
      <c r="A9027" s="1">
        <v>42996</v>
      </c>
      <c r="B9027">
        <v>1</v>
      </c>
      <c r="C9027">
        <v>5</v>
      </c>
      <c r="D9027">
        <v>14</v>
      </c>
    </row>
    <row r="9028" spans="1:4" x14ac:dyDescent="0.25">
      <c r="A9028" s="1">
        <v>42997</v>
      </c>
      <c r="B9028">
        <v>1</v>
      </c>
      <c r="C9028">
        <v>5</v>
      </c>
      <c r="D9028">
        <v>18</v>
      </c>
    </row>
    <row r="9029" spans="1:4" x14ac:dyDescent="0.25">
      <c r="A9029" s="1">
        <v>42998</v>
      </c>
      <c r="B9029">
        <v>1</v>
      </c>
      <c r="C9029">
        <v>5</v>
      </c>
      <c r="D9029">
        <v>16</v>
      </c>
    </row>
    <row r="9030" spans="1:4" x14ac:dyDescent="0.25">
      <c r="A9030" s="1">
        <v>42999</v>
      </c>
      <c r="B9030">
        <v>1</v>
      </c>
      <c r="C9030">
        <v>5</v>
      </c>
      <c r="D9030">
        <v>16</v>
      </c>
    </row>
    <row r="9031" spans="1:4" x14ac:dyDescent="0.25">
      <c r="A9031" s="1">
        <v>43000</v>
      </c>
      <c r="B9031">
        <v>1</v>
      </c>
      <c r="C9031">
        <v>5</v>
      </c>
      <c r="D9031">
        <v>20</v>
      </c>
    </row>
    <row r="9032" spans="1:4" x14ac:dyDescent="0.25">
      <c r="A9032" s="1">
        <v>43001</v>
      </c>
      <c r="B9032">
        <v>1</v>
      </c>
      <c r="C9032">
        <v>5</v>
      </c>
      <c r="D9032">
        <v>28</v>
      </c>
    </row>
    <row r="9033" spans="1:4" x14ac:dyDescent="0.25">
      <c r="A9033" s="1">
        <v>43002</v>
      </c>
      <c r="B9033">
        <v>1</v>
      </c>
      <c r="C9033">
        <v>5</v>
      </c>
      <c r="D9033">
        <v>35</v>
      </c>
    </row>
    <row r="9034" spans="1:4" x14ac:dyDescent="0.25">
      <c r="A9034" s="1">
        <v>43003</v>
      </c>
      <c r="B9034">
        <v>1</v>
      </c>
      <c r="C9034">
        <v>5</v>
      </c>
      <c r="D9034">
        <v>14</v>
      </c>
    </row>
    <row r="9035" spans="1:4" x14ac:dyDescent="0.25">
      <c r="A9035" s="1">
        <v>43004</v>
      </c>
      <c r="B9035">
        <v>1</v>
      </c>
      <c r="C9035">
        <v>5</v>
      </c>
      <c r="D9035">
        <v>15</v>
      </c>
    </row>
    <row r="9036" spans="1:4" x14ac:dyDescent="0.25">
      <c r="A9036" s="1">
        <v>43005</v>
      </c>
      <c r="B9036">
        <v>1</v>
      </c>
      <c r="C9036">
        <v>5</v>
      </c>
      <c r="D9036">
        <v>19</v>
      </c>
    </row>
    <row r="9037" spans="1:4" x14ac:dyDescent="0.25">
      <c r="A9037" s="1">
        <v>43006</v>
      </c>
      <c r="B9037">
        <v>1</v>
      </c>
      <c r="C9037">
        <v>5</v>
      </c>
      <c r="D9037">
        <v>21</v>
      </c>
    </row>
    <row r="9038" spans="1:4" x14ac:dyDescent="0.25">
      <c r="A9038" s="1">
        <v>43007</v>
      </c>
      <c r="B9038">
        <v>1</v>
      </c>
      <c r="C9038">
        <v>5</v>
      </c>
      <c r="D9038">
        <v>18</v>
      </c>
    </row>
    <row r="9039" spans="1:4" x14ac:dyDescent="0.25">
      <c r="A9039" s="1">
        <v>43008</v>
      </c>
      <c r="B9039">
        <v>1</v>
      </c>
      <c r="C9039">
        <v>5</v>
      </c>
      <c r="D9039">
        <v>19</v>
      </c>
    </row>
    <row r="9040" spans="1:4" x14ac:dyDescent="0.25">
      <c r="A9040" s="1">
        <v>43009</v>
      </c>
      <c r="B9040">
        <v>1</v>
      </c>
      <c r="C9040">
        <v>5</v>
      </c>
      <c r="D9040">
        <v>20</v>
      </c>
    </row>
    <row r="9041" spans="1:4" x14ac:dyDescent="0.25">
      <c r="A9041" s="1">
        <v>43010</v>
      </c>
      <c r="B9041">
        <v>1</v>
      </c>
      <c r="C9041">
        <v>5</v>
      </c>
      <c r="D9041">
        <v>15</v>
      </c>
    </row>
    <row r="9042" spans="1:4" x14ac:dyDescent="0.25">
      <c r="A9042" s="1">
        <v>43011</v>
      </c>
      <c r="B9042">
        <v>1</v>
      </c>
      <c r="C9042">
        <v>5</v>
      </c>
      <c r="D9042">
        <v>22</v>
      </c>
    </row>
    <row r="9043" spans="1:4" x14ac:dyDescent="0.25">
      <c r="A9043" s="1">
        <v>43012</v>
      </c>
      <c r="B9043">
        <v>1</v>
      </c>
      <c r="C9043">
        <v>5</v>
      </c>
      <c r="D9043">
        <v>15</v>
      </c>
    </row>
    <row r="9044" spans="1:4" x14ac:dyDescent="0.25">
      <c r="A9044" s="1">
        <v>43013</v>
      </c>
      <c r="B9044">
        <v>1</v>
      </c>
      <c r="C9044">
        <v>5</v>
      </c>
      <c r="D9044">
        <v>19</v>
      </c>
    </row>
    <row r="9045" spans="1:4" x14ac:dyDescent="0.25">
      <c r="A9045" s="1">
        <v>43014</v>
      </c>
      <c r="B9045">
        <v>1</v>
      </c>
      <c r="C9045">
        <v>5</v>
      </c>
      <c r="D9045">
        <v>22</v>
      </c>
    </row>
    <row r="9046" spans="1:4" x14ac:dyDescent="0.25">
      <c r="A9046" s="1">
        <v>43015</v>
      </c>
      <c r="B9046">
        <v>1</v>
      </c>
      <c r="C9046">
        <v>5</v>
      </c>
      <c r="D9046">
        <v>19</v>
      </c>
    </row>
    <row r="9047" spans="1:4" x14ac:dyDescent="0.25">
      <c r="A9047" s="1">
        <v>43016</v>
      </c>
      <c r="B9047">
        <v>1</v>
      </c>
      <c r="C9047">
        <v>5</v>
      </c>
      <c r="D9047">
        <v>20</v>
      </c>
    </row>
    <row r="9048" spans="1:4" x14ac:dyDescent="0.25">
      <c r="A9048" s="1">
        <v>43017</v>
      </c>
      <c r="B9048">
        <v>1</v>
      </c>
      <c r="C9048">
        <v>5</v>
      </c>
      <c r="D9048">
        <v>14</v>
      </c>
    </row>
    <row r="9049" spans="1:4" x14ac:dyDescent="0.25">
      <c r="A9049" s="1">
        <v>43018</v>
      </c>
      <c r="B9049">
        <v>1</v>
      </c>
      <c r="C9049">
        <v>5</v>
      </c>
      <c r="D9049">
        <v>14</v>
      </c>
    </row>
    <row r="9050" spans="1:4" x14ac:dyDescent="0.25">
      <c r="A9050" s="1">
        <v>43019</v>
      </c>
      <c r="B9050">
        <v>1</v>
      </c>
      <c r="C9050">
        <v>5</v>
      </c>
      <c r="D9050">
        <v>17</v>
      </c>
    </row>
    <row r="9051" spans="1:4" x14ac:dyDescent="0.25">
      <c r="A9051" s="1">
        <v>43020</v>
      </c>
      <c r="B9051">
        <v>1</v>
      </c>
      <c r="C9051">
        <v>5</v>
      </c>
      <c r="D9051">
        <v>12</v>
      </c>
    </row>
    <row r="9052" spans="1:4" x14ac:dyDescent="0.25">
      <c r="A9052" s="1">
        <v>43021</v>
      </c>
      <c r="B9052">
        <v>1</v>
      </c>
      <c r="C9052">
        <v>5</v>
      </c>
      <c r="D9052">
        <v>14</v>
      </c>
    </row>
    <row r="9053" spans="1:4" x14ac:dyDescent="0.25">
      <c r="A9053" s="1">
        <v>43022</v>
      </c>
      <c r="B9053">
        <v>1</v>
      </c>
      <c r="C9053">
        <v>5</v>
      </c>
      <c r="D9053">
        <v>28</v>
      </c>
    </row>
    <row r="9054" spans="1:4" x14ac:dyDescent="0.25">
      <c r="A9054" s="1">
        <v>43023</v>
      </c>
      <c r="B9054">
        <v>1</v>
      </c>
      <c r="C9054">
        <v>5</v>
      </c>
      <c r="D9054">
        <v>18</v>
      </c>
    </row>
    <row r="9055" spans="1:4" x14ac:dyDescent="0.25">
      <c r="A9055" s="1">
        <v>43024</v>
      </c>
      <c r="B9055">
        <v>1</v>
      </c>
      <c r="C9055">
        <v>5</v>
      </c>
      <c r="D9055">
        <v>12</v>
      </c>
    </row>
    <row r="9056" spans="1:4" x14ac:dyDescent="0.25">
      <c r="A9056" s="1">
        <v>43025</v>
      </c>
      <c r="B9056">
        <v>1</v>
      </c>
      <c r="C9056">
        <v>5</v>
      </c>
      <c r="D9056">
        <v>13</v>
      </c>
    </row>
    <row r="9057" spans="1:4" x14ac:dyDescent="0.25">
      <c r="A9057" s="1">
        <v>43026</v>
      </c>
      <c r="B9057">
        <v>1</v>
      </c>
      <c r="C9057">
        <v>5</v>
      </c>
      <c r="D9057">
        <v>21</v>
      </c>
    </row>
    <row r="9058" spans="1:4" x14ac:dyDescent="0.25">
      <c r="A9058" s="1">
        <v>43027</v>
      </c>
      <c r="B9058">
        <v>1</v>
      </c>
      <c r="C9058">
        <v>5</v>
      </c>
      <c r="D9058">
        <v>11</v>
      </c>
    </row>
    <row r="9059" spans="1:4" x14ac:dyDescent="0.25">
      <c r="A9059" s="1">
        <v>43028</v>
      </c>
      <c r="B9059">
        <v>1</v>
      </c>
      <c r="C9059">
        <v>5</v>
      </c>
      <c r="D9059">
        <v>22</v>
      </c>
    </row>
    <row r="9060" spans="1:4" x14ac:dyDescent="0.25">
      <c r="A9060" s="1">
        <v>43029</v>
      </c>
      <c r="B9060">
        <v>1</v>
      </c>
      <c r="C9060">
        <v>5</v>
      </c>
      <c r="D9060">
        <v>31</v>
      </c>
    </row>
    <row r="9061" spans="1:4" x14ac:dyDescent="0.25">
      <c r="A9061" s="1">
        <v>43030</v>
      </c>
      <c r="B9061">
        <v>1</v>
      </c>
      <c r="C9061">
        <v>5</v>
      </c>
      <c r="D9061">
        <v>19</v>
      </c>
    </row>
    <row r="9062" spans="1:4" x14ac:dyDescent="0.25">
      <c r="A9062" s="1">
        <v>43031</v>
      </c>
      <c r="B9062">
        <v>1</v>
      </c>
      <c r="C9062">
        <v>5</v>
      </c>
      <c r="D9062">
        <v>16</v>
      </c>
    </row>
    <row r="9063" spans="1:4" x14ac:dyDescent="0.25">
      <c r="A9063" s="1">
        <v>43032</v>
      </c>
      <c r="B9063">
        <v>1</v>
      </c>
      <c r="C9063">
        <v>5</v>
      </c>
      <c r="D9063">
        <v>12</v>
      </c>
    </row>
    <row r="9064" spans="1:4" x14ac:dyDescent="0.25">
      <c r="A9064" s="1">
        <v>43033</v>
      </c>
      <c r="B9064">
        <v>1</v>
      </c>
      <c r="C9064">
        <v>5</v>
      </c>
      <c r="D9064">
        <v>23</v>
      </c>
    </row>
    <row r="9065" spans="1:4" x14ac:dyDescent="0.25">
      <c r="A9065" s="1">
        <v>43034</v>
      </c>
      <c r="B9065">
        <v>1</v>
      </c>
      <c r="C9065">
        <v>5</v>
      </c>
      <c r="D9065">
        <v>26</v>
      </c>
    </row>
    <row r="9066" spans="1:4" x14ac:dyDescent="0.25">
      <c r="A9066" s="1">
        <v>43035</v>
      </c>
      <c r="B9066">
        <v>1</v>
      </c>
      <c r="C9066">
        <v>5</v>
      </c>
      <c r="D9066">
        <v>22</v>
      </c>
    </row>
    <row r="9067" spans="1:4" x14ac:dyDescent="0.25">
      <c r="A9067" s="1">
        <v>43036</v>
      </c>
      <c r="B9067">
        <v>1</v>
      </c>
      <c r="C9067">
        <v>5</v>
      </c>
      <c r="D9067">
        <v>16</v>
      </c>
    </row>
    <row r="9068" spans="1:4" x14ac:dyDescent="0.25">
      <c r="A9068" s="1">
        <v>43037</v>
      </c>
      <c r="B9068">
        <v>1</v>
      </c>
      <c r="C9068">
        <v>5</v>
      </c>
      <c r="D9068">
        <v>21</v>
      </c>
    </row>
    <row r="9069" spans="1:4" x14ac:dyDescent="0.25">
      <c r="A9069" s="1">
        <v>43038</v>
      </c>
      <c r="B9069">
        <v>1</v>
      </c>
      <c r="C9069">
        <v>5</v>
      </c>
      <c r="D9069">
        <v>14</v>
      </c>
    </row>
    <row r="9070" spans="1:4" x14ac:dyDescent="0.25">
      <c r="A9070" s="1">
        <v>43039</v>
      </c>
      <c r="B9070">
        <v>1</v>
      </c>
      <c r="C9070">
        <v>5</v>
      </c>
      <c r="D9070">
        <v>17</v>
      </c>
    </row>
    <row r="9071" spans="1:4" x14ac:dyDescent="0.25">
      <c r="A9071" s="1">
        <v>43040</v>
      </c>
      <c r="B9071">
        <v>1</v>
      </c>
      <c r="C9071">
        <v>5</v>
      </c>
      <c r="D9071">
        <v>11</v>
      </c>
    </row>
    <row r="9072" spans="1:4" x14ac:dyDescent="0.25">
      <c r="A9072" s="1">
        <v>43041</v>
      </c>
      <c r="B9072">
        <v>1</v>
      </c>
      <c r="C9072">
        <v>5</v>
      </c>
      <c r="D9072">
        <v>18</v>
      </c>
    </row>
    <row r="9073" spans="1:4" x14ac:dyDescent="0.25">
      <c r="A9073" s="1">
        <v>43042</v>
      </c>
      <c r="B9073">
        <v>1</v>
      </c>
      <c r="C9073">
        <v>5</v>
      </c>
      <c r="D9073">
        <v>15</v>
      </c>
    </row>
    <row r="9074" spans="1:4" x14ac:dyDescent="0.25">
      <c r="A9074" s="1">
        <v>43043</v>
      </c>
      <c r="B9074">
        <v>1</v>
      </c>
      <c r="C9074">
        <v>5</v>
      </c>
      <c r="D9074">
        <v>21</v>
      </c>
    </row>
    <row r="9075" spans="1:4" x14ac:dyDescent="0.25">
      <c r="A9075" s="1">
        <v>43044</v>
      </c>
      <c r="B9075">
        <v>1</v>
      </c>
      <c r="C9075">
        <v>5</v>
      </c>
      <c r="D9075">
        <v>28</v>
      </c>
    </row>
    <row r="9076" spans="1:4" x14ac:dyDescent="0.25">
      <c r="A9076" s="1">
        <v>43045</v>
      </c>
      <c r="B9076">
        <v>1</v>
      </c>
      <c r="C9076">
        <v>5</v>
      </c>
      <c r="D9076">
        <v>15</v>
      </c>
    </row>
    <row r="9077" spans="1:4" x14ac:dyDescent="0.25">
      <c r="A9077" s="1">
        <v>43046</v>
      </c>
      <c r="B9077">
        <v>1</v>
      </c>
      <c r="C9077">
        <v>5</v>
      </c>
      <c r="D9077">
        <v>17</v>
      </c>
    </row>
    <row r="9078" spans="1:4" x14ac:dyDescent="0.25">
      <c r="A9078" s="1">
        <v>43047</v>
      </c>
      <c r="B9078">
        <v>1</v>
      </c>
      <c r="C9078">
        <v>5</v>
      </c>
      <c r="D9078">
        <v>18</v>
      </c>
    </row>
    <row r="9079" spans="1:4" x14ac:dyDescent="0.25">
      <c r="A9079" s="1">
        <v>43048</v>
      </c>
      <c r="B9079">
        <v>1</v>
      </c>
      <c r="C9079">
        <v>5</v>
      </c>
      <c r="D9079">
        <v>16</v>
      </c>
    </row>
    <row r="9080" spans="1:4" x14ac:dyDescent="0.25">
      <c r="A9080" s="1">
        <v>43049</v>
      </c>
      <c r="B9080">
        <v>1</v>
      </c>
      <c r="C9080">
        <v>5</v>
      </c>
      <c r="D9080">
        <v>15</v>
      </c>
    </row>
    <row r="9081" spans="1:4" x14ac:dyDescent="0.25">
      <c r="A9081" s="1">
        <v>43050</v>
      </c>
      <c r="B9081">
        <v>1</v>
      </c>
      <c r="C9081">
        <v>5</v>
      </c>
      <c r="D9081">
        <v>22</v>
      </c>
    </row>
    <row r="9082" spans="1:4" x14ac:dyDescent="0.25">
      <c r="A9082" s="1">
        <v>43051</v>
      </c>
      <c r="B9082">
        <v>1</v>
      </c>
      <c r="C9082">
        <v>5</v>
      </c>
      <c r="D9082">
        <v>28</v>
      </c>
    </row>
    <row r="9083" spans="1:4" x14ac:dyDescent="0.25">
      <c r="A9083" s="1">
        <v>43052</v>
      </c>
      <c r="B9083">
        <v>1</v>
      </c>
      <c r="C9083">
        <v>5</v>
      </c>
      <c r="D9083">
        <v>12</v>
      </c>
    </row>
    <row r="9084" spans="1:4" x14ac:dyDescent="0.25">
      <c r="A9084" s="1">
        <v>43053</v>
      </c>
      <c r="B9084">
        <v>1</v>
      </c>
      <c r="C9084">
        <v>5</v>
      </c>
      <c r="D9084">
        <v>15</v>
      </c>
    </row>
    <row r="9085" spans="1:4" x14ac:dyDescent="0.25">
      <c r="A9085" s="1">
        <v>43054</v>
      </c>
      <c r="B9085">
        <v>1</v>
      </c>
      <c r="C9085">
        <v>5</v>
      </c>
      <c r="D9085">
        <v>19</v>
      </c>
    </row>
    <row r="9086" spans="1:4" x14ac:dyDescent="0.25">
      <c r="A9086" s="1">
        <v>43055</v>
      </c>
      <c r="B9086">
        <v>1</v>
      </c>
      <c r="C9086">
        <v>5</v>
      </c>
      <c r="D9086">
        <v>19</v>
      </c>
    </row>
    <row r="9087" spans="1:4" x14ac:dyDescent="0.25">
      <c r="A9087" s="1">
        <v>43056</v>
      </c>
      <c r="B9087">
        <v>1</v>
      </c>
      <c r="C9087">
        <v>5</v>
      </c>
      <c r="D9087">
        <v>20</v>
      </c>
    </row>
    <row r="9088" spans="1:4" x14ac:dyDescent="0.25">
      <c r="A9088" s="1">
        <v>43057</v>
      </c>
      <c r="B9088">
        <v>1</v>
      </c>
      <c r="C9088">
        <v>5</v>
      </c>
      <c r="D9088">
        <v>26</v>
      </c>
    </row>
    <row r="9089" spans="1:4" x14ac:dyDescent="0.25">
      <c r="A9089" s="1">
        <v>43058</v>
      </c>
      <c r="B9089">
        <v>1</v>
      </c>
      <c r="C9089">
        <v>5</v>
      </c>
      <c r="D9089">
        <v>20</v>
      </c>
    </row>
    <row r="9090" spans="1:4" x14ac:dyDescent="0.25">
      <c r="A9090" s="1">
        <v>43059</v>
      </c>
      <c r="B9090">
        <v>1</v>
      </c>
      <c r="C9090">
        <v>5</v>
      </c>
      <c r="D9090">
        <v>15</v>
      </c>
    </row>
    <row r="9091" spans="1:4" x14ac:dyDescent="0.25">
      <c r="A9091" s="1">
        <v>43060</v>
      </c>
      <c r="B9091">
        <v>1</v>
      </c>
      <c r="C9091">
        <v>5</v>
      </c>
      <c r="D9091">
        <v>20</v>
      </c>
    </row>
    <row r="9092" spans="1:4" x14ac:dyDescent="0.25">
      <c r="A9092" s="1">
        <v>43061</v>
      </c>
      <c r="B9092">
        <v>1</v>
      </c>
      <c r="C9092">
        <v>5</v>
      </c>
      <c r="D9092">
        <v>14</v>
      </c>
    </row>
    <row r="9093" spans="1:4" x14ac:dyDescent="0.25">
      <c r="A9093" s="1">
        <v>43062</v>
      </c>
      <c r="B9093">
        <v>1</v>
      </c>
      <c r="C9093">
        <v>5</v>
      </c>
      <c r="D9093">
        <v>23</v>
      </c>
    </row>
    <row r="9094" spans="1:4" x14ac:dyDescent="0.25">
      <c r="A9094" s="1">
        <v>43063</v>
      </c>
      <c r="B9094">
        <v>1</v>
      </c>
      <c r="C9094">
        <v>5</v>
      </c>
      <c r="D9094">
        <v>24</v>
      </c>
    </row>
    <row r="9095" spans="1:4" x14ac:dyDescent="0.25">
      <c r="A9095" s="1">
        <v>43064</v>
      </c>
      <c r="B9095">
        <v>1</v>
      </c>
      <c r="C9095">
        <v>5</v>
      </c>
      <c r="D9095">
        <v>25</v>
      </c>
    </row>
    <row r="9096" spans="1:4" x14ac:dyDescent="0.25">
      <c r="A9096" s="1">
        <v>43065</v>
      </c>
      <c r="B9096">
        <v>1</v>
      </c>
      <c r="C9096">
        <v>5</v>
      </c>
      <c r="D9096">
        <v>32</v>
      </c>
    </row>
    <row r="9097" spans="1:4" x14ac:dyDescent="0.25">
      <c r="A9097" s="1">
        <v>43066</v>
      </c>
      <c r="B9097">
        <v>1</v>
      </c>
      <c r="C9097">
        <v>5</v>
      </c>
      <c r="D9097">
        <v>20</v>
      </c>
    </row>
    <row r="9098" spans="1:4" x14ac:dyDescent="0.25">
      <c r="A9098" s="1">
        <v>43067</v>
      </c>
      <c r="B9098">
        <v>1</v>
      </c>
      <c r="C9098">
        <v>5</v>
      </c>
      <c r="D9098">
        <v>18</v>
      </c>
    </row>
    <row r="9099" spans="1:4" x14ac:dyDescent="0.25">
      <c r="A9099" s="1">
        <v>43068</v>
      </c>
      <c r="B9099">
        <v>1</v>
      </c>
      <c r="C9099">
        <v>5</v>
      </c>
      <c r="D9099">
        <v>9</v>
      </c>
    </row>
    <row r="9100" spans="1:4" x14ac:dyDescent="0.25">
      <c r="A9100" s="1">
        <v>43069</v>
      </c>
      <c r="B9100">
        <v>1</v>
      </c>
      <c r="C9100">
        <v>5</v>
      </c>
      <c r="D9100">
        <v>20</v>
      </c>
    </row>
    <row r="9101" spans="1:4" x14ac:dyDescent="0.25">
      <c r="A9101" s="1">
        <v>43070</v>
      </c>
      <c r="B9101">
        <v>1</v>
      </c>
      <c r="C9101">
        <v>5</v>
      </c>
      <c r="D9101">
        <v>13</v>
      </c>
    </row>
    <row r="9102" spans="1:4" x14ac:dyDescent="0.25">
      <c r="A9102" s="1">
        <v>43071</v>
      </c>
      <c r="B9102">
        <v>1</v>
      </c>
      <c r="C9102">
        <v>5</v>
      </c>
      <c r="D9102">
        <v>18</v>
      </c>
    </row>
    <row r="9103" spans="1:4" x14ac:dyDescent="0.25">
      <c r="A9103" s="1">
        <v>43072</v>
      </c>
      <c r="B9103">
        <v>1</v>
      </c>
      <c r="C9103">
        <v>5</v>
      </c>
      <c r="D9103">
        <v>19</v>
      </c>
    </row>
    <row r="9104" spans="1:4" x14ac:dyDescent="0.25">
      <c r="A9104" s="1">
        <v>43073</v>
      </c>
      <c r="B9104">
        <v>1</v>
      </c>
      <c r="C9104">
        <v>5</v>
      </c>
      <c r="D9104">
        <v>13</v>
      </c>
    </row>
    <row r="9105" spans="1:4" x14ac:dyDescent="0.25">
      <c r="A9105" s="1">
        <v>43074</v>
      </c>
      <c r="B9105">
        <v>1</v>
      </c>
      <c r="C9105">
        <v>5</v>
      </c>
      <c r="D9105">
        <v>16</v>
      </c>
    </row>
    <row r="9106" spans="1:4" x14ac:dyDescent="0.25">
      <c r="A9106" s="1">
        <v>43075</v>
      </c>
      <c r="B9106">
        <v>1</v>
      </c>
      <c r="C9106">
        <v>5</v>
      </c>
      <c r="D9106">
        <v>15</v>
      </c>
    </row>
    <row r="9107" spans="1:4" x14ac:dyDescent="0.25">
      <c r="A9107" s="1">
        <v>43076</v>
      </c>
      <c r="B9107">
        <v>1</v>
      </c>
      <c r="C9107">
        <v>5</v>
      </c>
      <c r="D9107">
        <v>10</v>
      </c>
    </row>
    <row r="9108" spans="1:4" x14ac:dyDescent="0.25">
      <c r="A9108" s="1">
        <v>43077</v>
      </c>
      <c r="B9108">
        <v>1</v>
      </c>
      <c r="C9108">
        <v>5</v>
      </c>
      <c r="D9108">
        <v>6</v>
      </c>
    </row>
    <row r="9109" spans="1:4" x14ac:dyDescent="0.25">
      <c r="A9109" s="1">
        <v>43078</v>
      </c>
      <c r="B9109">
        <v>1</v>
      </c>
      <c r="C9109">
        <v>5</v>
      </c>
      <c r="D9109">
        <v>14</v>
      </c>
    </row>
    <row r="9110" spans="1:4" x14ac:dyDescent="0.25">
      <c r="A9110" s="1">
        <v>43079</v>
      </c>
      <c r="B9110">
        <v>1</v>
      </c>
      <c r="C9110">
        <v>5</v>
      </c>
      <c r="D9110">
        <v>18</v>
      </c>
    </row>
    <row r="9111" spans="1:4" x14ac:dyDescent="0.25">
      <c r="A9111" s="1">
        <v>43080</v>
      </c>
      <c r="B9111">
        <v>1</v>
      </c>
      <c r="C9111">
        <v>5</v>
      </c>
      <c r="D9111">
        <v>11</v>
      </c>
    </row>
    <row r="9112" spans="1:4" x14ac:dyDescent="0.25">
      <c r="A9112" s="1">
        <v>43081</v>
      </c>
      <c r="B9112">
        <v>1</v>
      </c>
      <c r="C9112">
        <v>5</v>
      </c>
      <c r="D9112">
        <v>13</v>
      </c>
    </row>
    <row r="9113" spans="1:4" x14ac:dyDescent="0.25">
      <c r="A9113" s="1">
        <v>43082</v>
      </c>
      <c r="B9113">
        <v>1</v>
      </c>
      <c r="C9113">
        <v>5</v>
      </c>
      <c r="D9113">
        <v>16</v>
      </c>
    </row>
    <row r="9114" spans="1:4" x14ac:dyDescent="0.25">
      <c r="A9114" s="1">
        <v>43083</v>
      </c>
      <c r="B9114">
        <v>1</v>
      </c>
      <c r="C9114">
        <v>5</v>
      </c>
      <c r="D9114">
        <v>9</v>
      </c>
    </row>
    <row r="9115" spans="1:4" x14ac:dyDescent="0.25">
      <c r="A9115" s="1">
        <v>43084</v>
      </c>
      <c r="B9115">
        <v>1</v>
      </c>
      <c r="C9115">
        <v>5</v>
      </c>
      <c r="D9115">
        <v>23</v>
      </c>
    </row>
    <row r="9116" spans="1:4" x14ac:dyDescent="0.25">
      <c r="A9116" s="1">
        <v>43085</v>
      </c>
      <c r="B9116">
        <v>1</v>
      </c>
      <c r="C9116">
        <v>5</v>
      </c>
      <c r="D9116">
        <v>23</v>
      </c>
    </row>
    <row r="9117" spans="1:4" x14ac:dyDescent="0.25">
      <c r="A9117" s="1">
        <v>43086</v>
      </c>
      <c r="B9117">
        <v>1</v>
      </c>
      <c r="C9117">
        <v>5</v>
      </c>
      <c r="D9117">
        <v>16</v>
      </c>
    </row>
    <row r="9118" spans="1:4" x14ac:dyDescent="0.25">
      <c r="A9118" s="1">
        <v>43087</v>
      </c>
      <c r="B9118">
        <v>1</v>
      </c>
      <c r="C9118">
        <v>5</v>
      </c>
      <c r="D9118">
        <v>10</v>
      </c>
    </row>
    <row r="9119" spans="1:4" x14ac:dyDescent="0.25">
      <c r="A9119" s="1">
        <v>43088</v>
      </c>
      <c r="B9119">
        <v>1</v>
      </c>
      <c r="C9119">
        <v>5</v>
      </c>
      <c r="D9119">
        <v>9</v>
      </c>
    </row>
    <row r="9120" spans="1:4" x14ac:dyDescent="0.25">
      <c r="A9120" s="1">
        <v>43089</v>
      </c>
      <c r="B9120">
        <v>1</v>
      </c>
      <c r="C9120">
        <v>5</v>
      </c>
      <c r="D9120">
        <v>11</v>
      </c>
    </row>
    <row r="9121" spans="1:4" x14ac:dyDescent="0.25">
      <c r="A9121" s="1">
        <v>43090</v>
      </c>
      <c r="B9121">
        <v>1</v>
      </c>
      <c r="C9121">
        <v>5</v>
      </c>
      <c r="D9121">
        <v>14</v>
      </c>
    </row>
    <row r="9122" spans="1:4" x14ac:dyDescent="0.25">
      <c r="A9122" s="1">
        <v>43091</v>
      </c>
      <c r="B9122">
        <v>1</v>
      </c>
      <c r="C9122">
        <v>5</v>
      </c>
      <c r="D9122">
        <v>6</v>
      </c>
    </row>
    <row r="9123" spans="1:4" x14ac:dyDescent="0.25">
      <c r="A9123" s="1">
        <v>43092</v>
      </c>
      <c r="B9123">
        <v>1</v>
      </c>
      <c r="C9123">
        <v>5</v>
      </c>
      <c r="D9123">
        <v>19</v>
      </c>
    </row>
    <row r="9124" spans="1:4" x14ac:dyDescent="0.25">
      <c r="A9124" s="1">
        <v>43093</v>
      </c>
      <c r="B9124">
        <v>1</v>
      </c>
      <c r="C9124">
        <v>5</v>
      </c>
      <c r="D9124">
        <v>15</v>
      </c>
    </row>
    <row r="9125" spans="1:4" x14ac:dyDescent="0.25">
      <c r="A9125" s="1">
        <v>43094</v>
      </c>
      <c r="B9125">
        <v>1</v>
      </c>
      <c r="C9125">
        <v>5</v>
      </c>
      <c r="D9125">
        <v>12</v>
      </c>
    </row>
    <row r="9126" spans="1:4" x14ac:dyDescent="0.25">
      <c r="A9126" s="1">
        <v>43095</v>
      </c>
      <c r="B9126">
        <v>1</v>
      </c>
      <c r="C9126">
        <v>5</v>
      </c>
      <c r="D9126">
        <v>10</v>
      </c>
    </row>
    <row r="9127" spans="1:4" x14ac:dyDescent="0.25">
      <c r="A9127" s="1">
        <v>43096</v>
      </c>
      <c r="B9127">
        <v>1</v>
      </c>
      <c r="C9127">
        <v>5</v>
      </c>
      <c r="D9127">
        <v>6</v>
      </c>
    </row>
    <row r="9128" spans="1:4" x14ac:dyDescent="0.25">
      <c r="A9128" s="1">
        <v>43097</v>
      </c>
      <c r="B9128">
        <v>1</v>
      </c>
      <c r="C9128">
        <v>5</v>
      </c>
      <c r="D9128">
        <v>15</v>
      </c>
    </row>
    <row r="9129" spans="1:4" x14ac:dyDescent="0.25">
      <c r="A9129" s="1">
        <v>43098</v>
      </c>
      <c r="B9129">
        <v>1</v>
      </c>
      <c r="C9129">
        <v>5</v>
      </c>
      <c r="D9129">
        <v>17</v>
      </c>
    </row>
    <row r="9130" spans="1:4" x14ac:dyDescent="0.25">
      <c r="A9130" s="1">
        <v>43099</v>
      </c>
      <c r="B9130">
        <v>1</v>
      </c>
      <c r="C9130">
        <v>5</v>
      </c>
      <c r="D9130">
        <v>22</v>
      </c>
    </row>
    <row r="9131" spans="1:4" x14ac:dyDescent="0.25">
      <c r="A9131" s="1">
        <v>43100</v>
      </c>
      <c r="B9131">
        <v>1</v>
      </c>
      <c r="C9131">
        <v>5</v>
      </c>
      <c r="D9131">
        <v>17</v>
      </c>
    </row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  <row r="110529" customFormat="1" x14ac:dyDescent="0.25"/>
    <row r="110530" customFormat="1" x14ac:dyDescent="0.25"/>
    <row r="110531" customFormat="1" x14ac:dyDescent="0.25"/>
    <row r="110532" customFormat="1" x14ac:dyDescent="0.25"/>
    <row r="110533" customFormat="1" x14ac:dyDescent="0.25"/>
    <row r="110534" customFormat="1" x14ac:dyDescent="0.25"/>
    <row r="110535" customFormat="1" x14ac:dyDescent="0.25"/>
    <row r="110536" customFormat="1" x14ac:dyDescent="0.25"/>
    <row r="110537" customFormat="1" x14ac:dyDescent="0.25"/>
    <row r="110538" customFormat="1" x14ac:dyDescent="0.25"/>
    <row r="110539" customFormat="1" x14ac:dyDescent="0.25"/>
    <row r="110540" customFormat="1" x14ac:dyDescent="0.25"/>
    <row r="110541" customFormat="1" x14ac:dyDescent="0.25"/>
    <row r="110542" customFormat="1" x14ac:dyDescent="0.25"/>
    <row r="110543" customFormat="1" x14ac:dyDescent="0.25"/>
    <row r="110544" customFormat="1" x14ac:dyDescent="0.25"/>
    <row r="110545" customFormat="1" x14ac:dyDescent="0.25"/>
    <row r="110546" customFormat="1" x14ac:dyDescent="0.25"/>
    <row r="110547" customFormat="1" x14ac:dyDescent="0.25"/>
    <row r="110548" customFormat="1" x14ac:dyDescent="0.25"/>
    <row r="110549" customFormat="1" x14ac:dyDescent="0.25"/>
    <row r="110550" customFormat="1" x14ac:dyDescent="0.25"/>
    <row r="110551" customFormat="1" x14ac:dyDescent="0.25"/>
    <row r="110552" customFormat="1" x14ac:dyDescent="0.25"/>
    <row r="110553" customFormat="1" x14ac:dyDescent="0.25"/>
    <row r="110554" customFormat="1" x14ac:dyDescent="0.25"/>
    <row r="110555" customFormat="1" x14ac:dyDescent="0.25"/>
    <row r="110556" customFormat="1" x14ac:dyDescent="0.25"/>
    <row r="110557" customFormat="1" x14ac:dyDescent="0.25"/>
    <row r="110558" customFormat="1" x14ac:dyDescent="0.25"/>
    <row r="110559" customFormat="1" x14ac:dyDescent="0.25"/>
    <row r="110560" customFormat="1" x14ac:dyDescent="0.25"/>
    <row r="110561" customFormat="1" x14ac:dyDescent="0.25"/>
    <row r="110562" customFormat="1" x14ac:dyDescent="0.25"/>
    <row r="110563" customFormat="1" x14ac:dyDescent="0.25"/>
    <row r="110564" customFormat="1" x14ac:dyDescent="0.25"/>
    <row r="110565" customFormat="1" x14ac:dyDescent="0.25"/>
    <row r="110566" customFormat="1" x14ac:dyDescent="0.25"/>
    <row r="110567" customFormat="1" x14ac:dyDescent="0.25"/>
    <row r="110568" customFormat="1" x14ac:dyDescent="0.25"/>
    <row r="110569" customFormat="1" x14ac:dyDescent="0.25"/>
    <row r="110570" customFormat="1" x14ac:dyDescent="0.25"/>
    <row r="110571" customFormat="1" x14ac:dyDescent="0.25"/>
    <row r="110572" customFormat="1" x14ac:dyDescent="0.25"/>
    <row r="110573" customFormat="1" x14ac:dyDescent="0.25"/>
    <row r="110574" customFormat="1" x14ac:dyDescent="0.25"/>
    <row r="110575" customFormat="1" x14ac:dyDescent="0.25"/>
    <row r="110576" customFormat="1" x14ac:dyDescent="0.25"/>
    <row r="110577" customFormat="1" x14ac:dyDescent="0.25"/>
    <row r="110578" customFormat="1" x14ac:dyDescent="0.25"/>
    <row r="110579" customFormat="1" x14ac:dyDescent="0.25"/>
    <row r="110580" customFormat="1" x14ac:dyDescent="0.25"/>
    <row r="110581" customFormat="1" x14ac:dyDescent="0.25"/>
    <row r="110582" customFormat="1" x14ac:dyDescent="0.25"/>
    <row r="110583" customFormat="1" x14ac:dyDescent="0.25"/>
    <row r="110584" customFormat="1" x14ac:dyDescent="0.25"/>
    <row r="110585" customFormat="1" x14ac:dyDescent="0.25"/>
    <row r="110586" customFormat="1" x14ac:dyDescent="0.25"/>
    <row r="110587" customFormat="1" x14ac:dyDescent="0.25"/>
    <row r="110588" customFormat="1" x14ac:dyDescent="0.25"/>
    <row r="110589" customFormat="1" x14ac:dyDescent="0.25"/>
    <row r="110590" customFormat="1" x14ac:dyDescent="0.25"/>
    <row r="110591" customFormat="1" x14ac:dyDescent="0.25"/>
    <row r="110592" customFormat="1" x14ac:dyDescent="0.25"/>
    <row r="110593" customFormat="1" x14ac:dyDescent="0.25"/>
    <row r="110594" customFormat="1" x14ac:dyDescent="0.25"/>
    <row r="110595" customFormat="1" x14ac:dyDescent="0.25"/>
    <row r="110596" customFormat="1" x14ac:dyDescent="0.25"/>
    <row r="110597" customFormat="1" x14ac:dyDescent="0.25"/>
    <row r="110598" customFormat="1" x14ac:dyDescent="0.25"/>
    <row r="110599" customFormat="1" x14ac:dyDescent="0.25"/>
    <row r="110600" customFormat="1" x14ac:dyDescent="0.25"/>
    <row r="110601" customFormat="1" x14ac:dyDescent="0.25"/>
    <row r="110602" customFormat="1" x14ac:dyDescent="0.25"/>
    <row r="110603" customFormat="1" x14ac:dyDescent="0.25"/>
    <row r="110604" customFormat="1" x14ac:dyDescent="0.25"/>
    <row r="110605" customFormat="1" x14ac:dyDescent="0.25"/>
    <row r="110606" customFormat="1" x14ac:dyDescent="0.25"/>
    <row r="110607" customFormat="1" x14ac:dyDescent="0.25"/>
    <row r="110608" customFormat="1" x14ac:dyDescent="0.25"/>
    <row r="110609" customFormat="1" x14ac:dyDescent="0.25"/>
    <row r="110610" customFormat="1" x14ac:dyDescent="0.25"/>
    <row r="110611" customFormat="1" x14ac:dyDescent="0.25"/>
    <row r="110612" customFormat="1" x14ac:dyDescent="0.25"/>
    <row r="110613" customFormat="1" x14ac:dyDescent="0.25"/>
    <row r="110614" customFormat="1" x14ac:dyDescent="0.25"/>
    <row r="110615" customFormat="1" x14ac:dyDescent="0.25"/>
    <row r="110616" customFormat="1" x14ac:dyDescent="0.25"/>
    <row r="110617" customFormat="1" x14ac:dyDescent="0.25"/>
    <row r="110618" customFormat="1" x14ac:dyDescent="0.25"/>
    <row r="110619" customFormat="1" x14ac:dyDescent="0.25"/>
    <row r="110620" customFormat="1" x14ac:dyDescent="0.25"/>
    <row r="110621" customFormat="1" x14ac:dyDescent="0.25"/>
    <row r="110622" customFormat="1" x14ac:dyDescent="0.25"/>
    <row r="110623" customFormat="1" x14ac:dyDescent="0.25"/>
    <row r="110624" customFormat="1" x14ac:dyDescent="0.25"/>
    <row r="110625" customFormat="1" x14ac:dyDescent="0.25"/>
    <row r="110626" customFormat="1" x14ac:dyDescent="0.25"/>
    <row r="110627" customFormat="1" x14ac:dyDescent="0.25"/>
    <row r="110628" customFormat="1" x14ac:dyDescent="0.25"/>
    <row r="110629" customFormat="1" x14ac:dyDescent="0.25"/>
    <row r="110630" customFormat="1" x14ac:dyDescent="0.25"/>
    <row r="110631" customFormat="1" x14ac:dyDescent="0.25"/>
    <row r="110632" customFormat="1" x14ac:dyDescent="0.25"/>
    <row r="110633" customFormat="1" x14ac:dyDescent="0.25"/>
    <row r="110634" customFormat="1" x14ac:dyDescent="0.25"/>
    <row r="110635" customFormat="1" x14ac:dyDescent="0.25"/>
    <row r="110636" customFormat="1" x14ac:dyDescent="0.25"/>
    <row r="110637" customFormat="1" x14ac:dyDescent="0.25"/>
    <row r="110638" customFormat="1" x14ac:dyDescent="0.25"/>
    <row r="110639" customFormat="1" x14ac:dyDescent="0.25"/>
    <row r="110640" customFormat="1" x14ac:dyDescent="0.25"/>
    <row r="110641" customFormat="1" x14ac:dyDescent="0.25"/>
    <row r="110642" customFormat="1" x14ac:dyDescent="0.25"/>
    <row r="110643" customFormat="1" x14ac:dyDescent="0.25"/>
    <row r="110644" customFormat="1" x14ac:dyDescent="0.25"/>
    <row r="110645" customFormat="1" x14ac:dyDescent="0.25"/>
    <row r="110646" customFormat="1" x14ac:dyDescent="0.25"/>
    <row r="110647" customFormat="1" x14ac:dyDescent="0.25"/>
    <row r="110648" customFormat="1" x14ac:dyDescent="0.25"/>
    <row r="110649" customFormat="1" x14ac:dyDescent="0.25"/>
    <row r="110650" customFormat="1" x14ac:dyDescent="0.25"/>
    <row r="110651" customFormat="1" x14ac:dyDescent="0.25"/>
    <row r="110652" customFormat="1" x14ac:dyDescent="0.25"/>
    <row r="110653" customFormat="1" x14ac:dyDescent="0.25"/>
    <row r="110654" customFormat="1" x14ac:dyDescent="0.25"/>
    <row r="110655" customFormat="1" x14ac:dyDescent="0.25"/>
    <row r="110656" customFormat="1" x14ac:dyDescent="0.25"/>
    <row r="110657" customFormat="1" x14ac:dyDescent="0.25"/>
    <row r="110658" customFormat="1" x14ac:dyDescent="0.25"/>
    <row r="110659" customFormat="1" x14ac:dyDescent="0.25"/>
    <row r="110660" customFormat="1" x14ac:dyDescent="0.25"/>
    <row r="110661" customFormat="1" x14ac:dyDescent="0.25"/>
    <row r="110662" customFormat="1" x14ac:dyDescent="0.25"/>
    <row r="110663" customFormat="1" x14ac:dyDescent="0.25"/>
    <row r="110664" customFormat="1" x14ac:dyDescent="0.25"/>
    <row r="110665" customFormat="1" x14ac:dyDescent="0.25"/>
    <row r="110666" customFormat="1" x14ac:dyDescent="0.25"/>
    <row r="110667" customFormat="1" x14ac:dyDescent="0.25"/>
    <row r="110668" customFormat="1" x14ac:dyDescent="0.25"/>
    <row r="110669" customFormat="1" x14ac:dyDescent="0.25"/>
    <row r="110670" customFormat="1" x14ac:dyDescent="0.25"/>
    <row r="110671" customFormat="1" x14ac:dyDescent="0.25"/>
    <row r="110672" customFormat="1" x14ac:dyDescent="0.25"/>
    <row r="110673" customFormat="1" x14ac:dyDescent="0.25"/>
    <row r="110674" customFormat="1" x14ac:dyDescent="0.25"/>
    <row r="110675" customFormat="1" x14ac:dyDescent="0.25"/>
    <row r="110676" customFormat="1" x14ac:dyDescent="0.25"/>
    <row r="110677" customFormat="1" x14ac:dyDescent="0.25"/>
    <row r="110678" customFormat="1" x14ac:dyDescent="0.25"/>
    <row r="110679" customFormat="1" x14ac:dyDescent="0.25"/>
    <row r="110680" customFormat="1" x14ac:dyDescent="0.25"/>
    <row r="110681" customFormat="1" x14ac:dyDescent="0.25"/>
    <row r="110682" customFormat="1" x14ac:dyDescent="0.25"/>
    <row r="110683" customFormat="1" x14ac:dyDescent="0.25"/>
    <row r="110684" customFormat="1" x14ac:dyDescent="0.25"/>
    <row r="110685" customFormat="1" x14ac:dyDescent="0.25"/>
    <row r="110686" customFormat="1" x14ac:dyDescent="0.25"/>
    <row r="110687" customFormat="1" x14ac:dyDescent="0.25"/>
    <row r="110688" customFormat="1" x14ac:dyDescent="0.25"/>
    <row r="110689" customFormat="1" x14ac:dyDescent="0.25"/>
    <row r="110690" customFormat="1" x14ac:dyDescent="0.25"/>
    <row r="110691" customFormat="1" x14ac:dyDescent="0.25"/>
    <row r="110692" customFormat="1" x14ac:dyDescent="0.25"/>
    <row r="110693" customFormat="1" x14ac:dyDescent="0.25"/>
    <row r="110694" customFormat="1" x14ac:dyDescent="0.25"/>
    <row r="110695" customFormat="1" x14ac:dyDescent="0.25"/>
    <row r="110696" customFormat="1" x14ac:dyDescent="0.25"/>
    <row r="110697" customFormat="1" x14ac:dyDescent="0.25"/>
    <row r="110698" customFormat="1" x14ac:dyDescent="0.25"/>
    <row r="110699" customFormat="1" x14ac:dyDescent="0.25"/>
    <row r="110700" customFormat="1" x14ac:dyDescent="0.25"/>
    <row r="110701" customFormat="1" x14ac:dyDescent="0.25"/>
    <row r="110702" customFormat="1" x14ac:dyDescent="0.25"/>
    <row r="110703" customFormat="1" x14ac:dyDescent="0.25"/>
    <row r="110704" customFormat="1" x14ac:dyDescent="0.25"/>
    <row r="110705" customFormat="1" x14ac:dyDescent="0.25"/>
    <row r="110706" customFormat="1" x14ac:dyDescent="0.25"/>
    <row r="110707" customFormat="1" x14ac:dyDescent="0.25"/>
    <row r="110708" customFormat="1" x14ac:dyDescent="0.25"/>
    <row r="110709" customFormat="1" x14ac:dyDescent="0.25"/>
    <row r="110710" customFormat="1" x14ac:dyDescent="0.25"/>
    <row r="110711" customFormat="1" x14ac:dyDescent="0.25"/>
    <row r="110712" customFormat="1" x14ac:dyDescent="0.25"/>
    <row r="110713" customFormat="1" x14ac:dyDescent="0.25"/>
    <row r="110714" customFormat="1" x14ac:dyDescent="0.25"/>
    <row r="110715" customFormat="1" x14ac:dyDescent="0.25"/>
    <row r="110716" customFormat="1" x14ac:dyDescent="0.25"/>
    <row r="110717" customFormat="1" x14ac:dyDescent="0.25"/>
    <row r="110718" customFormat="1" x14ac:dyDescent="0.25"/>
    <row r="110719" customFormat="1" x14ac:dyDescent="0.25"/>
    <row r="110720" customFormat="1" x14ac:dyDescent="0.25"/>
    <row r="110721" customFormat="1" x14ac:dyDescent="0.25"/>
    <row r="110722" customFormat="1" x14ac:dyDescent="0.25"/>
    <row r="110723" customFormat="1" x14ac:dyDescent="0.25"/>
    <row r="110724" customFormat="1" x14ac:dyDescent="0.25"/>
    <row r="110725" customFormat="1" x14ac:dyDescent="0.25"/>
    <row r="110726" customFormat="1" x14ac:dyDescent="0.25"/>
    <row r="110727" customFormat="1" x14ac:dyDescent="0.25"/>
    <row r="110728" customFormat="1" x14ac:dyDescent="0.25"/>
    <row r="110729" customFormat="1" x14ac:dyDescent="0.25"/>
    <row r="110730" customFormat="1" x14ac:dyDescent="0.25"/>
    <row r="110731" customFormat="1" x14ac:dyDescent="0.25"/>
    <row r="110732" customFormat="1" x14ac:dyDescent="0.25"/>
    <row r="110733" customFormat="1" x14ac:dyDescent="0.25"/>
    <row r="110734" customFormat="1" x14ac:dyDescent="0.25"/>
    <row r="110735" customFormat="1" x14ac:dyDescent="0.25"/>
    <row r="110736" customFormat="1" x14ac:dyDescent="0.25"/>
    <row r="110737" customFormat="1" x14ac:dyDescent="0.25"/>
    <row r="110738" customFormat="1" x14ac:dyDescent="0.25"/>
    <row r="110739" customFormat="1" x14ac:dyDescent="0.25"/>
    <row r="110740" customFormat="1" x14ac:dyDescent="0.25"/>
    <row r="110741" customFormat="1" x14ac:dyDescent="0.25"/>
    <row r="110742" customFormat="1" x14ac:dyDescent="0.25"/>
    <row r="110743" customFormat="1" x14ac:dyDescent="0.25"/>
    <row r="110744" customFormat="1" x14ac:dyDescent="0.25"/>
    <row r="110745" customFormat="1" x14ac:dyDescent="0.25"/>
    <row r="110746" customFormat="1" x14ac:dyDescent="0.25"/>
    <row r="110747" customFormat="1" x14ac:dyDescent="0.25"/>
    <row r="110748" customFormat="1" x14ac:dyDescent="0.25"/>
    <row r="110749" customFormat="1" x14ac:dyDescent="0.25"/>
    <row r="110750" customFormat="1" x14ac:dyDescent="0.25"/>
    <row r="110751" customFormat="1" x14ac:dyDescent="0.25"/>
    <row r="110752" customFormat="1" x14ac:dyDescent="0.25"/>
    <row r="110753" customFormat="1" x14ac:dyDescent="0.25"/>
    <row r="110754" customFormat="1" x14ac:dyDescent="0.25"/>
    <row r="110755" customFormat="1" x14ac:dyDescent="0.25"/>
    <row r="110756" customFormat="1" x14ac:dyDescent="0.25"/>
    <row r="110757" customFormat="1" x14ac:dyDescent="0.25"/>
    <row r="110758" customFormat="1" x14ac:dyDescent="0.25"/>
    <row r="110759" customFormat="1" x14ac:dyDescent="0.25"/>
    <row r="110760" customFormat="1" x14ac:dyDescent="0.25"/>
    <row r="110761" customFormat="1" x14ac:dyDescent="0.25"/>
    <row r="110762" customFormat="1" x14ac:dyDescent="0.25"/>
    <row r="110763" customFormat="1" x14ac:dyDescent="0.25"/>
    <row r="110764" customFormat="1" x14ac:dyDescent="0.25"/>
    <row r="110765" customFormat="1" x14ac:dyDescent="0.25"/>
    <row r="110766" customFormat="1" x14ac:dyDescent="0.25"/>
    <row r="110767" customFormat="1" x14ac:dyDescent="0.25"/>
    <row r="110768" customFormat="1" x14ac:dyDescent="0.25"/>
    <row r="110769" customFormat="1" x14ac:dyDescent="0.25"/>
    <row r="110770" customFormat="1" x14ac:dyDescent="0.25"/>
    <row r="110771" customFormat="1" x14ac:dyDescent="0.25"/>
    <row r="110772" customFormat="1" x14ac:dyDescent="0.25"/>
    <row r="110773" customFormat="1" x14ac:dyDescent="0.25"/>
    <row r="110774" customFormat="1" x14ac:dyDescent="0.25"/>
    <row r="110775" customFormat="1" x14ac:dyDescent="0.25"/>
    <row r="110776" customFormat="1" x14ac:dyDescent="0.25"/>
    <row r="110777" customFormat="1" x14ac:dyDescent="0.25"/>
    <row r="110778" customFormat="1" x14ac:dyDescent="0.25"/>
    <row r="110779" customFormat="1" x14ac:dyDescent="0.25"/>
    <row r="110780" customFormat="1" x14ac:dyDescent="0.25"/>
    <row r="110781" customFormat="1" x14ac:dyDescent="0.25"/>
    <row r="110782" customFormat="1" x14ac:dyDescent="0.25"/>
    <row r="110783" customFormat="1" x14ac:dyDescent="0.25"/>
    <row r="110784" customFormat="1" x14ac:dyDescent="0.25"/>
    <row r="110785" customFormat="1" x14ac:dyDescent="0.25"/>
    <row r="110786" customFormat="1" x14ac:dyDescent="0.25"/>
    <row r="110787" customFormat="1" x14ac:dyDescent="0.25"/>
    <row r="110788" customFormat="1" x14ac:dyDescent="0.25"/>
    <row r="110789" customFormat="1" x14ac:dyDescent="0.25"/>
    <row r="110790" customFormat="1" x14ac:dyDescent="0.25"/>
    <row r="110791" customFormat="1" x14ac:dyDescent="0.25"/>
    <row r="110792" customFormat="1" x14ac:dyDescent="0.25"/>
    <row r="110793" customFormat="1" x14ac:dyDescent="0.25"/>
    <row r="110794" customFormat="1" x14ac:dyDescent="0.25"/>
    <row r="110795" customFormat="1" x14ac:dyDescent="0.25"/>
    <row r="110796" customFormat="1" x14ac:dyDescent="0.25"/>
    <row r="110797" customFormat="1" x14ac:dyDescent="0.25"/>
    <row r="110798" customFormat="1" x14ac:dyDescent="0.25"/>
    <row r="110799" customFormat="1" x14ac:dyDescent="0.25"/>
    <row r="110800" customFormat="1" x14ac:dyDescent="0.25"/>
    <row r="110801" customFormat="1" x14ac:dyDescent="0.25"/>
    <row r="110802" customFormat="1" x14ac:dyDescent="0.25"/>
    <row r="110803" customFormat="1" x14ac:dyDescent="0.25"/>
    <row r="110804" customFormat="1" x14ac:dyDescent="0.25"/>
    <row r="110805" customFormat="1" x14ac:dyDescent="0.25"/>
    <row r="110806" customFormat="1" x14ac:dyDescent="0.25"/>
    <row r="110807" customFormat="1" x14ac:dyDescent="0.25"/>
    <row r="110808" customFormat="1" x14ac:dyDescent="0.25"/>
    <row r="110809" customFormat="1" x14ac:dyDescent="0.25"/>
    <row r="110810" customFormat="1" x14ac:dyDescent="0.25"/>
    <row r="110811" customFormat="1" x14ac:dyDescent="0.25"/>
    <row r="110812" customFormat="1" x14ac:dyDescent="0.25"/>
    <row r="110813" customFormat="1" x14ac:dyDescent="0.25"/>
    <row r="110814" customFormat="1" x14ac:dyDescent="0.25"/>
    <row r="110815" customFormat="1" x14ac:dyDescent="0.25"/>
    <row r="110816" customFormat="1" x14ac:dyDescent="0.25"/>
    <row r="110817" customFormat="1" x14ac:dyDescent="0.25"/>
    <row r="110818" customFormat="1" x14ac:dyDescent="0.25"/>
    <row r="110819" customFormat="1" x14ac:dyDescent="0.25"/>
    <row r="110820" customFormat="1" x14ac:dyDescent="0.25"/>
    <row r="110821" customFormat="1" x14ac:dyDescent="0.25"/>
    <row r="110822" customFormat="1" x14ac:dyDescent="0.25"/>
    <row r="110823" customFormat="1" x14ac:dyDescent="0.25"/>
    <row r="110824" customFormat="1" x14ac:dyDescent="0.25"/>
    <row r="110825" customFormat="1" x14ac:dyDescent="0.25"/>
    <row r="110826" customFormat="1" x14ac:dyDescent="0.25"/>
    <row r="110827" customFormat="1" x14ac:dyDescent="0.25"/>
    <row r="110828" customFormat="1" x14ac:dyDescent="0.25"/>
    <row r="110829" customFormat="1" x14ac:dyDescent="0.25"/>
    <row r="110830" customFormat="1" x14ac:dyDescent="0.25"/>
    <row r="110831" customFormat="1" x14ac:dyDescent="0.25"/>
    <row r="110832" customFormat="1" x14ac:dyDescent="0.25"/>
    <row r="110833" customFormat="1" x14ac:dyDescent="0.25"/>
    <row r="110834" customFormat="1" x14ac:dyDescent="0.25"/>
    <row r="110835" customFormat="1" x14ac:dyDescent="0.25"/>
    <row r="110836" customFormat="1" x14ac:dyDescent="0.25"/>
    <row r="110837" customFormat="1" x14ac:dyDescent="0.25"/>
    <row r="110838" customFormat="1" x14ac:dyDescent="0.25"/>
    <row r="110839" customFormat="1" x14ac:dyDescent="0.25"/>
    <row r="110840" customFormat="1" x14ac:dyDescent="0.25"/>
    <row r="110841" customFormat="1" x14ac:dyDescent="0.25"/>
    <row r="110842" customFormat="1" x14ac:dyDescent="0.25"/>
    <row r="110843" customFormat="1" x14ac:dyDescent="0.25"/>
    <row r="110844" customFormat="1" x14ac:dyDescent="0.25"/>
    <row r="110845" customFormat="1" x14ac:dyDescent="0.25"/>
    <row r="110846" customFormat="1" x14ac:dyDescent="0.25"/>
    <row r="110847" customFormat="1" x14ac:dyDescent="0.25"/>
    <row r="110848" customFormat="1" x14ac:dyDescent="0.25"/>
    <row r="110849" customFormat="1" x14ac:dyDescent="0.25"/>
    <row r="110850" customFormat="1" x14ac:dyDescent="0.25"/>
    <row r="110851" customFormat="1" x14ac:dyDescent="0.25"/>
    <row r="110852" customFormat="1" x14ac:dyDescent="0.25"/>
    <row r="110853" customFormat="1" x14ac:dyDescent="0.25"/>
    <row r="110854" customFormat="1" x14ac:dyDescent="0.25"/>
    <row r="110855" customFormat="1" x14ac:dyDescent="0.25"/>
    <row r="110856" customFormat="1" x14ac:dyDescent="0.25"/>
    <row r="110857" customFormat="1" x14ac:dyDescent="0.25"/>
    <row r="110858" customFormat="1" x14ac:dyDescent="0.25"/>
    <row r="110859" customFormat="1" x14ac:dyDescent="0.25"/>
    <row r="110860" customFormat="1" x14ac:dyDescent="0.25"/>
    <row r="110861" customFormat="1" x14ac:dyDescent="0.25"/>
    <row r="110862" customFormat="1" x14ac:dyDescent="0.25"/>
    <row r="110863" customFormat="1" x14ac:dyDescent="0.25"/>
    <row r="110864" customFormat="1" x14ac:dyDescent="0.25"/>
    <row r="110865" customFormat="1" x14ac:dyDescent="0.25"/>
    <row r="110866" customFormat="1" x14ac:dyDescent="0.25"/>
    <row r="110867" customFormat="1" x14ac:dyDescent="0.25"/>
    <row r="110868" customFormat="1" x14ac:dyDescent="0.25"/>
    <row r="110869" customFormat="1" x14ac:dyDescent="0.25"/>
    <row r="110870" customFormat="1" x14ac:dyDescent="0.25"/>
    <row r="110871" customFormat="1" x14ac:dyDescent="0.25"/>
    <row r="110872" customFormat="1" x14ac:dyDescent="0.25"/>
    <row r="110873" customFormat="1" x14ac:dyDescent="0.25"/>
    <row r="110874" customFormat="1" x14ac:dyDescent="0.25"/>
    <row r="110875" customFormat="1" x14ac:dyDescent="0.25"/>
    <row r="110876" customFormat="1" x14ac:dyDescent="0.25"/>
    <row r="110877" customFormat="1" x14ac:dyDescent="0.25"/>
    <row r="110878" customFormat="1" x14ac:dyDescent="0.25"/>
    <row r="110879" customFormat="1" x14ac:dyDescent="0.25"/>
    <row r="110880" customFormat="1" x14ac:dyDescent="0.25"/>
    <row r="110881" customFormat="1" x14ac:dyDescent="0.25"/>
    <row r="110882" customFormat="1" x14ac:dyDescent="0.25"/>
    <row r="110883" customFormat="1" x14ac:dyDescent="0.25"/>
    <row r="110884" customFormat="1" x14ac:dyDescent="0.25"/>
    <row r="110885" customFormat="1" x14ac:dyDescent="0.25"/>
    <row r="110886" customFormat="1" x14ac:dyDescent="0.25"/>
    <row r="110887" customFormat="1" x14ac:dyDescent="0.25"/>
    <row r="110888" customFormat="1" x14ac:dyDescent="0.25"/>
    <row r="110889" customFormat="1" x14ac:dyDescent="0.25"/>
    <row r="110890" customFormat="1" x14ac:dyDescent="0.25"/>
    <row r="110891" customFormat="1" x14ac:dyDescent="0.25"/>
    <row r="110892" customFormat="1" x14ac:dyDescent="0.25"/>
    <row r="110893" customFormat="1" x14ac:dyDescent="0.25"/>
    <row r="110894" customFormat="1" x14ac:dyDescent="0.25"/>
    <row r="110895" customFormat="1" x14ac:dyDescent="0.25"/>
    <row r="110896" customFormat="1" x14ac:dyDescent="0.25"/>
    <row r="110897" customFormat="1" x14ac:dyDescent="0.25"/>
    <row r="110898" customFormat="1" x14ac:dyDescent="0.25"/>
    <row r="110899" customFormat="1" x14ac:dyDescent="0.25"/>
    <row r="110900" customFormat="1" x14ac:dyDescent="0.25"/>
    <row r="110901" customFormat="1" x14ac:dyDescent="0.25"/>
    <row r="110902" customFormat="1" x14ac:dyDescent="0.25"/>
    <row r="110903" customFormat="1" x14ac:dyDescent="0.25"/>
    <row r="110904" customFormat="1" x14ac:dyDescent="0.25"/>
    <row r="110905" customFormat="1" x14ac:dyDescent="0.25"/>
    <row r="110906" customFormat="1" x14ac:dyDescent="0.25"/>
    <row r="110907" customFormat="1" x14ac:dyDescent="0.25"/>
    <row r="110908" customFormat="1" x14ac:dyDescent="0.25"/>
    <row r="110909" customFormat="1" x14ac:dyDescent="0.25"/>
    <row r="110910" customFormat="1" x14ac:dyDescent="0.25"/>
    <row r="110911" customFormat="1" x14ac:dyDescent="0.25"/>
    <row r="110912" customFormat="1" x14ac:dyDescent="0.25"/>
    <row r="110913" customFormat="1" x14ac:dyDescent="0.25"/>
    <row r="110914" customFormat="1" x14ac:dyDescent="0.25"/>
    <row r="110915" customFormat="1" x14ac:dyDescent="0.25"/>
    <row r="110916" customFormat="1" x14ac:dyDescent="0.25"/>
    <row r="110917" customFormat="1" x14ac:dyDescent="0.25"/>
    <row r="110918" customFormat="1" x14ac:dyDescent="0.25"/>
    <row r="110919" customFormat="1" x14ac:dyDescent="0.25"/>
    <row r="110920" customFormat="1" x14ac:dyDescent="0.25"/>
    <row r="110921" customFormat="1" x14ac:dyDescent="0.25"/>
    <row r="110922" customFormat="1" x14ac:dyDescent="0.25"/>
    <row r="110923" customFormat="1" x14ac:dyDescent="0.25"/>
    <row r="110924" customFormat="1" x14ac:dyDescent="0.25"/>
    <row r="110925" customFormat="1" x14ac:dyDescent="0.25"/>
    <row r="110926" customFormat="1" x14ac:dyDescent="0.25"/>
    <row r="110927" customFormat="1" x14ac:dyDescent="0.25"/>
    <row r="110928" customFormat="1" x14ac:dyDescent="0.25"/>
    <row r="110929" customFormat="1" x14ac:dyDescent="0.25"/>
    <row r="110930" customFormat="1" x14ac:dyDescent="0.25"/>
    <row r="110931" customFormat="1" x14ac:dyDescent="0.25"/>
    <row r="110932" customFormat="1" x14ac:dyDescent="0.25"/>
    <row r="110933" customFormat="1" x14ac:dyDescent="0.25"/>
    <row r="110934" customFormat="1" x14ac:dyDescent="0.25"/>
    <row r="110935" customFormat="1" x14ac:dyDescent="0.25"/>
    <row r="110936" customFormat="1" x14ac:dyDescent="0.25"/>
    <row r="110937" customFormat="1" x14ac:dyDescent="0.25"/>
    <row r="110938" customFormat="1" x14ac:dyDescent="0.25"/>
    <row r="110939" customFormat="1" x14ac:dyDescent="0.25"/>
    <row r="110940" customFormat="1" x14ac:dyDescent="0.25"/>
    <row r="110941" customFormat="1" x14ac:dyDescent="0.25"/>
    <row r="110942" customFormat="1" x14ac:dyDescent="0.25"/>
    <row r="110943" customFormat="1" x14ac:dyDescent="0.25"/>
    <row r="110944" customFormat="1" x14ac:dyDescent="0.25"/>
    <row r="110945" customFormat="1" x14ac:dyDescent="0.25"/>
    <row r="110946" customFormat="1" x14ac:dyDescent="0.25"/>
    <row r="110947" customFormat="1" x14ac:dyDescent="0.25"/>
    <row r="110948" customFormat="1" x14ac:dyDescent="0.25"/>
    <row r="110949" customFormat="1" x14ac:dyDescent="0.25"/>
    <row r="110950" customFormat="1" x14ac:dyDescent="0.25"/>
    <row r="110951" customFormat="1" x14ac:dyDescent="0.25"/>
    <row r="110952" customFormat="1" x14ac:dyDescent="0.25"/>
    <row r="110953" customFormat="1" x14ac:dyDescent="0.25"/>
    <row r="110954" customFormat="1" x14ac:dyDescent="0.25"/>
    <row r="110955" customFormat="1" x14ac:dyDescent="0.25"/>
    <row r="110956" customFormat="1" x14ac:dyDescent="0.25"/>
    <row r="110957" customFormat="1" x14ac:dyDescent="0.25"/>
    <row r="110958" customFormat="1" x14ac:dyDescent="0.25"/>
    <row r="110959" customFormat="1" x14ac:dyDescent="0.25"/>
    <row r="110960" customFormat="1" x14ac:dyDescent="0.25"/>
    <row r="110961" customFormat="1" x14ac:dyDescent="0.25"/>
    <row r="110962" customFormat="1" x14ac:dyDescent="0.25"/>
    <row r="110963" customFormat="1" x14ac:dyDescent="0.25"/>
    <row r="110964" customFormat="1" x14ac:dyDescent="0.25"/>
    <row r="110965" customFormat="1" x14ac:dyDescent="0.25"/>
    <row r="110966" customFormat="1" x14ac:dyDescent="0.25"/>
    <row r="110967" customFormat="1" x14ac:dyDescent="0.25"/>
    <row r="110968" customFormat="1" x14ac:dyDescent="0.25"/>
    <row r="110969" customFormat="1" x14ac:dyDescent="0.25"/>
    <row r="110970" customFormat="1" x14ac:dyDescent="0.25"/>
    <row r="110971" customFormat="1" x14ac:dyDescent="0.25"/>
    <row r="110972" customFormat="1" x14ac:dyDescent="0.25"/>
    <row r="110973" customFormat="1" x14ac:dyDescent="0.25"/>
    <row r="110974" customFormat="1" x14ac:dyDescent="0.25"/>
    <row r="110975" customFormat="1" x14ac:dyDescent="0.25"/>
    <row r="110976" customFormat="1" x14ac:dyDescent="0.25"/>
    <row r="110977" customFormat="1" x14ac:dyDescent="0.25"/>
    <row r="110978" customFormat="1" x14ac:dyDescent="0.25"/>
    <row r="110979" customFormat="1" x14ac:dyDescent="0.25"/>
    <row r="110980" customFormat="1" x14ac:dyDescent="0.25"/>
    <row r="110981" customFormat="1" x14ac:dyDescent="0.25"/>
    <row r="110982" customFormat="1" x14ac:dyDescent="0.25"/>
    <row r="110983" customFormat="1" x14ac:dyDescent="0.25"/>
    <row r="110984" customFormat="1" x14ac:dyDescent="0.25"/>
    <row r="110985" customFormat="1" x14ac:dyDescent="0.25"/>
    <row r="110986" customFormat="1" x14ac:dyDescent="0.25"/>
    <row r="110987" customFormat="1" x14ac:dyDescent="0.25"/>
    <row r="110988" customFormat="1" x14ac:dyDescent="0.25"/>
    <row r="110989" customFormat="1" x14ac:dyDescent="0.25"/>
    <row r="110990" customFormat="1" x14ac:dyDescent="0.25"/>
    <row r="110991" customFormat="1" x14ac:dyDescent="0.25"/>
    <row r="110992" customFormat="1" x14ac:dyDescent="0.25"/>
    <row r="110993" customFormat="1" x14ac:dyDescent="0.25"/>
    <row r="110994" customFormat="1" x14ac:dyDescent="0.25"/>
    <row r="110995" customFormat="1" x14ac:dyDescent="0.25"/>
    <row r="110996" customFormat="1" x14ac:dyDescent="0.25"/>
    <row r="110997" customFormat="1" x14ac:dyDescent="0.25"/>
    <row r="110998" customFormat="1" x14ac:dyDescent="0.25"/>
    <row r="110999" customFormat="1" x14ac:dyDescent="0.25"/>
    <row r="111000" customFormat="1" x14ac:dyDescent="0.25"/>
    <row r="111001" customFormat="1" x14ac:dyDescent="0.25"/>
    <row r="111002" customFormat="1" x14ac:dyDescent="0.25"/>
    <row r="111003" customFormat="1" x14ac:dyDescent="0.25"/>
    <row r="111004" customFormat="1" x14ac:dyDescent="0.25"/>
    <row r="111005" customFormat="1" x14ac:dyDescent="0.25"/>
    <row r="111006" customFormat="1" x14ac:dyDescent="0.25"/>
    <row r="111007" customFormat="1" x14ac:dyDescent="0.25"/>
    <row r="111008" customFormat="1" x14ac:dyDescent="0.25"/>
    <row r="111009" customFormat="1" x14ac:dyDescent="0.25"/>
    <row r="111010" customFormat="1" x14ac:dyDescent="0.25"/>
    <row r="111011" customFormat="1" x14ac:dyDescent="0.25"/>
    <row r="111012" customFormat="1" x14ac:dyDescent="0.25"/>
    <row r="111013" customFormat="1" x14ac:dyDescent="0.25"/>
    <row r="111014" customFormat="1" x14ac:dyDescent="0.25"/>
    <row r="111015" customFormat="1" x14ac:dyDescent="0.25"/>
    <row r="111016" customFormat="1" x14ac:dyDescent="0.25"/>
    <row r="111017" customFormat="1" x14ac:dyDescent="0.25"/>
    <row r="111018" customFormat="1" x14ac:dyDescent="0.25"/>
    <row r="111019" customFormat="1" x14ac:dyDescent="0.25"/>
    <row r="111020" customFormat="1" x14ac:dyDescent="0.25"/>
    <row r="111021" customFormat="1" x14ac:dyDescent="0.25"/>
    <row r="111022" customFormat="1" x14ac:dyDescent="0.25"/>
    <row r="111023" customFormat="1" x14ac:dyDescent="0.25"/>
    <row r="111024" customFormat="1" x14ac:dyDescent="0.25"/>
    <row r="111025" customFormat="1" x14ac:dyDescent="0.25"/>
    <row r="111026" customFormat="1" x14ac:dyDescent="0.25"/>
    <row r="111027" customFormat="1" x14ac:dyDescent="0.25"/>
    <row r="111028" customFormat="1" x14ac:dyDescent="0.25"/>
    <row r="111029" customFormat="1" x14ac:dyDescent="0.25"/>
    <row r="111030" customFormat="1" x14ac:dyDescent="0.25"/>
    <row r="111031" customFormat="1" x14ac:dyDescent="0.25"/>
    <row r="111032" customFormat="1" x14ac:dyDescent="0.25"/>
    <row r="111033" customFormat="1" x14ac:dyDescent="0.25"/>
    <row r="111034" customFormat="1" x14ac:dyDescent="0.25"/>
    <row r="111035" customFormat="1" x14ac:dyDescent="0.25"/>
    <row r="111036" customFormat="1" x14ac:dyDescent="0.25"/>
    <row r="111037" customFormat="1" x14ac:dyDescent="0.25"/>
    <row r="111038" customFormat="1" x14ac:dyDescent="0.25"/>
    <row r="111039" customFormat="1" x14ac:dyDescent="0.25"/>
    <row r="111040" customFormat="1" x14ac:dyDescent="0.25"/>
    <row r="111041" customFormat="1" x14ac:dyDescent="0.25"/>
    <row r="111042" customFormat="1" x14ac:dyDescent="0.25"/>
    <row r="111043" customFormat="1" x14ac:dyDescent="0.25"/>
    <row r="111044" customFormat="1" x14ac:dyDescent="0.25"/>
    <row r="111045" customFormat="1" x14ac:dyDescent="0.25"/>
    <row r="111046" customFormat="1" x14ac:dyDescent="0.25"/>
    <row r="111047" customFormat="1" x14ac:dyDescent="0.25"/>
    <row r="111048" customFormat="1" x14ac:dyDescent="0.25"/>
    <row r="111049" customFormat="1" x14ac:dyDescent="0.25"/>
    <row r="111050" customFormat="1" x14ac:dyDescent="0.25"/>
    <row r="111051" customFormat="1" x14ac:dyDescent="0.25"/>
    <row r="111052" customFormat="1" x14ac:dyDescent="0.25"/>
    <row r="111053" customFormat="1" x14ac:dyDescent="0.25"/>
    <row r="111054" customFormat="1" x14ac:dyDescent="0.25"/>
    <row r="111055" customFormat="1" x14ac:dyDescent="0.25"/>
    <row r="111056" customFormat="1" x14ac:dyDescent="0.25"/>
    <row r="111057" customFormat="1" x14ac:dyDescent="0.25"/>
    <row r="111058" customFormat="1" x14ac:dyDescent="0.25"/>
    <row r="111059" customFormat="1" x14ac:dyDescent="0.25"/>
    <row r="111060" customFormat="1" x14ac:dyDescent="0.25"/>
    <row r="111061" customFormat="1" x14ac:dyDescent="0.25"/>
    <row r="111062" customFormat="1" x14ac:dyDescent="0.25"/>
    <row r="111063" customFormat="1" x14ac:dyDescent="0.25"/>
    <row r="111064" customFormat="1" x14ac:dyDescent="0.25"/>
    <row r="111065" customFormat="1" x14ac:dyDescent="0.25"/>
    <row r="111066" customFormat="1" x14ac:dyDescent="0.25"/>
    <row r="111067" customFormat="1" x14ac:dyDescent="0.25"/>
    <row r="111068" customFormat="1" x14ac:dyDescent="0.25"/>
    <row r="111069" customFormat="1" x14ac:dyDescent="0.25"/>
    <row r="111070" customFormat="1" x14ac:dyDescent="0.25"/>
    <row r="111071" customFormat="1" x14ac:dyDescent="0.25"/>
    <row r="111072" customFormat="1" x14ac:dyDescent="0.25"/>
    <row r="111073" customFormat="1" x14ac:dyDescent="0.25"/>
    <row r="111074" customFormat="1" x14ac:dyDescent="0.25"/>
    <row r="111075" customFormat="1" x14ac:dyDescent="0.25"/>
    <row r="111076" customFormat="1" x14ac:dyDescent="0.25"/>
    <row r="111077" customFormat="1" x14ac:dyDescent="0.25"/>
    <row r="111078" customFormat="1" x14ac:dyDescent="0.25"/>
    <row r="111079" customFormat="1" x14ac:dyDescent="0.25"/>
    <row r="111080" customFormat="1" x14ac:dyDescent="0.25"/>
    <row r="111081" customFormat="1" x14ac:dyDescent="0.25"/>
    <row r="111082" customFormat="1" x14ac:dyDescent="0.25"/>
    <row r="111083" customFormat="1" x14ac:dyDescent="0.25"/>
    <row r="111084" customFormat="1" x14ac:dyDescent="0.25"/>
    <row r="111085" customFormat="1" x14ac:dyDescent="0.25"/>
    <row r="111086" customFormat="1" x14ac:dyDescent="0.25"/>
    <row r="111087" customFormat="1" x14ac:dyDescent="0.25"/>
    <row r="111088" customFormat="1" x14ac:dyDescent="0.25"/>
    <row r="111089" customFormat="1" x14ac:dyDescent="0.25"/>
    <row r="111090" customFormat="1" x14ac:dyDescent="0.25"/>
    <row r="111091" customFormat="1" x14ac:dyDescent="0.25"/>
    <row r="111092" customFormat="1" x14ac:dyDescent="0.25"/>
    <row r="111093" customFormat="1" x14ac:dyDescent="0.25"/>
    <row r="111094" customFormat="1" x14ac:dyDescent="0.25"/>
    <row r="111095" customFormat="1" x14ac:dyDescent="0.25"/>
    <row r="111096" customFormat="1" x14ac:dyDescent="0.25"/>
    <row r="111097" customFormat="1" x14ac:dyDescent="0.25"/>
    <row r="111098" customFormat="1" x14ac:dyDescent="0.25"/>
    <row r="111099" customFormat="1" x14ac:dyDescent="0.25"/>
    <row r="111100" customFormat="1" x14ac:dyDescent="0.25"/>
    <row r="111101" customFormat="1" x14ac:dyDescent="0.25"/>
    <row r="111102" customFormat="1" x14ac:dyDescent="0.25"/>
    <row r="111103" customFormat="1" x14ac:dyDescent="0.25"/>
    <row r="111104" customFormat="1" x14ac:dyDescent="0.25"/>
    <row r="111105" customFormat="1" x14ac:dyDescent="0.25"/>
    <row r="111106" customFormat="1" x14ac:dyDescent="0.25"/>
    <row r="111107" customFormat="1" x14ac:dyDescent="0.25"/>
    <row r="111108" customFormat="1" x14ac:dyDescent="0.25"/>
    <row r="111109" customFormat="1" x14ac:dyDescent="0.25"/>
    <row r="111110" customFormat="1" x14ac:dyDescent="0.25"/>
    <row r="111111" customFormat="1" x14ac:dyDescent="0.25"/>
    <row r="111112" customFormat="1" x14ac:dyDescent="0.25"/>
    <row r="111113" customFormat="1" x14ac:dyDescent="0.25"/>
    <row r="111114" customFormat="1" x14ac:dyDescent="0.25"/>
    <row r="111115" customFormat="1" x14ac:dyDescent="0.25"/>
    <row r="111116" customFormat="1" x14ac:dyDescent="0.25"/>
    <row r="111117" customFormat="1" x14ac:dyDescent="0.25"/>
    <row r="111118" customFormat="1" x14ac:dyDescent="0.25"/>
    <row r="111119" customFormat="1" x14ac:dyDescent="0.25"/>
    <row r="111120" customFormat="1" x14ac:dyDescent="0.25"/>
    <row r="111121" customFormat="1" x14ac:dyDescent="0.25"/>
    <row r="111122" customFormat="1" x14ac:dyDescent="0.25"/>
    <row r="111123" customFormat="1" x14ac:dyDescent="0.25"/>
    <row r="111124" customFormat="1" x14ac:dyDescent="0.25"/>
    <row r="111125" customFormat="1" x14ac:dyDescent="0.25"/>
    <row r="111126" customFormat="1" x14ac:dyDescent="0.25"/>
    <row r="111127" customFormat="1" x14ac:dyDescent="0.25"/>
    <row r="111128" customFormat="1" x14ac:dyDescent="0.25"/>
    <row r="111129" customFormat="1" x14ac:dyDescent="0.25"/>
    <row r="111130" customFormat="1" x14ac:dyDescent="0.25"/>
    <row r="111131" customFormat="1" x14ac:dyDescent="0.25"/>
    <row r="111132" customFormat="1" x14ac:dyDescent="0.25"/>
    <row r="111133" customFormat="1" x14ac:dyDescent="0.25"/>
    <row r="111134" customFormat="1" x14ac:dyDescent="0.25"/>
    <row r="111135" customFormat="1" x14ac:dyDescent="0.25"/>
    <row r="111136" customFormat="1" x14ac:dyDescent="0.25"/>
    <row r="111137" customFormat="1" x14ac:dyDescent="0.25"/>
    <row r="111138" customFormat="1" x14ac:dyDescent="0.25"/>
    <row r="111139" customFormat="1" x14ac:dyDescent="0.25"/>
    <row r="111140" customFormat="1" x14ac:dyDescent="0.25"/>
    <row r="111141" customFormat="1" x14ac:dyDescent="0.25"/>
    <row r="111142" customFormat="1" x14ac:dyDescent="0.25"/>
    <row r="111143" customFormat="1" x14ac:dyDescent="0.25"/>
    <row r="111144" customFormat="1" x14ac:dyDescent="0.25"/>
    <row r="111145" customFormat="1" x14ac:dyDescent="0.25"/>
    <row r="111146" customFormat="1" x14ac:dyDescent="0.25"/>
    <row r="111147" customFormat="1" x14ac:dyDescent="0.25"/>
    <row r="111148" customFormat="1" x14ac:dyDescent="0.25"/>
    <row r="111149" customFormat="1" x14ac:dyDescent="0.25"/>
    <row r="111150" customFormat="1" x14ac:dyDescent="0.25"/>
    <row r="111151" customFormat="1" x14ac:dyDescent="0.25"/>
    <row r="111152" customFormat="1" x14ac:dyDescent="0.25"/>
    <row r="111153" customFormat="1" x14ac:dyDescent="0.25"/>
    <row r="111154" customFormat="1" x14ac:dyDescent="0.25"/>
    <row r="111155" customFormat="1" x14ac:dyDescent="0.25"/>
    <row r="111156" customFormat="1" x14ac:dyDescent="0.25"/>
    <row r="111157" customFormat="1" x14ac:dyDescent="0.25"/>
    <row r="111158" customFormat="1" x14ac:dyDescent="0.25"/>
    <row r="111159" customFormat="1" x14ac:dyDescent="0.25"/>
    <row r="111160" customFormat="1" x14ac:dyDescent="0.25"/>
    <row r="111161" customFormat="1" x14ac:dyDescent="0.25"/>
    <row r="111162" customFormat="1" x14ac:dyDescent="0.25"/>
    <row r="111163" customFormat="1" x14ac:dyDescent="0.25"/>
    <row r="111164" customFormat="1" x14ac:dyDescent="0.25"/>
    <row r="111165" customFormat="1" x14ac:dyDescent="0.25"/>
    <row r="111166" customFormat="1" x14ac:dyDescent="0.25"/>
    <row r="111167" customFormat="1" x14ac:dyDescent="0.25"/>
    <row r="111168" customFormat="1" x14ac:dyDescent="0.25"/>
    <row r="111169" customFormat="1" x14ac:dyDescent="0.25"/>
    <row r="111170" customFormat="1" x14ac:dyDescent="0.25"/>
    <row r="111171" customFormat="1" x14ac:dyDescent="0.25"/>
    <row r="111172" customFormat="1" x14ac:dyDescent="0.25"/>
    <row r="111173" customFormat="1" x14ac:dyDescent="0.25"/>
    <row r="111174" customFormat="1" x14ac:dyDescent="0.25"/>
    <row r="111175" customFormat="1" x14ac:dyDescent="0.25"/>
    <row r="111176" customFormat="1" x14ac:dyDescent="0.25"/>
    <row r="111177" customFormat="1" x14ac:dyDescent="0.25"/>
    <row r="111178" customFormat="1" x14ac:dyDescent="0.25"/>
    <row r="111179" customFormat="1" x14ac:dyDescent="0.25"/>
    <row r="111180" customFormat="1" x14ac:dyDescent="0.25"/>
    <row r="111181" customFormat="1" x14ac:dyDescent="0.25"/>
    <row r="111182" customFormat="1" x14ac:dyDescent="0.25"/>
    <row r="111183" customFormat="1" x14ac:dyDescent="0.25"/>
    <row r="111184" customFormat="1" x14ac:dyDescent="0.25"/>
    <row r="111185" customFormat="1" x14ac:dyDescent="0.25"/>
    <row r="111186" customFormat="1" x14ac:dyDescent="0.25"/>
    <row r="111187" customFormat="1" x14ac:dyDescent="0.25"/>
    <row r="111188" customFormat="1" x14ac:dyDescent="0.25"/>
    <row r="111189" customFormat="1" x14ac:dyDescent="0.25"/>
    <row r="111190" customFormat="1" x14ac:dyDescent="0.25"/>
    <row r="111191" customFormat="1" x14ac:dyDescent="0.25"/>
    <row r="111192" customFormat="1" x14ac:dyDescent="0.25"/>
    <row r="111193" customFormat="1" x14ac:dyDescent="0.25"/>
    <row r="111194" customFormat="1" x14ac:dyDescent="0.25"/>
    <row r="111195" customFormat="1" x14ac:dyDescent="0.25"/>
    <row r="111196" customFormat="1" x14ac:dyDescent="0.25"/>
    <row r="111197" customFormat="1" x14ac:dyDescent="0.25"/>
    <row r="111198" customFormat="1" x14ac:dyDescent="0.25"/>
    <row r="111199" customFormat="1" x14ac:dyDescent="0.25"/>
    <row r="111200" customFormat="1" x14ac:dyDescent="0.25"/>
    <row r="111201" customFormat="1" x14ac:dyDescent="0.25"/>
    <row r="111202" customFormat="1" x14ac:dyDescent="0.25"/>
    <row r="111203" customFormat="1" x14ac:dyDescent="0.25"/>
    <row r="111204" customFormat="1" x14ac:dyDescent="0.25"/>
    <row r="111205" customFormat="1" x14ac:dyDescent="0.25"/>
    <row r="111206" customFormat="1" x14ac:dyDescent="0.25"/>
    <row r="111207" customFormat="1" x14ac:dyDescent="0.25"/>
    <row r="111208" customFormat="1" x14ac:dyDescent="0.25"/>
    <row r="111209" customFormat="1" x14ac:dyDescent="0.25"/>
    <row r="111210" customFormat="1" x14ac:dyDescent="0.25"/>
    <row r="111211" customFormat="1" x14ac:dyDescent="0.25"/>
    <row r="111212" customFormat="1" x14ac:dyDescent="0.25"/>
    <row r="111213" customFormat="1" x14ac:dyDescent="0.25"/>
    <row r="111214" customFormat="1" x14ac:dyDescent="0.25"/>
    <row r="111215" customFormat="1" x14ac:dyDescent="0.25"/>
    <row r="111216" customFormat="1" x14ac:dyDescent="0.25"/>
    <row r="111217" customFormat="1" x14ac:dyDescent="0.25"/>
    <row r="111218" customFormat="1" x14ac:dyDescent="0.25"/>
    <row r="111219" customFormat="1" x14ac:dyDescent="0.25"/>
    <row r="111220" customFormat="1" x14ac:dyDescent="0.25"/>
    <row r="111221" customFormat="1" x14ac:dyDescent="0.25"/>
    <row r="111222" customFormat="1" x14ac:dyDescent="0.25"/>
    <row r="111223" customFormat="1" x14ac:dyDescent="0.25"/>
    <row r="111224" customFormat="1" x14ac:dyDescent="0.25"/>
    <row r="111225" customFormat="1" x14ac:dyDescent="0.25"/>
    <row r="111226" customFormat="1" x14ac:dyDescent="0.25"/>
    <row r="111227" customFormat="1" x14ac:dyDescent="0.25"/>
    <row r="111228" customFormat="1" x14ac:dyDescent="0.25"/>
    <row r="111229" customFormat="1" x14ac:dyDescent="0.25"/>
    <row r="111230" customFormat="1" x14ac:dyDescent="0.25"/>
    <row r="111231" customFormat="1" x14ac:dyDescent="0.25"/>
    <row r="111232" customFormat="1" x14ac:dyDescent="0.25"/>
    <row r="111233" customFormat="1" x14ac:dyDescent="0.25"/>
    <row r="111234" customFormat="1" x14ac:dyDescent="0.25"/>
    <row r="111235" customFormat="1" x14ac:dyDescent="0.25"/>
    <row r="111236" customFormat="1" x14ac:dyDescent="0.25"/>
    <row r="111237" customFormat="1" x14ac:dyDescent="0.25"/>
    <row r="111238" customFormat="1" x14ac:dyDescent="0.25"/>
    <row r="111239" customFormat="1" x14ac:dyDescent="0.25"/>
    <row r="111240" customFormat="1" x14ac:dyDescent="0.25"/>
    <row r="111241" customFormat="1" x14ac:dyDescent="0.25"/>
    <row r="111242" customFormat="1" x14ac:dyDescent="0.25"/>
    <row r="111243" customFormat="1" x14ac:dyDescent="0.25"/>
    <row r="111244" customFormat="1" x14ac:dyDescent="0.25"/>
    <row r="111245" customFormat="1" x14ac:dyDescent="0.25"/>
    <row r="111246" customFormat="1" x14ac:dyDescent="0.25"/>
    <row r="111247" customFormat="1" x14ac:dyDescent="0.25"/>
    <row r="111248" customFormat="1" x14ac:dyDescent="0.25"/>
    <row r="111249" customFormat="1" x14ac:dyDescent="0.25"/>
    <row r="111250" customFormat="1" x14ac:dyDescent="0.25"/>
    <row r="111251" customFormat="1" x14ac:dyDescent="0.25"/>
    <row r="111252" customFormat="1" x14ac:dyDescent="0.25"/>
    <row r="111253" customFormat="1" x14ac:dyDescent="0.25"/>
    <row r="111254" customFormat="1" x14ac:dyDescent="0.25"/>
    <row r="111255" customFormat="1" x14ac:dyDescent="0.25"/>
    <row r="111256" customFormat="1" x14ac:dyDescent="0.25"/>
    <row r="111257" customFormat="1" x14ac:dyDescent="0.25"/>
    <row r="111258" customFormat="1" x14ac:dyDescent="0.25"/>
    <row r="111259" customFormat="1" x14ac:dyDescent="0.25"/>
    <row r="111260" customFormat="1" x14ac:dyDescent="0.25"/>
    <row r="111261" customFormat="1" x14ac:dyDescent="0.25"/>
    <row r="111262" customFormat="1" x14ac:dyDescent="0.25"/>
    <row r="111263" customFormat="1" x14ac:dyDescent="0.25"/>
    <row r="111264" customFormat="1" x14ac:dyDescent="0.25"/>
    <row r="111265" customFormat="1" x14ac:dyDescent="0.25"/>
    <row r="111266" customFormat="1" x14ac:dyDescent="0.25"/>
    <row r="111267" customFormat="1" x14ac:dyDescent="0.25"/>
    <row r="111268" customFormat="1" x14ac:dyDescent="0.25"/>
    <row r="111269" customFormat="1" x14ac:dyDescent="0.25"/>
    <row r="111270" customFormat="1" x14ac:dyDescent="0.25"/>
    <row r="111271" customFormat="1" x14ac:dyDescent="0.25"/>
    <row r="111272" customFormat="1" x14ac:dyDescent="0.25"/>
    <row r="111273" customFormat="1" x14ac:dyDescent="0.25"/>
    <row r="111274" customFormat="1" x14ac:dyDescent="0.25"/>
    <row r="111275" customFormat="1" x14ac:dyDescent="0.25"/>
    <row r="111276" customFormat="1" x14ac:dyDescent="0.25"/>
    <row r="111277" customFormat="1" x14ac:dyDescent="0.25"/>
    <row r="111278" customFormat="1" x14ac:dyDescent="0.25"/>
    <row r="111279" customFormat="1" x14ac:dyDescent="0.25"/>
    <row r="111280" customFormat="1" x14ac:dyDescent="0.25"/>
    <row r="111281" customFormat="1" x14ac:dyDescent="0.25"/>
    <row r="111282" customFormat="1" x14ac:dyDescent="0.25"/>
    <row r="111283" customFormat="1" x14ac:dyDescent="0.25"/>
    <row r="111284" customFormat="1" x14ac:dyDescent="0.25"/>
    <row r="111285" customFormat="1" x14ac:dyDescent="0.25"/>
    <row r="111286" customFormat="1" x14ac:dyDescent="0.25"/>
    <row r="111287" customFormat="1" x14ac:dyDescent="0.25"/>
    <row r="111288" customFormat="1" x14ac:dyDescent="0.25"/>
    <row r="111289" customFormat="1" x14ac:dyDescent="0.25"/>
    <row r="111290" customFormat="1" x14ac:dyDescent="0.25"/>
    <row r="111291" customFormat="1" x14ac:dyDescent="0.25"/>
    <row r="111292" customFormat="1" x14ac:dyDescent="0.25"/>
    <row r="111293" customFormat="1" x14ac:dyDescent="0.25"/>
    <row r="111294" customFormat="1" x14ac:dyDescent="0.25"/>
    <row r="111295" customFormat="1" x14ac:dyDescent="0.25"/>
    <row r="111296" customFormat="1" x14ac:dyDescent="0.25"/>
    <row r="111297" customFormat="1" x14ac:dyDescent="0.25"/>
    <row r="111298" customFormat="1" x14ac:dyDescent="0.25"/>
    <row r="111299" customFormat="1" x14ac:dyDescent="0.25"/>
    <row r="111300" customFormat="1" x14ac:dyDescent="0.25"/>
    <row r="111301" customFormat="1" x14ac:dyDescent="0.25"/>
    <row r="111302" customFormat="1" x14ac:dyDescent="0.25"/>
    <row r="111303" customFormat="1" x14ac:dyDescent="0.25"/>
    <row r="111304" customFormat="1" x14ac:dyDescent="0.25"/>
    <row r="111305" customFormat="1" x14ac:dyDescent="0.25"/>
    <row r="111306" customFormat="1" x14ac:dyDescent="0.25"/>
    <row r="111307" customFormat="1" x14ac:dyDescent="0.25"/>
    <row r="111308" customFormat="1" x14ac:dyDescent="0.25"/>
    <row r="111309" customFormat="1" x14ac:dyDescent="0.25"/>
    <row r="111310" customFormat="1" x14ac:dyDescent="0.25"/>
    <row r="111311" customFormat="1" x14ac:dyDescent="0.25"/>
    <row r="111312" customFormat="1" x14ac:dyDescent="0.25"/>
    <row r="111313" customFormat="1" x14ac:dyDescent="0.25"/>
    <row r="111314" customFormat="1" x14ac:dyDescent="0.25"/>
    <row r="111315" customFormat="1" x14ac:dyDescent="0.25"/>
    <row r="111316" customFormat="1" x14ac:dyDescent="0.25"/>
    <row r="111317" customFormat="1" x14ac:dyDescent="0.25"/>
    <row r="111318" customFormat="1" x14ac:dyDescent="0.25"/>
    <row r="111319" customFormat="1" x14ac:dyDescent="0.25"/>
    <row r="111320" customFormat="1" x14ac:dyDescent="0.25"/>
    <row r="111321" customFormat="1" x14ac:dyDescent="0.25"/>
    <row r="111322" customFormat="1" x14ac:dyDescent="0.25"/>
    <row r="111323" customFormat="1" x14ac:dyDescent="0.25"/>
    <row r="111324" customFormat="1" x14ac:dyDescent="0.25"/>
    <row r="111325" customFormat="1" x14ac:dyDescent="0.25"/>
    <row r="111326" customFormat="1" x14ac:dyDescent="0.25"/>
    <row r="111327" customFormat="1" x14ac:dyDescent="0.25"/>
    <row r="111328" customFormat="1" x14ac:dyDescent="0.25"/>
    <row r="111329" customFormat="1" x14ac:dyDescent="0.25"/>
    <row r="111330" customFormat="1" x14ac:dyDescent="0.25"/>
    <row r="111331" customFormat="1" x14ac:dyDescent="0.25"/>
    <row r="111332" customFormat="1" x14ac:dyDescent="0.25"/>
    <row r="111333" customFormat="1" x14ac:dyDescent="0.25"/>
    <row r="111334" customFormat="1" x14ac:dyDescent="0.25"/>
    <row r="111335" customFormat="1" x14ac:dyDescent="0.25"/>
    <row r="111336" customFormat="1" x14ac:dyDescent="0.25"/>
    <row r="111337" customFormat="1" x14ac:dyDescent="0.25"/>
    <row r="111338" customFormat="1" x14ac:dyDescent="0.25"/>
    <row r="111339" customFormat="1" x14ac:dyDescent="0.25"/>
    <row r="111340" customFormat="1" x14ac:dyDescent="0.25"/>
    <row r="111341" customFormat="1" x14ac:dyDescent="0.25"/>
    <row r="111342" customFormat="1" x14ac:dyDescent="0.25"/>
    <row r="111343" customFormat="1" x14ac:dyDescent="0.25"/>
    <row r="111344" customFormat="1" x14ac:dyDescent="0.25"/>
    <row r="111345" customFormat="1" x14ac:dyDescent="0.25"/>
    <row r="111346" customFormat="1" x14ac:dyDescent="0.25"/>
    <row r="111347" customFormat="1" x14ac:dyDescent="0.25"/>
    <row r="111348" customFormat="1" x14ac:dyDescent="0.25"/>
    <row r="111349" customFormat="1" x14ac:dyDescent="0.25"/>
    <row r="111350" customFormat="1" x14ac:dyDescent="0.25"/>
    <row r="111351" customFormat="1" x14ac:dyDescent="0.25"/>
    <row r="111352" customFormat="1" x14ac:dyDescent="0.25"/>
    <row r="111353" customFormat="1" x14ac:dyDescent="0.25"/>
    <row r="111354" customFormat="1" x14ac:dyDescent="0.25"/>
    <row r="111355" customFormat="1" x14ac:dyDescent="0.25"/>
    <row r="111356" customFormat="1" x14ac:dyDescent="0.25"/>
    <row r="111357" customFormat="1" x14ac:dyDescent="0.25"/>
    <row r="111358" customFormat="1" x14ac:dyDescent="0.25"/>
    <row r="111359" customFormat="1" x14ac:dyDescent="0.25"/>
    <row r="111360" customFormat="1" x14ac:dyDescent="0.25"/>
    <row r="111361" customFormat="1" x14ac:dyDescent="0.25"/>
    <row r="111362" customFormat="1" x14ac:dyDescent="0.25"/>
    <row r="111363" customFormat="1" x14ac:dyDescent="0.25"/>
    <row r="111364" customFormat="1" x14ac:dyDescent="0.25"/>
    <row r="111365" customFormat="1" x14ac:dyDescent="0.25"/>
    <row r="111366" customFormat="1" x14ac:dyDescent="0.25"/>
    <row r="111367" customFormat="1" x14ac:dyDescent="0.25"/>
    <row r="111368" customFormat="1" x14ac:dyDescent="0.25"/>
    <row r="111369" customFormat="1" x14ac:dyDescent="0.25"/>
    <row r="111370" customFormat="1" x14ac:dyDescent="0.25"/>
    <row r="111371" customFormat="1" x14ac:dyDescent="0.25"/>
    <row r="111372" customFormat="1" x14ac:dyDescent="0.25"/>
    <row r="111373" customFormat="1" x14ac:dyDescent="0.25"/>
    <row r="111374" customFormat="1" x14ac:dyDescent="0.25"/>
    <row r="111375" customFormat="1" x14ac:dyDescent="0.25"/>
    <row r="111376" customFormat="1" x14ac:dyDescent="0.25"/>
    <row r="111377" customFormat="1" x14ac:dyDescent="0.25"/>
    <row r="111378" customFormat="1" x14ac:dyDescent="0.25"/>
    <row r="111379" customFormat="1" x14ac:dyDescent="0.25"/>
    <row r="111380" customFormat="1" x14ac:dyDescent="0.25"/>
    <row r="111381" customFormat="1" x14ac:dyDescent="0.25"/>
    <row r="111382" customFormat="1" x14ac:dyDescent="0.25"/>
    <row r="111383" customFormat="1" x14ac:dyDescent="0.25"/>
    <row r="111384" customFormat="1" x14ac:dyDescent="0.25"/>
    <row r="111385" customFormat="1" x14ac:dyDescent="0.25"/>
    <row r="111386" customFormat="1" x14ac:dyDescent="0.25"/>
    <row r="111387" customFormat="1" x14ac:dyDescent="0.25"/>
    <row r="111388" customFormat="1" x14ac:dyDescent="0.25"/>
    <row r="111389" customFormat="1" x14ac:dyDescent="0.25"/>
    <row r="111390" customFormat="1" x14ac:dyDescent="0.25"/>
    <row r="111391" customFormat="1" x14ac:dyDescent="0.25"/>
    <row r="111392" customFormat="1" x14ac:dyDescent="0.25"/>
    <row r="111393" customFormat="1" x14ac:dyDescent="0.25"/>
    <row r="111394" customFormat="1" x14ac:dyDescent="0.25"/>
    <row r="111395" customFormat="1" x14ac:dyDescent="0.25"/>
    <row r="111396" customFormat="1" x14ac:dyDescent="0.25"/>
    <row r="111397" customFormat="1" x14ac:dyDescent="0.25"/>
    <row r="111398" customFormat="1" x14ac:dyDescent="0.25"/>
    <row r="111399" customFormat="1" x14ac:dyDescent="0.25"/>
    <row r="111400" customFormat="1" x14ac:dyDescent="0.25"/>
    <row r="111401" customFormat="1" x14ac:dyDescent="0.25"/>
    <row r="111402" customFormat="1" x14ac:dyDescent="0.25"/>
    <row r="111403" customFormat="1" x14ac:dyDescent="0.25"/>
    <row r="111404" customFormat="1" x14ac:dyDescent="0.25"/>
    <row r="111405" customFormat="1" x14ac:dyDescent="0.25"/>
    <row r="111406" customFormat="1" x14ac:dyDescent="0.25"/>
    <row r="111407" customFormat="1" x14ac:dyDescent="0.25"/>
    <row r="111408" customFormat="1" x14ac:dyDescent="0.25"/>
    <row r="111409" customFormat="1" x14ac:dyDescent="0.25"/>
    <row r="111410" customFormat="1" x14ac:dyDescent="0.25"/>
    <row r="111411" customFormat="1" x14ac:dyDescent="0.25"/>
    <row r="111412" customFormat="1" x14ac:dyDescent="0.25"/>
    <row r="111413" customFormat="1" x14ac:dyDescent="0.25"/>
    <row r="111414" customFormat="1" x14ac:dyDescent="0.25"/>
    <row r="111415" customFormat="1" x14ac:dyDescent="0.25"/>
    <row r="111416" customFormat="1" x14ac:dyDescent="0.25"/>
    <row r="111417" customFormat="1" x14ac:dyDescent="0.25"/>
    <row r="111418" customFormat="1" x14ac:dyDescent="0.25"/>
    <row r="111419" customFormat="1" x14ac:dyDescent="0.25"/>
    <row r="111420" customFormat="1" x14ac:dyDescent="0.25"/>
    <row r="111421" customFormat="1" x14ac:dyDescent="0.25"/>
    <row r="111422" customFormat="1" x14ac:dyDescent="0.25"/>
    <row r="111423" customFormat="1" x14ac:dyDescent="0.25"/>
    <row r="111424" customFormat="1" x14ac:dyDescent="0.25"/>
    <row r="111425" customFormat="1" x14ac:dyDescent="0.25"/>
    <row r="111426" customFormat="1" x14ac:dyDescent="0.25"/>
    <row r="111427" customFormat="1" x14ac:dyDescent="0.25"/>
    <row r="111428" customFormat="1" x14ac:dyDescent="0.25"/>
    <row r="111429" customFormat="1" x14ac:dyDescent="0.25"/>
    <row r="111430" customFormat="1" x14ac:dyDescent="0.25"/>
    <row r="111431" customFormat="1" x14ac:dyDescent="0.25"/>
    <row r="111432" customFormat="1" x14ac:dyDescent="0.25"/>
    <row r="111433" customFormat="1" x14ac:dyDescent="0.25"/>
    <row r="111434" customFormat="1" x14ac:dyDescent="0.25"/>
    <row r="111435" customFormat="1" x14ac:dyDescent="0.25"/>
    <row r="111436" customFormat="1" x14ac:dyDescent="0.25"/>
    <row r="111437" customFormat="1" x14ac:dyDescent="0.25"/>
    <row r="111438" customFormat="1" x14ac:dyDescent="0.25"/>
    <row r="111439" customFormat="1" x14ac:dyDescent="0.25"/>
    <row r="111440" customFormat="1" x14ac:dyDescent="0.25"/>
    <row r="111441" customFormat="1" x14ac:dyDescent="0.25"/>
    <row r="111442" customFormat="1" x14ac:dyDescent="0.25"/>
    <row r="111443" customFormat="1" x14ac:dyDescent="0.25"/>
    <row r="111444" customFormat="1" x14ac:dyDescent="0.25"/>
    <row r="111445" customFormat="1" x14ac:dyDescent="0.25"/>
    <row r="111446" customFormat="1" x14ac:dyDescent="0.25"/>
    <row r="111447" customFormat="1" x14ac:dyDescent="0.25"/>
    <row r="111448" customFormat="1" x14ac:dyDescent="0.25"/>
    <row r="111449" customFormat="1" x14ac:dyDescent="0.25"/>
    <row r="111450" customFormat="1" x14ac:dyDescent="0.25"/>
    <row r="111451" customFormat="1" x14ac:dyDescent="0.25"/>
    <row r="111452" customFormat="1" x14ac:dyDescent="0.25"/>
    <row r="111453" customFormat="1" x14ac:dyDescent="0.25"/>
    <row r="111454" customFormat="1" x14ac:dyDescent="0.25"/>
    <row r="111455" customFormat="1" x14ac:dyDescent="0.25"/>
    <row r="111456" customFormat="1" x14ac:dyDescent="0.25"/>
    <row r="111457" customFormat="1" x14ac:dyDescent="0.25"/>
    <row r="111458" customFormat="1" x14ac:dyDescent="0.25"/>
    <row r="111459" customFormat="1" x14ac:dyDescent="0.25"/>
    <row r="111460" customFormat="1" x14ac:dyDescent="0.25"/>
    <row r="111461" customFormat="1" x14ac:dyDescent="0.25"/>
    <row r="111462" customFormat="1" x14ac:dyDescent="0.25"/>
    <row r="111463" customFormat="1" x14ac:dyDescent="0.25"/>
    <row r="111464" customFormat="1" x14ac:dyDescent="0.25"/>
    <row r="111465" customFormat="1" x14ac:dyDescent="0.25"/>
    <row r="111466" customFormat="1" x14ac:dyDescent="0.25"/>
    <row r="111467" customFormat="1" x14ac:dyDescent="0.25"/>
    <row r="111468" customFormat="1" x14ac:dyDescent="0.25"/>
    <row r="111469" customFormat="1" x14ac:dyDescent="0.25"/>
    <row r="111470" customFormat="1" x14ac:dyDescent="0.25"/>
    <row r="111471" customFormat="1" x14ac:dyDescent="0.25"/>
    <row r="111472" customFormat="1" x14ac:dyDescent="0.25"/>
    <row r="111473" customFormat="1" x14ac:dyDescent="0.25"/>
    <row r="111474" customFormat="1" x14ac:dyDescent="0.25"/>
    <row r="111475" customFormat="1" x14ac:dyDescent="0.25"/>
    <row r="111476" customFormat="1" x14ac:dyDescent="0.25"/>
    <row r="111477" customFormat="1" x14ac:dyDescent="0.25"/>
    <row r="111478" customFormat="1" x14ac:dyDescent="0.25"/>
    <row r="111479" customFormat="1" x14ac:dyDescent="0.25"/>
    <row r="111480" customFormat="1" x14ac:dyDescent="0.25"/>
    <row r="111481" customFormat="1" x14ac:dyDescent="0.25"/>
    <row r="111482" customFormat="1" x14ac:dyDescent="0.25"/>
    <row r="111483" customFormat="1" x14ac:dyDescent="0.25"/>
    <row r="111484" customFormat="1" x14ac:dyDescent="0.25"/>
    <row r="111485" customFormat="1" x14ac:dyDescent="0.25"/>
    <row r="111486" customFormat="1" x14ac:dyDescent="0.25"/>
    <row r="111487" customFormat="1" x14ac:dyDescent="0.25"/>
    <row r="111488" customFormat="1" x14ac:dyDescent="0.25"/>
    <row r="111489" customFormat="1" x14ac:dyDescent="0.25"/>
    <row r="111490" customFormat="1" x14ac:dyDescent="0.25"/>
    <row r="111491" customFormat="1" x14ac:dyDescent="0.25"/>
    <row r="111492" customFormat="1" x14ac:dyDescent="0.25"/>
    <row r="111493" customFormat="1" x14ac:dyDescent="0.25"/>
    <row r="111494" customFormat="1" x14ac:dyDescent="0.25"/>
    <row r="111495" customFormat="1" x14ac:dyDescent="0.25"/>
    <row r="111496" customFormat="1" x14ac:dyDescent="0.25"/>
    <row r="111497" customFormat="1" x14ac:dyDescent="0.25"/>
    <row r="111498" customFormat="1" x14ac:dyDescent="0.25"/>
    <row r="111499" customFormat="1" x14ac:dyDescent="0.25"/>
    <row r="111500" customFormat="1" x14ac:dyDescent="0.25"/>
    <row r="111501" customFormat="1" x14ac:dyDescent="0.25"/>
    <row r="111502" customFormat="1" x14ac:dyDescent="0.25"/>
    <row r="111503" customFormat="1" x14ac:dyDescent="0.25"/>
    <row r="111504" customFormat="1" x14ac:dyDescent="0.25"/>
    <row r="111505" customFormat="1" x14ac:dyDescent="0.25"/>
    <row r="111506" customFormat="1" x14ac:dyDescent="0.25"/>
    <row r="111507" customFormat="1" x14ac:dyDescent="0.25"/>
    <row r="111508" customFormat="1" x14ac:dyDescent="0.25"/>
    <row r="111509" customFormat="1" x14ac:dyDescent="0.25"/>
    <row r="111510" customFormat="1" x14ac:dyDescent="0.25"/>
    <row r="111511" customFormat="1" x14ac:dyDescent="0.25"/>
    <row r="111512" customFormat="1" x14ac:dyDescent="0.25"/>
    <row r="111513" customFormat="1" x14ac:dyDescent="0.25"/>
    <row r="111514" customFormat="1" x14ac:dyDescent="0.25"/>
    <row r="111515" customFormat="1" x14ac:dyDescent="0.25"/>
    <row r="111516" customFormat="1" x14ac:dyDescent="0.25"/>
    <row r="111517" customFormat="1" x14ac:dyDescent="0.25"/>
    <row r="111518" customFormat="1" x14ac:dyDescent="0.25"/>
    <row r="111519" customFormat="1" x14ac:dyDescent="0.25"/>
    <row r="111520" customFormat="1" x14ac:dyDescent="0.25"/>
    <row r="111521" customFormat="1" x14ac:dyDescent="0.25"/>
    <row r="111522" customFormat="1" x14ac:dyDescent="0.25"/>
    <row r="111523" customFormat="1" x14ac:dyDescent="0.25"/>
    <row r="111524" customFormat="1" x14ac:dyDescent="0.25"/>
    <row r="111525" customFormat="1" x14ac:dyDescent="0.25"/>
    <row r="111526" customFormat="1" x14ac:dyDescent="0.25"/>
    <row r="111527" customFormat="1" x14ac:dyDescent="0.25"/>
    <row r="111528" customFormat="1" x14ac:dyDescent="0.25"/>
    <row r="111529" customFormat="1" x14ac:dyDescent="0.25"/>
    <row r="111530" customFormat="1" x14ac:dyDescent="0.25"/>
    <row r="111531" customFormat="1" x14ac:dyDescent="0.25"/>
    <row r="111532" customFormat="1" x14ac:dyDescent="0.25"/>
    <row r="111533" customFormat="1" x14ac:dyDescent="0.25"/>
    <row r="111534" customFormat="1" x14ac:dyDescent="0.25"/>
    <row r="111535" customFormat="1" x14ac:dyDescent="0.25"/>
    <row r="111536" customFormat="1" x14ac:dyDescent="0.25"/>
    <row r="111537" customFormat="1" x14ac:dyDescent="0.25"/>
    <row r="111538" customFormat="1" x14ac:dyDescent="0.25"/>
    <row r="111539" customFormat="1" x14ac:dyDescent="0.25"/>
    <row r="111540" customFormat="1" x14ac:dyDescent="0.25"/>
    <row r="111541" customFormat="1" x14ac:dyDescent="0.25"/>
    <row r="111542" customFormat="1" x14ac:dyDescent="0.25"/>
    <row r="111543" customFormat="1" x14ac:dyDescent="0.25"/>
    <row r="111544" customFormat="1" x14ac:dyDescent="0.25"/>
    <row r="111545" customFormat="1" x14ac:dyDescent="0.25"/>
    <row r="111546" customFormat="1" x14ac:dyDescent="0.25"/>
    <row r="111547" customFormat="1" x14ac:dyDescent="0.25"/>
    <row r="111548" customFormat="1" x14ac:dyDescent="0.25"/>
    <row r="111549" customFormat="1" x14ac:dyDescent="0.25"/>
    <row r="111550" customFormat="1" x14ac:dyDescent="0.25"/>
    <row r="111551" customFormat="1" x14ac:dyDescent="0.25"/>
    <row r="111552" customFormat="1" x14ac:dyDescent="0.25"/>
    <row r="111553" customFormat="1" x14ac:dyDescent="0.25"/>
    <row r="111554" customFormat="1" x14ac:dyDescent="0.25"/>
    <row r="111555" customFormat="1" x14ac:dyDescent="0.25"/>
    <row r="111556" customFormat="1" x14ac:dyDescent="0.25"/>
    <row r="111557" customFormat="1" x14ac:dyDescent="0.25"/>
    <row r="111558" customFormat="1" x14ac:dyDescent="0.25"/>
    <row r="111559" customFormat="1" x14ac:dyDescent="0.25"/>
    <row r="111560" customFormat="1" x14ac:dyDescent="0.25"/>
    <row r="111561" customFormat="1" x14ac:dyDescent="0.25"/>
    <row r="111562" customFormat="1" x14ac:dyDescent="0.25"/>
    <row r="111563" customFormat="1" x14ac:dyDescent="0.25"/>
    <row r="111564" customFormat="1" x14ac:dyDescent="0.25"/>
    <row r="111565" customFormat="1" x14ac:dyDescent="0.25"/>
    <row r="111566" customFormat="1" x14ac:dyDescent="0.25"/>
    <row r="111567" customFormat="1" x14ac:dyDescent="0.25"/>
    <row r="111568" customFormat="1" x14ac:dyDescent="0.25"/>
    <row r="111569" customFormat="1" x14ac:dyDescent="0.25"/>
    <row r="111570" customFormat="1" x14ac:dyDescent="0.25"/>
    <row r="111571" customFormat="1" x14ac:dyDescent="0.25"/>
    <row r="111572" customFormat="1" x14ac:dyDescent="0.25"/>
    <row r="111573" customFormat="1" x14ac:dyDescent="0.25"/>
    <row r="111574" customFormat="1" x14ac:dyDescent="0.25"/>
    <row r="111575" customFormat="1" x14ac:dyDescent="0.25"/>
    <row r="111576" customFormat="1" x14ac:dyDescent="0.25"/>
    <row r="111577" customFormat="1" x14ac:dyDescent="0.25"/>
    <row r="111578" customFormat="1" x14ac:dyDescent="0.25"/>
    <row r="111579" customFormat="1" x14ac:dyDescent="0.25"/>
    <row r="111580" customFormat="1" x14ac:dyDescent="0.25"/>
    <row r="111581" customFormat="1" x14ac:dyDescent="0.25"/>
    <row r="111582" customFormat="1" x14ac:dyDescent="0.25"/>
    <row r="111583" customFormat="1" x14ac:dyDescent="0.25"/>
    <row r="111584" customFormat="1" x14ac:dyDescent="0.25"/>
    <row r="111585" customFormat="1" x14ac:dyDescent="0.25"/>
    <row r="111586" customFormat="1" x14ac:dyDescent="0.25"/>
    <row r="111587" customFormat="1" x14ac:dyDescent="0.25"/>
    <row r="111588" customFormat="1" x14ac:dyDescent="0.25"/>
    <row r="111589" customFormat="1" x14ac:dyDescent="0.25"/>
    <row r="111590" customFormat="1" x14ac:dyDescent="0.25"/>
    <row r="111591" customFormat="1" x14ac:dyDescent="0.25"/>
    <row r="111592" customFormat="1" x14ac:dyDescent="0.25"/>
    <row r="111593" customFormat="1" x14ac:dyDescent="0.25"/>
    <row r="111594" customFormat="1" x14ac:dyDescent="0.25"/>
    <row r="111595" customFormat="1" x14ac:dyDescent="0.25"/>
    <row r="111596" customFormat="1" x14ac:dyDescent="0.25"/>
    <row r="111597" customFormat="1" x14ac:dyDescent="0.25"/>
    <row r="111598" customFormat="1" x14ac:dyDescent="0.25"/>
    <row r="111599" customFormat="1" x14ac:dyDescent="0.25"/>
    <row r="111600" customFormat="1" x14ac:dyDescent="0.25"/>
    <row r="111601" customFormat="1" x14ac:dyDescent="0.25"/>
    <row r="111602" customFormat="1" x14ac:dyDescent="0.25"/>
    <row r="111603" customFormat="1" x14ac:dyDescent="0.25"/>
    <row r="111604" customFormat="1" x14ac:dyDescent="0.25"/>
    <row r="111605" customFormat="1" x14ac:dyDescent="0.25"/>
    <row r="111606" customFormat="1" x14ac:dyDescent="0.25"/>
    <row r="111607" customFormat="1" x14ac:dyDescent="0.25"/>
    <row r="111608" customFormat="1" x14ac:dyDescent="0.25"/>
    <row r="111609" customFormat="1" x14ac:dyDescent="0.25"/>
    <row r="111610" customFormat="1" x14ac:dyDescent="0.25"/>
    <row r="111611" customFormat="1" x14ac:dyDescent="0.25"/>
    <row r="111612" customFormat="1" x14ac:dyDescent="0.25"/>
    <row r="111613" customFormat="1" x14ac:dyDescent="0.25"/>
    <row r="111614" customFormat="1" x14ac:dyDescent="0.25"/>
    <row r="111615" customFormat="1" x14ac:dyDescent="0.25"/>
    <row r="111616" customFormat="1" x14ac:dyDescent="0.25"/>
    <row r="111617" customFormat="1" x14ac:dyDescent="0.25"/>
    <row r="111618" customFormat="1" x14ac:dyDescent="0.25"/>
    <row r="111619" customFormat="1" x14ac:dyDescent="0.25"/>
    <row r="111620" customFormat="1" x14ac:dyDescent="0.25"/>
    <row r="111621" customFormat="1" x14ac:dyDescent="0.25"/>
    <row r="111622" customFormat="1" x14ac:dyDescent="0.25"/>
    <row r="111623" customFormat="1" x14ac:dyDescent="0.25"/>
    <row r="111624" customFormat="1" x14ac:dyDescent="0.25"/>
    <row r="111625" customFormat="1" x14ac:dyDescent="0.25"/>
    <row r="111626" customFormat="1" x14ac:dyDescent="0.25"/>
    <row r="111627" customFormat="1" x14ac:dyDescent="0.25"/>
    <row r="111628" customFormat="1" x14ac:dyDescent="0.25"/>
    <row r="111629" customFormat="1" x14ac:dyDescent="0.25"/>
    <row r="111630" customFormat="1" x14ac:dyDescent="0.25"/>
    <row r="111631" customFormat="1" x14ac:dyDescent="0.25"/>
    <row r="111632" customFormat="1" x14ac:dyDescent="0.25"/>
    <row r="111633" customFormat="1" x14ac:dyDescent="0.25"/>
    <row r="111634" customFormat="1" x14ac:dyDescent="0.25"/>
    <row r="111635" customFormat="1" x14ac:dyDescent="0.25"/>
    <row r="111636" customFormat="1" x14ac:dyDescent="0.25"/>
    <row r="111637" customFormat="1" x14ac:dyDescent="0.25"/>
    <row r="111638" customFormat="1" x14ac:dyDescent="0.25"/>
    <row r="111639" customFormat="1" x14ac:dyDescent="0.25"/>
    <row r="111640" customFormat="1" x14ac:dyDescent="0.25"/>
    <row r="111641" customFormat="1" x14ac:dyDescent="0.25"/>
    <row r="111642" customFormat="1" x14ac:dyDescent="0.25"/>
    <row r="111643" customFormat="1" x14ac:dyDescent="0.25"/>
    <row r="111644" customFormat="1" x14ac:dyDescent="0.25"/>
    <row r="111645" customFormat="1" x14ac:dyDescent="0.25"/>
    <row r="111646" customFormat="1" x14ac:dyDescent="0.25"/>
    <row r="111647" customFormat="1" x14ac:dyDescent="0.25"/>
    <row r="111648" customFormat="1" x14ac:dyDescent="0.25"/>
    <row r="111649" customFormat="1" x14ac:dyDescent="0.25"/>
    <row r="111650" customFormat="1" x14ac:dyDescent="0.25"/>
    <row r="111651" customFormat="1" x14ac:dyDescent="0.25"/>
    <row r="111652" customFormat="1" x14ac:dyDescent="0.25"/>
    <row r="111653" customFormat="1" x14ac:dyDescent="0.25"/>
    <row r="111654" customFormat="1" x14ac:dyDescent="0.25"/>
    <row r="111655" customFormat="1" x14ac:dyDescent="0.25"/>
    <row r="111656" customFormat="1" x14ac:dyDescent="0.25"/>
    <row r="111657" customFormat="1" x14ac:dyDescent="0.25"/>
    <row r="111658" customFormat="1" x14ac:dyDescent="0.25"/>
    <row r="111659" customFormat="1" x14ac:dyDescent="0.25"/>
    <row r="111660" customFormat="1" x14ac:dyDescent="0.25"/>
    <row r="111661" customFormat="1" x14ac:dyDescent="0.25"/>
    <row r="111662" customFormat="1" x14ac:dyDescent="0.25"/>
    <row r="111663" customFormat="1" x14ac:dyDescent="0.25"/>
    <row r="111664" customFormat="1" x14ac:dyDescent="0.25"/>
    <row r="111665" customFormat="1" x14ac:dyDescent="0.25"/>
    <row r="111666" customFormat="1" x14ac:dyDescent="0.25"/>
    <row r="111667" customFormat="1" x14ac:dyDescent="0.25"/>
    <row r="111668" customFormat="1" x14ac:dyDescent="0.25"/>
    <row r="111669" customFormat="1" x14ac:dyDescent="0.25"/>
    <row r="111670" customFormat="1" x14ac:dyDescent="0.25"/>
    <row r="111671" customFormat="1" x14ac:dyDescent="0.25"/>
    <row r="111672" customFormat="1" x14ac:dyDescent="0.25"/>
    <row r="111673" customFormat="1" x14ac:dyDescent="0.25"/>
    <row r="111674" customFormat="1" x14ac:dyDescent="0.25"/>
    <row r="111675" customFormat="1" x14ac:dyDescent="0.25"/>
    <row r="111676" customFormat="1" x14ac:dyDescent="0.25"/>
    <row r="111677" customFormat="1" x14ac:dyDescent="0.25"/>
    <row r="111678" customFormat="1" x14ac:dyDescent="0.25"/>
    <row r="111679" customFormat="1" x14ac:dyDescent="0.25"/>
    <row r="111680" customFormat="1" x14ac:dyDescent="0.25"/>
    <row r="111681" customFormat="1" x14ac:dyDescent="0.25"/>
    <row r="111682" customFormat="1" x14ac:dyDescent="0.25"/>
    <row r="111683" customFormat="1" x14ac:dyDescent="0.25"/>
    <row r="111684" customFormat="1" x14ac:dyDescent="0.25"/>
    <row r="111685" customFormat="1" x14ac:dyDescent="0.25"/>
    <row r="111686" customFormat="1" x14ac:dyDescent="0.25"/>
    <row r="111687" customFormat="1" x14ac:dyDescent="0.25"/>
    <row r="111688" customFormat="1" x14ac:dyDescent="0.25"/>
    <row r="111689" customFormat="1" x14ac:dyDescent="0.25"/>
    <row r="111690" customFormat="1" x14ac:dyDescent="0.25"/>
    <row r="111691" customFormat="1" x14ac:dyDescent="0.25"/>
    <row r="111692" customFormat="1" x14ac:dyDescent="0.25"/>
    <row r="111693" customFormat="1" x14ac:dyDescent="0.25"/>
    <row r="111694" customFormat="1" x14ac:dyDescent="0.25"/>
    <row r="111695" customFormat="1" x14ac:dyDescent="0.25"/>
    <row r="111696" customFormat="1" x14ac:dyDescent="0.25"/>
    <row r="111697" customFormat="1" x14ac:dyDescent="0.25"/>
    <row r="111698" customFormat="1" x14ac:dyDescent="0.25"/>
    <row r="111699" customFormat="1" x14ac:dyDescent="0.25"/>
    <row r="111700" customFormat="1" x14ac:dyDescent="0.25"/>
    <row r="111701" customFormat="1" x14ac:dyDescent="0.25"/>
    <row r="111702" customFormat="1" x14ac:dyDescent="0.25"/>
    <row r="111703" customFormat="1" x14ac:dyDescent="0.25"/>
    <row r="111704" customFormat="1" x14ac:dyDescent="0.25"/>
    <row r="111705" customFormat="1" x14ac:dyDescent="0.25"/>
    <row r="111706" customFormat="1" x14ac:dyDescent="0.25"/>
    <row r="111707" customFormat="1" x14ac:dyDescent="0.25"/>
    <row r="111708" customFormat="1" x14ac:dyDescent="0.25"/>
    <row r="111709" customFormat="1" x14ac:dyDescent="0.25"/>
    <row r="111710" customFormat="1" x14ac:dyDescent="0.25"/>
    <row r="111711" customFormat="1" x14ac:dyDescent="0.25"/>
    <row r="111712" customFormat="1" x14ac:dyDescent="0.25"/>
    <row r="111713" customFormat="1" x14ac:dyDescent="0.25"/>
    <row r="111714" customFormat="1" x14ac:dyDescent="0.25"/>
    <row r="111715" customFormat="1" x14ac:dyDescent="0.25"/>
    <row r="111716" customFormat="1" x14ac:dyDescent="0.25"/>
    <row r="111717" customFormat="1" x14ac:dyDescent="0.25"/>
    <row r="111718" customFormat="1" x14ac:dyDescent="0.25"/>
    <row r="111719" customFormat="1" x14ac:dyDescent="0.25"/>
    <row r="111720" customFormat="1" x14ac:dyDescent="0.25"/>
    <row r="111721" customFormat="1" x14ac:dyDescent="0.25"/>
    <row r="111722" customFormat="1" x14ac:dyDescent="0.25"/>
    <row r="111723" customFormat="1" x14ac:dyDescent="0.25"/>
    <row r="111724" customFormat="1" x14ac:dyDescent="0.25"/>
    <row r="111725" customFormat="1" x14ac:dyDescent="0.25"/>
    <row r="111726" customFormat="1" x14ac:dyDescent="0.25"/>
    <row r="111727" customFormat="1" x14ac:dyDescent="0.25"/>
    <row r="111728" customFormat="1" x14ac:dyDescent="0.25"/>
    <row r="111729" customFormat="1" x14ac:dyDescent="0.25"/>
    <row r="111730" customFormat="1" x14ac:dyDescent="0.25"/>
    <row r="111731" customFormat="1" x14ac:dyDescent="0.25"/>
    <row r="111732" customFormat="1" x14ac:dyDescent="0.25"/>
    <row r="111733" customFormat="1" x14ac:dyDescent="0.25"/>
    <row r="111734" customFormat="1" x14ac:dyDescent="0.25"/>
    <row r="111735" customFormat="1" x14ac:dyDescent="0.25"/>
    <row r="111736" customFormat="1" x14ac:dyDescent="0.25"/>
    <row r="111737" customFormat="1" x14ac:dyDescent="0.25"/>
    <row r="111738" customFormat="1" x14ac:dyDescent="0.25"/>
    <row r="111739" customFormat="1" x14ac:dyDescent="0.25"/>
    <row r="111740" customFormat="1" x14ac:dyDescent="0.25"/>
    <row r="111741" customFormat="1" x14ac:dyDescent="0.25"/>
    <row r="111742" customFormat="1" x14ac:dyDescent="0.25"/>
    <row r="111743" customFormat="1" x14ac:dyDescent="0.25"/>
    <row r="111744" customFormat="1" x14ac:dyDescent="0.25"/>
    <row r="111745" customFormat="1" x14ac:dyDescent="0.25"/>
    <row r="111746" customFormat="1" x14ac:dyDescent="0.25"/>
    <row r="111747" customFormat="1" x14ac:dyDescent="0.25"/>
    <row r="111748" customFormat="1" x14ac:dyDescent="0.25"/>
    <row r="111749" customFormat="1" x14ac:dyDescent="0.25"/>
    <row r="111750" customFormat="1" x14ac:dyDescent="0.25"/>
    <row r="111751" customFormat="1" x14ac:dyDescent="0.25"/>
    <row r="111752" customFormat="1" x14ac:dyDescent="0.25"/>
    <row r="111753" customFormat="1" x14ac:dyDescent="0.25"/>
    <row r="111754" customFormat="1" x14ac:dyDescent="0.25"/>
    <row r="111755" customFormat="1" x14ac:dyDescent="0.25"/>
    <row r="111756" customFormat="1" x14ac:dyDescent="0.25"/>
    <row r="111757" customFormat="1" x14ac:dyDescent="0.25"/>
    <row r="111758" customFormat="1" x14ac:dyDescent="0.25"/>
    <row r="111759" customFormat="1" x14ac:dyDescent="0.25"/>
    <row r="111760" customFormat="1" x14ac:dyDescent="0.25"/>
    <row r="111761" customFormat="1" x14ac:dyDescent="0.25"/>
    <row r="111762" customFormat="1" x14ac:dyDescent="0.25"/>
    <row r="111763" customFormat="1" x14ac:dyDescent="0.25"/>
    <row r="111764" customFormat="1" x14ac:dyDescent="0.25"/>
    <row r="111765" customFormat="1" x14ac:dyDescent="0.25"/>
    <row r="111766" customFormat="1" x14ac:dyDescent="0.25"/>
    <row r="111767" customFormat="1" x14ac:dyDescent="0.25"/>
    <row r="111768" customFormat="1" x14ac:dyDescent="0.25"/>
    <row r="111769" customFormat="1" x14ac:dyDescent="0.25"/>
    <row r="111770" customFormat="1" x14ac:dyDescent="0.25"/>
    <row r="111771" customFormat="1" x14ac:dyDescent="0.25"/>
    <row r="111772" customFormat="1" x14ac:dyDescent="0.25"/>
    <row r="111773" customFormat="1" x14ac:dyDescent="0.25"/>
    <row r="111774" customFormat="1" x14ac:dyDescent="0.25"/>
    <row r="111775" customFormat="1" x14ac:dyDescent="0.25"/>
    <row r="111776" customFormat="1" x14ac:dyDescent="0.25"/>
    <row r="111777" customFormat="1" x14ac:dyDescent="0.25"/>
    <row r="111778" customFormat="1" x14ac:dyDescent="0.25"/>
    <row r="111779" customFormat="1" x14ac:dyDescent="0.25"/>
    <row r="111780" customFormat="1" x14ac:dyDescent="0.25"/>
    <row r="111781" customFormat="1" x14ac:dyDescent="0.25"/>
    <row r="111782" customFormat="1" x14ac:dyDescent="0.25"/>
    <row r="111783" customFormat="1" x14ac:dyDescent="0.25"/>
    <row r="111784" customFormat="1" x14ac:dyDescent="0.25"/>
    <row r="111785" customFormat="1" x14ac:dyDescent="0.25"/>
    <row r="111786" customFormat="1" x14ac:dyDescent="0.25"/>
    <row r="111787" customFormat="1" x14ac:dyDescent="0.25"/>
    <row r="111788" customFormat="1" x14ac:dyDescent="0.25"/>
    <row r="111789" customFormat="1" x14ac:dyDescent="0.25"/>
    <row r="111790" customFormat="1" x14ac:dyDescent="0.25"/>
    <row r="111791" customFormat="1" x14ac:dyDescent="0.25"/>
    <row r="111792" customFormat="1" x14ac:dyDescent="0.25"/>
    <row r="111793" customFormat="1" x14ac:dyDescent="0.25"/>
    <row r="111794" customFormat="1" x14ac:dyDescent="0.25"/>
    <row r="111795" customFormat="1" x14ac:dyDescent="0.25"/>
    <row r="111796" customFormat="1" x14ac:dyDescent="0.25"/>
    <row r="111797" customFormat="1" x14ac:dyDescent="0.25"/>
    <row r="111798" customFormat="1" x14ac:dyDescent="0.25"/>
    <row r="111799" customFormat="1" x14ac:dyDescent="0.25"/>
    <row r="111800" customFormat="1" x14ac:dyDescent="0.25"/>
    <row r="111801" customFormat="1" x14ac:dyDescent="0.25"/>
    <row r="111802" customFormat="1" x14ac:dyDescent="0.25"/>
    <row r="111803" customFormat="1" x14ac:dyDescent="0.25"/>
    <row r="111804" customFormat="1" x14ac:dyDescent="0.25"/>
    <row r="111805" customFormat="1" x14ac:dyDescent="0.25"/>
    <row r="111806" customFormat="1" x14ac:dyDescent="0.25"/>
    <row r="111807" customFormat="1" x14ac:dyDescent="0.25"/>
    <row r="111808" customFormat="1" x14ac:dyDescent="0.25"/>
    <row r="111809" customFormat="1" x14ac:dyDescent="0.25"/>
    <row r="111810" customFormat="1" x14ac:dyDescent="0.25"/>
    <row r="111811" customFormat="1" x14ac:dyDescent="0.25"/>
    <row r="111812" customFormat="1" x14ac:dyDescent="0.25"/>
    <row r="111813" customFormat="1" x14ac:dyDescent="0.25"/>
    <row r="111814" customFormat="1" x14ac:dyDescent="0.25"/>
    <row r="111815" customFormat="1" x14ac:dyDescent="0.25"/>
    <row r="111816" customFormat="1" x14ac:dyDescent="0.25"/>
    <row r="111817" customFormat="1" x14ac:dyDescent="0.25"/>
    <row r="111818" customFormat="1" x14ac:dyDescent="0.25"/>
    <row r="111819" customFormat="1" x14ac:dyDescent="0.25"/>
    <row r="111820" customFormat="1" x14ac:dyDescent="0.25"/>
    <row r="111821" customFormat="1" x14ac:dyDescent="0.25"/>
    <row r="111822" customFormat="1" x14ac:dyDescent="0.25"/>
    <row r="111823" customFormat="1" x14ac:dyDescent="0.25"/>
    <row r="111824" customFormat="1" x14ac:dyDescent="0.25"/>
    <row r="111825" customFormat="1" x14ac:dyDescent="0.25"/>
    <row r="111826" customFormat="1" x14ac:dyDescent="0.25"/>
    <row r="111827" customFormat="1" x14ac:dyDescent="0.25"/>
    <row r="111828" customFormat="1" x14ac:dyDescent="0.25"/>
    <row r="111829" customFormat="1" x14ac:dyDescent="0.25"/>
    <row r="111830" customFormat="1" x14ac:dyDescent="0.25"/>
    <row r="111831" customFormat="1" x14ac:dyDescent="0.25"/>
    <row r="111832" customFormat="1" x14ac:dyDescent="0.25"/>
    <row r="111833" customFormat="1" x14ac:dyDescent="0.25"/>
    <row r="111834" customFormat="1" x14ac:dyDescent="0.25"/>
    <row r="111835" customFormat="1" x14ac:dyDescent="0.25"/>
    <row r="111836" customFormat="1" x14ac:dyDescent="0.25"/>
    <row r="111837" customFormat="1" x14ac:dyDescent="0.25"/>
    <row r="111838" customFormat="1" x14ac:dyDescent="0.25"/>
    <row r="111839" customFormat="1" x14ac:dyDescent="0.25"/>
    <row r="111840" customFormat="1" x14ac:dyDescent="0.25"/>
    <row r="111841" customFormat="1" x14ac:dyDescent="0.25"/>
    <row r="111842" customFormat="1" x14ac:dyDescent="0.25"/>
    <row r="111843" customFormat="1" x14ac:dyDescent="0.25"/>
    <row r="111844" customFormat="1" x14ac:dyDescent="0.25"/>
    <row r="111845" customFormat="1" x14ac:dyDescent="0.25"/>
    <row r="111846" customFormat="1" x14ac:dyDescent="0.25"/>
    <row r="111847" customFormat="1" x14ac:dyDescent="0.25"/>
    <row r="111848" customFormat="1" x14ac:dyDescent="0.25"/>
    <row r="111849" customFormat="1" x14ac:dyDescent="0.25"/>
    <row r="111850" customFormat="1" x14ac:dyDescent="0.25"/>
    <row r="111851" customFormat="1" x14ac:dyDescent="0.25"/>
    <row r="111852" customFormat="1" x14ac:dyDescent="0.25"/>
    <row r="111853" customFormat="1" x14ac:dyDescent="0.25"/>
    <row r="111854" customFormat="1" x14ac:dyDescent="0.25"/>
    <row r="111855" customFormat="1" x14ac:dyDescent="0.25"/>
    <row r="111856" customFormat="1" x14ac:dyDescent="0.25"/>
    <row r="111857" customFormat="1" x14ac:dyDescent="0.25"/>
    <row r="111858" customFormat="1" x14ac:dyDescent="0.25"/>
    <row r="111859" customFormat="1" x14ac:dyDescent="0.25"/>
    <row r="111860" customFormat="1" x14ac:dyDescent="0.25"/>
    <row r="111861" customFormat="1" x14ac:dyDescent="0.25"/>
    <row r="111862" customFormat="1" x14ac:dyDescent="0.25"/>
    <row r="111863" customFormat="1" x14ac:dyDescent="0.25"/>
    <row r="111864" customFormat="1" x14ac:dyDescent="0.25"/>
    <row r="111865" customFormat="1" x14ac:dyDescent="0.25"/>
    <row r="111866" customFormat="1" x14ac:dyDescent="0.25"/>
    <row r="111867" customFormat="1" x14ac:dyDescent="0.25"/>
    <row r="111868" customFormat="1" x14ac:dyDescent="0.25"/>
    <row r="111869" customFormat="1" x14ac:dyDescent="0.25"/>
    <row r="111870" customFormat="1" x14ac:dyDescent="0.25"/>
    <row r="111871" customFormat="1" x14ac:dyDescent="0.25"/>
    <row r="111872" customFormat="1" x14ac:dyDescent="0.25"/>
    <row r="111873" customFormat="1" x14ac:dyDescent="0.25"/>
    <row r="111874" customFormat="1" x14ac:dyDescent="0.25"/>
    <row r="111875" customFormat="1" x14ac:dyDescent="0.25"/>
    <row r="111876" customFormat="1" x14ac:dyDescent="0.25"/>
    <row r="111877" customFormat="1" x14ac:dyDescent="0.25"/>
    <row r="111878" customFormat="1" x14ac:dyDescent="0.25"/>
    <row r="111879" customFormat="1" x14ac:dyDescent="0.25"/>
    <row r="111880" customFormat="1" x14ac:dyDescent="0.25"/>
    <row r="111881" customFormat="1" x14ac:dyDescent="0.25"/>
    <row r="111882" customFormat="1" x14ac:dyDescent="0.25"/>
    <row r="111883" customFormat="1" x14ac:dyDescent="0.25"/>
    <row r="111884" customFormat="1" x14ac:dyDescent="0.25"/>
    <row r="111885" customFormat="1" x14ac:dyDescent="0.25"/>
    <row r="111886" customFormat="1" x14ac:dyDescent="0.25"/>
    <row r="111887" customFormat="1" x14ac:dyDescent="0.25"/>
    <row r="111888" customFormat="1" x14ac:dyDescent="0.25"/>
    <row r="111889" customFormat="1" x14ac:dyDescent="0.25"/>
    <row r="111890" customFormat="1" x14ac:dyDescent="0.25"/>
    <row r="111891" customFormat="1" x14ac:dyDescent="0.25"/>
    <row r="111892" customFormat="1" x14ac:dyDescent="0.25"/>
    <row r="111893" customFormat="1" x14ac:dyDescent="0.25"/>
    <row r="111894" customFormat="1" x14ac:dyDescent="0.25"/>
    <row r="111895" customFormat="1" x14ac:dyDescent="0.25"/>
    <row r="111896" customFormat="1" x14ac:dyDescent="0.25"/>
    <row r="111897" customFormat="1" x14ac:dyDescent="0.25"/>
    <row r="111898" customFormat="1" x14ac:dyDescent="0.25"/>
    <row r="111899" customFormat="1" x14ac:dyDescent="0.25"/>
    <row r="111900" customFormat="1" x14ac:dyDescent="0.25"/>
    <row r="111901" customFormat="1" x14ac:dyDescent="0.25"/>
    <row r="111902" customFormat="1" x14ac:dyDescent="0.25"/>
    <row r="111903" customFormat="1" x14ac:dyDescent="0.25"/>
    <row r="111904" customFormat="1" x14ac:dyDescent="0.25"/>
    <row r="111905" customFormat="1" x14ac:dyDescent="0.25"/>
    <row r="111906" customFormat="1" x14ac:dyDescent="0.25"/>
    <row r="111907" customFormat="1" x14ac:dyDescent="0.25"/>
    <row r="111908" customFormat="1" x14ac:dyDescent="0.25"/>
    <row r="111909" customFormat="1" x14ac:dyDescent="0.25"/>
    <row r="111910" customFormat="1" x14ac:dyDescent="0.25"/>
    <row r="111911" customFormat="1" x14ac:dyDescent="0.25"/>
    <row r="111912" customFormat="1" x14ac:dyDescent="0.25"/>
    <row r="111913" customFormat="1" x14ac:dyDescent="0.25"/>
    <row r="111914" customFormat="1" x14ac:dyDescent="0.25"/>
    <row r="111915" customFormat="1" x14ac:dyDescent="0.25"/>
    <row r="111916" customFormat="1" x14ac:dyDescent="0.25"/>
    <row r="111917" customFormat="1" x14ac:dyDescent="0.25"/>
    <row r="111918" customFormat="1" x14ac:dyDescent="0.25"/>
    <row r="111919" customFormat="1" x14ac:dyDescent="0.25"/>
    <row r="111920" customFormat="1" x14ac:dyDescent="0.25"/>
    <row r="111921" customFormat="1" x14ac:dyDescent="0.25"/>
    <row r="111922" customFormat="1" x14ac:dyDescent="0.25"/>
    <row r="111923" customFormat="1" x14ac:dyDescent="0.25"/>
    <row r="111924" customFormat="1" x14ac:dyDescent="0.25"/>
    <row r="111925" customFormat="1" x14ac:dyDescent="0.25"/>
    <row r="111926" customFormat="1" x14ac:dyDescent="0.25"/>
    <row r="111927" customFormat="1" x14ac:dyDescent="0.25"/>
    <row r="111928" customFormat="1" x14ac:dyDescent="0.25"/>
    <row r="111929" customFormat="1" x14ac:dyDescent="0.25"/>
    <row r="111930" customFormat="1" x14ac:dyDescent="0.25"/>
    <row r="111931" customFormat="1" x14ac:dyDescent="0.25"/>
    <row r="111932" customFormat="1" x14ac:dyDescent="0.25"/>
    <row r="111933" customFormat="1" x14ac:dyDescent="0.25"/>
    <row r="111934" customFormat="1" x14ac:dyDescent="0.25"/>
    <row r="111935" customFormat="1" x14ac:dyDescent="0.25"/>
    <row r="111936" customFormat="1" x14ac:dyDescent="0.25"/>
    <row r="111937" customFormat="1" x14ac:dyDescent="0.25"/>
    <row r="111938" customFormat="1" x14ac:dyDescent="0.25"/>
    <row r="111939" customFormat="1" x14ac:dyDescent="0.25"/>
    <row r="111940" customFormat="1" x14ac:dyDescent="0.25"/>
    <row r="111941" customFormat="1" x14ac:dyDescent="0.25"/>
    <row r="111942" customFormat="1" x14ac:dyDescent="0.25"/>
    <row r="111943" customFormat="1" x14ac:dyDescent="0.25"/>
    <row r="111944" customFormat="1" x14ac:dyDescent="0.25"/>
    <row r="111945" customFormat="1" x14ac:dyDescent="0.25"/>
    <row r="111946" customFormat="1" x14ac:dyDescent="0.25"/>
    <row r="111947" customFormat="1" x14ac:dyDescent="0.25"/>
    <row r="111948" customFormat="1" x14ac:dyDescent="0.25"/>
    <row r="111949" customFormat="1" x14ac:dyDescent="0.25"/>
    <row r="111950" customFormat="1" x14ac:dyDescent="0.25"/>
    <row r="111951" customFormat="1" x14ac:dyDescent="0.25"/>
    <row r="111952" customFormat="1" x14ac:dyDescent="0.25"/>
    <row r="111953" customFormat="1" x14ac:dyDescent="0.25"/>
    <row r="111954" customFormat="1" x14ac:dyDescent="0.25"/>
    <row r="111955" customFormat="1" x14ac:dyDescent="0.25"/>
    <row r="111956" customFormat="1" x14ac:dyDescent="0.25"/>
    <row r="111957" customFormat="1" x14ac:dyDescent="0.25"/>
    <row r="111958" customFormat="1" x14ac:dyDescent="0.25"/>
    <row r="111959" customFormat="1" x14ac:dyDescent="0.25"/>
    <row r="111960" customFormat="1" x14ac:dyDescent="0.25"/>
    <row r="111961" customFormat="1" x14ac:dyDescent="0.25"/>
    <row r="111962" customFormat="1" x14ac:dyDescent="0.25"/>
    <row r="111963" customFormat="1" x14ac:dyDescent="0.25"/>
    <row r="111964" customFormat="1" x14ac:dyDescent="0.25"/>
    <row r="111965" customFormat="1" x14ac:dyDescent="0.25"/>
    <row r="111966" customFormat="1" x14ac:dyDescent="0.25"/>
    <row r="111967" customFormat="1" x14ac:dyDescent="0.25"/>
    <row r="111968" customFormat="1" x14ac:dyDescent="0.25"/>
    <row r="111969" customFormat="1" x14ac:dyDescent="0.25"/>
    <row r="111970" customFormat="1" x14ac:dyDescent="0.25"/>
    <row r="111971" customFormat="1" x14ac:dyDescent="0.25"/>
    <row r="111972" customFormat="1" x14ac:dyDescent="0.25"/>
    <row r="111973" customFormat="1" x14ac:dyDescent="0.25"/>
    <row r="111974" customFormat="1" x14ac:dyDescent="0.25"/>
    <row r="111975" customFormat="1" x14ac:dyDescent="0.25"/>
    <row r="111976" customFormat="1" x14ac:dyDescent="0.25"/>
    <row r="111977" customFormat="1" x14ac:dyDescent="0.25"/>
    <row r="111978" customFormat="1" x14ac:dyDescent="0.25"/>
    <row r="111979" customFormat="1" x14ac:dyDescent="0.25"/>
    <row r="111980" customFormat="1" x14ac:dyDescent="0.25"/>
    <row r="111981" customFormat="1" x14ac:dyDescent="0.25"/>
    <row r="111982" customFormat="1" x14ac:dyDescent="0.25"/>
    <row r="111983" customFormat="1" x14ac:dyDescent="0.25"/>
    <row r="111984" customFormat="1" x14ac:dyDescent="0.25"/>
    <row r="111985" customFormat="1" x14ac:dyDescent="0.25"/>
    <row r="111986" customFormat="1" x14ac:dyDescent="0.25"/>
    <row r="111987" customFormat="1" x14ac:dyDescent="0.25"/>
    <row r="111988" customFormat="1" x14ac:dyDescent="0.25"/>
    <row r="111989" customFormat="1" x14ac:dyDescent="0.25"/>
    <row r="111990" customFormat="1" x14ac:dyDescent="0.25"/>
    <row r="111991" customFormat="1" x14ac:dyDescent="0.25"/>
    <row r="111992" customFormat="1" x14ac:dyDescent="0.25"/>
    <row r="111993" customFormat="1" x14ac:dyDescent="0.25"/>
    <row r="111994" customFormat="1" x14ac:dyDescent="0.25"/>
    <row r="111995" customFormat="1" x14ac:dyDescent="0.25"/>
    <row r="111996" customFormat="1" x14ac:dyDescent="0.25"/>
    <row r="111997" customFormat="1" x14ac:dyDescent="0.25"/>
    <row r="111998" customFormat="1" x14ac:dyDescent="0.25"/>
    <row r="111999" customFormat="1" x14ac:dyDescent="0.25"/>
    <row r="112000" customFormat="1" x14ac:dyDescent="0.25"/>
    <row r="112001" customFormat="1" x14ac:dyDescent="0.25"/>
    <row r="112002" customFormat="1" x14ac:dyDescent="0.25"/>
    <row r="112003" customFormat="1" x14ac:dyDescent="0.25"/>
    <row r="112004" customFormat="1" x14ac:dyDescent="0.25"/>
    <row r="112005" customFormat="1" x14ac:dyDescent="0.25"/>
    <row r="112006" customFormat="1" x14ac:dyDescent="0.25"/>
    <row r="112007" customFormat="1" x14ac:dyDescent="0.25"/>
    <row r="112008" customFormat="1" x14ac:dyDescent="0.25"/>
    <row r="112009" customFormat="1" x14ac:dyDescent="0.25"/>
    <row r="112010" customFormat="1" x14ac:dyDescent="0.25"/>
    <row r="112011" customFormat="1" x14ac:dyDescent="0.25"/>
    <row r="112012" customFormat="1" x14ac:dyDescent="0.25"/>
    <row r="112013" customFormat="1" x14ac:dyDescent="0.25"/>
    <row r="112014" customFormat="1" x14ac:dyDescent="0.25"/>
    <row r="112015" customFormat="1" x14ac:dyDescent="0.25"/>
    <row r="112016" customFormat="1" x14ac:dyDescent="0.25"/>
    <row r="112017" customFormat="1" x14ac:dyDescent="0.25"/>
    <row r="112018" customFormat="1" x14ac:dyDescent="0.25"/>
    <row r="112019" customFormat="1" x14ac:dyDescent="0.25"/>
    <row r="112020" customFormat="1" x14ac:dyDescent="0.25"/>
    <row r="112021" customFormat="1" x14ac:dyDescent="0.25"/>
    <row r="112022" customFormat="1" x14ac:dyDescent="0.25"/>
    <row r="112023" customFormat="1" x14ac:dyDescent="0.25"/>
    <row r="112024" customFormat="1" x14ac:dyDescent="0.25"/>
    <row r="112025" customFormat="1" x14ac:dyDescent="0.25"/>
    <row r="112026" customFormat="1" x14ac:dyDescent="0.25"/>
    <row r="112027" customFormat="1" x14ac:dyDescent="0.25"/>
    <row r="112028" customFormat="1" x14ac:dyDescent="0.25"/>
    <row r="112029" customFormat="1" x14ac:dyDescent="0.25"/>
    <row r="112030" customFormat="1" x14ac:dyDescent="0.25"/>
    <row r="112031" customFormat="1" x14ac:dyDescent="0.25"/>
    <row r="112032" customFormat="1" x14ac:dyDescent="0.25"/>
    <row r="112033" customFormat="1" x14ac:dyDescent="0.25"/>
    <row r="112034" customFormat="1" x14ac:dyDescent="0.25"/>
    <row r="112035" customFormat="1" x14ac:dyDescent="0.25"/>
    <row r="112036" customFormat="1" x14ac:dyDescent="0.25"/>
    <row r="112037" customFormat="1" x14ac:dyDescent="0.25"/>
    <row r="112038" customFormat="1" x14ac:dyDescent="0.25"/>
    <row r="112039" customFormat="1" x14ac:dyDescent="0.25"/>
    <row r="112040" customFormat="1" x14ac:dyDescent="0.25"/>
    <row r="112041" customFormat="1" x14ac:dyDescent="0.25"/>
    <row r="112042" customFormat="1" x14ac:dyDescent="0.25"/>
    <row r="112043" customFormat="1" x14ac:dyDescent="0.25"/>
    <row r="112044" customFormat="1" x14ac:dyDescent="0.25"/>
    <row r="112045" customFormat="1" x14ac:dyDescent="0.25"/>
    <row r="112046" customFormat="1" x14ac:dyDescent="0.25"/>
    <row r="112047" customFormat="1" x14ac:dyDescent="0.25"/>
    <row r="112048" customFormat="1" x14ac:dyDescent="0.25"/>
    <row r="112049" customFormat="1" x14ac:dyDescent="0.25"/>
    <row r="112050" customFormat="1" x14ac:dyDescent="0.25"/>
    <row r="112051" customFormat="1" x14ac:dyDescent="0.25"/>
    <row r="112052" customFormat="1" x14ac:dyDescent="0.25"/>
    <row r="112053" customFormat="1" x14ac:dyDescent="0.25"/>
    <row r="112054" customFormat="1" x14ac:dyDescent="0.25"/>
    <row r="112055" customFormat="1" x14ac:dyDescent="0.25"/>
    <row r="112056" customFormat="1" x14ac:dyDescent="0.25"/>
    <row r="112057" customFormat="1" x14ac:dyDescent="0.25"/>
    <row r="112058" customFormat="1" x14ac:dyDescent="0.25"/>
    <row r="112059" customFormat="1" x14ac:dyDescent="0.25"/>
    <row r="112060" customFormat="1" x14ac:dyDescent="0.25"/>
    <row r="112061" customFormat="1" x14ac:dyDescent="0.25"/>
    <row r="112062" customFormat="1" x14ac:dyDescent="0.25"/>
    <row r="112063" customFormat="1" x14ac:dyDescent="0.25"/>
    <row r="112064" customFormat="1" x14ac:dyDescent="0.25"/>
    <row r="112065" customFormat="1" x14ac:dyDescent="0.25"/>
    <row r="112066" customFormat="1" x14ac:dyDescent="0.25"/>
    <row r="112067" customFormat="1" x14ac:dyDescent="0.25"/>
    <row r="112068" customFormat="1" x14ac:dyDescent="0.25"/>
    <row r="112069" customFormat="1" x14ac:dyDescent="0.25"/>
    <row r="112070" customFormat="1" x14ac:dyDescent="0.25"/>
    <row r="112071" customFormat="1" x14ac:dyDescent="0.25"/>
    <row r="112072" customFormat="1" x14ac:dyDescent="0.25"/>
    <row r="112073" customFormat="1" x14ac:dyDescent="0.25"/>
    <row r="112074" customFormat="1" x14ac:dyDescent="0.25"/>
    <row r="112075" customFormat="1" x14ac:dyDescent="0.25"/>
    <row r="112076" customFormat="1" x14ac:dyDescent="0.25"/>
    <row r="112077" customFormat="1" x14ac:dyDescent="0.25"/>
    <row r="112078" customFormat="1" x14ac:dyDescent="0.25"/>
    <row r="112079" customFormat="1" x14ac:dyDescent="0.25"/>
    <row r="112080" customFormat="1" x14ac:dyDescent="0.25"/>
    <row r="112081" customFormat="1" x14ac:dyDescent="0.25"/>
    <row r="112082" customFormat="1" x14ac:dyDescent="0.25"/>
    <row r="112083" customFormat="1" x14ac:dyDescent="0.25"/>
    <row r="112084" customFormat="1" x14ac:dyDescent="0.25"/>
    <row r="112085" customFormat="1" x14ac:dyDescent="0.25"/>
    <row r="112086" customFormat="1" x14ac:dyDescent="0.25"/>
    <row r="112087" customFormat="1" x14ac:dyDescent="0.25"/>
    <row r="112088" customFormat="1" x14ac:dyDescent="0.25"/>
    <row r="112089" customFormat="1" x14ac:dyDescent="0.25"/>
    <row r="112090" customFormat="1" x14ac:dyDescent="0.25"/>
    <row r="112091" customFormat="1" x14ac:dyDescent="0.25"/>
    <row r="112092" customFormat="1" x14ac:dyDescent="0.25"/>
    <row r="112093" customFormat="1" x14ac:dyDescent="0.25"/>
    <row r="112094" customFormat="1" x14ac:dyDescent="0.25"/>
    <row r="112095" customFormat="1" x14ac:dyDescent="0.25"/>
    <row r="112096" customFormat="1" x14ac:dyDescent="0.25"/>
    <row r="112097" customFormat="1" x14ac:dyDescent="0.25"/>
    <row r="112098" customFormat="1" x14ac:dyDescent="0.25"/>
    <row r="112099" customFormat="1" x14ac:dyDescent="0.25"/>
    <row r="112100" customFormat="1" x14ac:dyDescent="0.25"/>
    <row r="112101" customFormat="1" x14ac:dyDescent="0.25"/>
    <row r="112102" customFormat="1" x14ac:dyDescent="0.25"/>
    <row r="112103" customFormat="1" x14ac:dyDescent="0.25"/>
    <row r="112104" customFormat="1" x14ac:dyDescent="0.25"/>
    <row r="112105" customFormat="1" x14ac:dyDescent="0.25"/>
    <row r="112106" customFormat="1" x14ac:dyDescent="0.25"/>
    <row r="112107" customFormat="1" x14ac:dyDescent="0.25"/>
    <row r="112108" customFormat="1" x14ac:dyDescent="0.25"/>
    <row r="112109" customFormat="1" x14ac:dyDescent="0.25"/>
    <row r="112110" customFormat="1" x14ac:dyDescent="0.25"/>
    <row r="112111" customFormat="1" x14ac:dyDescent="0.25"/>
    <row r="112112" customFormat="1" x14ac:dyDescent="0.25"/>
    <row r="112113" customFormat="1" x14ac:dyDescent="0.25"/>
    <row r="112114" customFormat="1" x14ac:dyDescent="0.25"/>
    <row r="112115" customFormat="1" x14ac:dyDescent="0.25"/>
    <row r="112116" customFormat="1" x14ac:dyDescent="0.25"/>
    <row r="112117" customFormat="1" x14ac:dyDescent="0.25"/>
    <row r="112118" customFormat="1" x14ac:dyDescent="0.25"/>
    <row r="112119" customFormat="1" x14ac:dyDescent="0.25"/>
    <row r="112120" customFormat="1" x14ac:dyDescent="0.25"/>
    <row r="112121" customFormat="1" x14ac:dyDescent="0.25"/>
    <row r="112122" customFormat="1" x14ac:dyDescent="0.25"/>
    <row r="112123" customFormat="1" x14ac:dyDescent="0.25"/>
    <row r="112124" customFormat="1" x14ac:dyDescent="0.25"/>
    <row r="112125" customFormat="1" x14ac:dyDescent="0.25"/>
    <row r="112126" customFormat="1" x14ac:dyDescent="0.25"/>
    <row r="112127" customFormat="1" x14ac:dyDescent="0.25"/>
    <row r="112128" customFormat="1" x14ac:dyDescent="0.25"/>
    <row r="112129" customFormat="1" x14ac:dyDescent="0.25"/>
    <row r="112130" customFormat="1" x14ac:dyDescent="0.25"/>
    <row r="112131" customFormat="1" x14ac:dyDescent="0.25"/>
    <row r="112132" customFormat="1" x14ac:dyDescent="0.25"/>
    <row r="112133" customFormat="1" x14ac:dyDescent="0.25"/>
    <row r="112134" customFormat="1" x14ac:dyDescent="0.25"/>
    <row r="112135" customFormat="1" x14ac:dyDescent="0.25"/>
    <row r="112136" customFormat="1" x14ac:dyDescent="0.25"/>
    <row r="112137" customFormat="1" x14ac:dyDescent="0.25"/>
    <row r="112138" customFormat="1" x14ac:dyDescent="0.25"/>
    <row r="112139" customFormat="1" x14ac:dyDescent="0.25"/>
    <row r="112140" customFormat="1" x14ac:dyDescent="0.25"/>
    <row r="112141" customFormat="1" x14ac:dyDescent="0.25"/>
    <row r="112142" customFormat="1" x14ac:dyDescent="0.25"/>
    <row r="112143" customFormat="1" x14ac:dyDescent="0.25"/>
    <row r="112144" customFormat="1" x14ac:dyDescent="0.25"/>
    <row r="112145" customFormat="1" x14ac:dyDescent="0.25"/>
    <row r="112146" customFormat="1" x14ac:dyDescent="0.25"/>
    <row r="112147" customFormat="1" x14ac:dyDescent="0.25"/>
    <row r="112148" customFormat="1" x14ac:dyDescent="0.25"/>
    <row r="112149" customFormat="1" x14ac:dyDescent="0.25"/>
    <row r="112150" customFormat="1" x14ac:dyDescent="0.25"/>
    <row r="112151" customFormat="1" x14ac:dyDescent="0.25"/>
    <row r="112152" customFormat="1" x14ac:dyDescent="0.25"/>
    <row r="112153" customFormat="1" x14ac:dyDescent="0.25"/>
    <row r="112154" customFormat="1" x14ac:dyDescent="0.25"/>
    <row r="112155" customFormat="1" x14ac:dyDescent="0.25"/>
    <row r="112156" customFormat="1" x14ac:dyDescent="0.25"/>
    <row r="112157" customFormat="1" x14ac:dyDescent="0.25"/>
    <row r="112158" customFormat="1" x14ac:dyDescent="0.25"/>
    <row r="112159" customFormat="1" x14ac:dyDescent="0.25"/>
    <row r="112160" customFormat="1" x14ac:dyDescent="0.25"/>
    <row r="112161" customFormat="1" x14ac:dyDescent="0.25"/>
    <row r="112162" customFormat="1" x14ac:dyDescent="0.25"/>
    <row r="112163" customFormat="1" x14ac:dyDescent="0.25"/>
    <row r="112164" customFormat="1" x14ac:dyDescent="0.25"/>
    <row r="112165" customFormat="1" x14ac:dyDescent="0.25"/>
    <row r="112166" customFormat="1" x14ac:dyDescent="0.25"/>
    <row r="112167" customFormat="1" x14ac:dyDescent="0.25"/>
    <row r="112168" customFormat="1" x14ac:dyDescent="0.25"/>
    <row r="112169" customFormat="1" x14ac:dyDescent="0.25"/>
    <row r="112170" customFormat="1" x14ac:dyDescent="0.25"/>
    <row r="112171" customFormat="1" x14ac:dyDescent="0.25"/>
    <row r="112172" customFormat="1" x14ac:dyDescent="0.25"/>
    <row r="112173" customFormat="1" x14ac:dyDescent="0.25"/>
    <row r="112174" customFormat="1" x14ac:dyDescent="0.25"/>
    <row r="112175" customFormat="1" x14ac:dyDescent="0.25"/>
    <row r="112176" customFormat="1" x14ac:dyDescent="0.25"/>
    <row r="112177" customFormat="1" x14ac:dyDescent="0.25"/>
    <row r="112178" customFormat="1" x14ac:dyDescent="0.25"/>
    <row r="112179" customFormat="1" x14ac:dyDescent="0.25"/>
    <row r="112180" customFormat="1" x14ac:dyDescent="0.25"/>
    <row r="112181" customFormat="1" x14ac:dyDescent="0.25"/>
    <row r="112182" customFormat="1" x14ac:dyDescent="0.25"/>
    <row r="112183" customFormat="1" x14ac:dyDescent="0.25"/>
    <row r="112184" customFormat="1" x14ac:dyDescent="0.25"/>
    <row r="112185" customFormat="1" x14ac:dyDescent="0.25"/>
    <row r="112186" customFormat="1" x14ac:dyDescent="0.25"/>
    <row r="112187" customFormat="1" x14ac:dyDescent="0.25"/>
    <row r="112188" customFormat="1" x14ac:dyDescent="0.25"/>
    <row r="112189" customFormat="1" x14ac:dyDescent="0.25"/>
    <row r="112190" customFormat="1" x14ac:dyDescent="0.25"/>
    <row r="112191" customFormat="1" x14ac:dyDescent="0.25"/>
    <row r="112192" customFormat="1" x14ac:dyDescent="0.25"/>
    <row r="112193" customFormat="1" x14ac:dyDescent="0.25"/>
    <row r="112194" customFormat="1" x14ac:dyDescent="0.25"/>
    <row r="112195" customFormat="1" x14ac:dyDescent="0.25"/>
    <row r="112196" customFormat="1" x14ac:dyDescent="0.25"/>
    <row r="112197" customFormat="1" x14ac:dyDescent="0.25"/>
    <row r="112198" customFormat="1" x14ac:dyDescent="0.25"/>
    <row r="112199" customFormat="1" x14ac:dyDescent="0.25"/>
    <row r="112200" customFormat="1" x14ac:dyDescent="0.25"/>
    <row r="112201" customFormat="1" x14ac:dyDescent="0.25"/>
    <row r="112202" customFormat="1" x14ac:dyDescent="0.25"/>
    <row r="112203" customFormat="1" x14ac:dyDescent="0.25"/>
    <row r="112204" customFormat="1" x14ac:dyDescent="0.25"/>
    <row r="112205" customFormat="1" x14ac:dyDescent="0.25"/>
    <row r="112206" customFormat="1" x14ac:dyDescent="0.25"/>
    <row r="112207" customFormat="1" x14ac:dyDescent="0.25"/>
    <row r="112208" customFormat="1" x14ac:dyDescent="0.25"/>
    <row r="112209" customFormat="1" x14ac:dyDescent="0.25"/>
    <row r="112210" customFormat="1" x14ac:dyDescent="0.25"/>
    <row r="112211" customFormat="1" x14ac:dyDescent="0.25"/>
    <row r="112212" customFormat="1" x14ac:dyDescent="0.25"/>
    <row r="112213" customFormat="1" x14ac:dyDescent="0.25"/>
    <row r="112214" customFormat="1" x14ac:dyDescent="0.25"/>
    <row r="112215" customFormat="1" x14ac:dyDescent="0.25"/>
    <row r="112216" customFormat="1" x14ac:dyDescent="0.25"/>
    <row r="112217" customFormat="1" x14ac:dyDescent="0.25"/>
    <row r="112218" customFormat="1" x14ac:dyDescent="0.25"/>
    <row r="112219" customFormat="1" x14ac:dyDescent="0.25"/>
    <row r="112220" customFormat="1" x14ac:dyDescent="0.25"/>
    <row r="112221" customFormat="1" x14ac:dyDescent="0.25"/>
    <row r="112222" customFormat="1" x14ac:dyDescent="0.25"/>
    <row r="112223" customFormat="1" x14ac:dyDescent="0.25"/>
    <row r="112224" customFormat="1" x14ac:dyDescent="0.25"/>
    <row r="112225" customFormat="1" x14ac:dyDescent="0.25"/>
    <row r="112226" customFormat="1" x14ac:dyDescent="0.25"/>
    <row r="112227" customFormat="1" x14ac:dyDescent="0.25"/>
    <row r="112228" customFormat="1" x14ac:dyDescent="0.25"/>
    <row r="112229" customFormat="1" x14ac:dyDescent="0.25"/>
    <row r="112230" customFormat="1" x14ac:dyDescent="0.25"/>
    <row r="112231" customFormat="1" x14ac:dyDescent="0.25"/>
    <row r="112232" customFormat="1" x14ac:dyDescent="0.25"/>
    <row r="112233" customFormat="1" x14ac:dyDescent="0.25"/>
    <row r="112234" customFormat="1" x14ac:dyDescent="0.25"/>
    <row r="112235" customFormat="1" x14ac:dyDescent="0.25"/>
    <row r="112236" customFormat="1" x14ac:dyDescent="0.25"/>
    <row r="112237" customFormat="1" x14ac:dyDescent="0.25"/>
    <row r="112238" customFormat="1" x14ac:dyDescent="0.25"/>
    <row r="112239" customFormat="1" x14ac:dyDescent="0.25"/>
    <row r="112240" customFormat="1" x14ac:dyDescent="0.25"/>
    <row r="112241" customFormat="1" x14ac:dyDescent="0.25"/>
    <row r="112242" customFormat="1" x14ac:dyDescent="0.25"/>
    <row r="112243" customFormat="1" x14ac:dyDescent="0.25"/>
    <row r="112244" customFormat="1" x14ac:dyDescent="0.25"/>
    <row r="112245" customFormat="1" x14ac:dyDescent="0.25"/>
    <row r="112246" customFormat="1" x14ac:dyDescent="0.25"/>
    <row r="112247" customFormat="1" x14ac:dyDescent="0.25"/>
    <row r="112248" customFormat="1" x14ac:dyDescent="0.25"/>
    <row r="112249" customFormat="1" x14ac:dyDescent="0.25"/>
    <row r="112250" customFormat="1" x14ac:dyDescent="0.25"/>
    <row r="112251" customFormat="1" x14ac:dyDescent="0.25"/>
    <row r="112252" customFormat="1" x14ac:dyDescent="0.25"/>
    <row r="112253" customFormat="1" x14ac:dyDescent="0.25"/>
    <row r="112254" customFormat="1" x14ac:dyDescent="0.25"/>
    <row r="112255" customFormat="1" x14ac:dyDescent="0.25"/>
    <row r="112256" customFormat="1" x14ac:dyDescent="0.25"/>
    <row r="112257" customFormat="1" x14ac:dyDescent="0.25"/>
    <row r="112258" customFormat="1" x14ac:dyDescent="0.25"/>
    <row r="112259" customFormat="1" x14ac:dyDescent="0.25"/>
    <row r="112260" customFormat="1" x14ac:dyDescent="0.25"/>
    <row r="112261" customFormat="1" x14ac:dyDescent="0.25"/>
    <row r="112262" customFormat="1" x14ac:dyDescent="0.25"/>
    <row r="112263" customFormat="1" x14ac:dyDescent="0.25"/>
    <row r="112264" customFormat="1" x14ac:dyDescent="0.25"/>
    <row r="112265" customFormat="1" x14ac:dyDescent="0.25"/>
    <row r="112266" customFormat="1" x14ac:dyDescent="0.25"/>
    <row r="112267" customFormat="1" x14ac:dyDescent="0.25"/>
    <row r="112268" customFormat="1" x14ac:dyDescent="0.25"/>
    <row r="112269" customFormat="1" x14ac:dyDescent="0.25"/>
    <row r="112270" customFormat="1" x14ac:dyDescent="0.25"/>
    <row r="112271" customFormat="1" x14ac:dyDescent="0.25"/>
    <row r="112272" customFormat="1" x14ac:dyDescent="0.25"/>
    <row r="112273" customFormat="1" x14ac:dyDescent="0.25"/>
    <row r="112274" customFormat="1" x14ac:dyDescent="0.25"/>
    <row r="112275" customFormat="1" x14ac:dyDescent="0.25"/>
    <row r="112276" customFormat="1" x14ac:dyDescent="0.25"/>
    <row r="112277" customFormat="1" x14ac:dyDescent="0.25"/>
    <row r="112278" customFormat="1" x14ac:dyDescent="0.25"/>
    <row r="112279" customFormat="1" x14ac:dyDescent="0.25"/>
    <row r="112280" customFormat="1" x14ac:dyDescent="0.25"/>
    <row r="112281" customFormat="1" x14ac:dyDescent="0.25"/>
    <row r="112282" customFormat="1" x14ac:dyDescent="0.25"/>
    <row r="112283" customFormat="1" x14ac:dyDescent="0.25"/>
    <row r="112284" customFormat="1" x14ac:dyDescent="0.25"/>
    <row r="112285" customFormat="1" x14ac:dyDescent="0.25"/>
    <row r="112286" customFormat="1" x14ac:dyDescent="0.25"/>
    <row r="112287" customFormat="1" x14ac:dyDescent="0.25"/>
    <row r="112288" customFormat="1" x14ac:dyDescent="0.25"/>
    <row r="112289" customFormat="1" x14ac:dyDescent="0.25"/>
    <row r="112290" customFormat="1" x14ac:dyDescent="0.25"/>
    <row r="112291" customFormat="1" x14ac:dyDescent="0.25"/>
    <row r="112292" customFormat="1" x14ac:dyDescent="0.25"/>
    <row r="112293" customFormat="1" x14ac:dyDescent="0.25"/>
    <row r="112294" customFormat="1" x14ac:dyDescent="0.25"/>
    <row r="112295" customFormat="1" x14ac:dyDescent="0.25"/>
    <row r="112296" customFormat="1" x14ac:dyDescent="0.25"/>
    <row r="112297" customFormat="1" x14ac:dyDescent="0.25"/>
    <row r="112298" customFormat="1" x14ac:dyDescent="0.25"/>
    <row r="112299" customFormat="1" x14ac:dyDescent="0.25"/>
    <row r="112300" customFormat="1" x14ac:dyDescent="0.25"/>
    <row r="112301" customFormat="1" x14ac:dyDescent="0.25"/>
    <row r="112302" customFormat="1" x14ac:dyDescent="0.25"/>
    <row r="112303" customFormat="1" x14ac:dyDescent="0.25"/>
    <row r="112304" customFormat="1" x14ac:dyDescent="0.25"/>
    <row r="112305" customFormat="1" x14ac:dyDescent="0.25"/>
    <row r="112306" customFormat="1" x14ac:dyDescent="0.25"/>
    <row r="112307" customFormat="1" x14ac:dyDescent="0.25"/>
    <row r="112308" customFormat="1" x14ac:dyDescent="0.25"/>
    <row r="112309" customFormat="1" x14ac:dyDescent="0.25"/>
    <row r="112310" customFormat="1" x14ac:dyDescent="0.25"/>
    <row r="112311" customFormat="1" x14ac:dyDescent="0.25"/>
    <row r="112312" customFormat="1" x14ac:dyDescent="0.25"/>
    <row r="112313" customFormat="1" x14ac:dyDescent="0.25"/>
    <row r="112314" customFormat="1" x14ac:dyDescent="0.25"/>
    <row r="112315" customFormat="1" x14ac:dyDescent="0.25"/>
    <row r="112316" customFormat="1" x14ac:dyDescent="0.25"/>
    <row r="112317" customFormat="1" x14ac:dyDescent="0.25"/>
    <row r="112318" customFormat="1" x14ac:dyDescent="0.25"/>
    <row r="112319" customFormat="1" x14ac:dyDescent="0.25"/>
    <row r="112320" customFormat="1" x14ac:dyDescent="0.25"/>
    <row r="112321" customFormat="1" x14ac:dyDescent="0.25"/>
    <row r="112322" customFormat="1" x14ac:dyDescent="0.25"/>
    <row r="112323" customFormat="1" x14ac:dyDescent="0.25"/>
    <row r="112324" customFormat="1" x14ac:dyDescent="0.25"/>
    <row r="112325" customFormat="1" x14ac:dyDescent="0.25"/>
    <row r="112326" customFormat="1" x14ac:dyDescent="0.25"/>
    <row r="112327" customFormat="1" x14ac:dyDescent="0.25"/>
    <row r="112328" customFormat="1" x14ac:dyDescent="0.25"/>
    <row r="112329" customFormat="1" x14ac:dyDescent="0.25"/>
    <row r="112330" customFormat="1" x14ac:dyDescent="0.25"/>
    <row r="112331" customFormat="1" x14ac:dyDescent="0.25"/>
    <row r="112332" customFormat="1" x14ac:dyDescent="0.25"/>
    <row r="112333" customFormat="1" x14ac:dyDescent="0.25"/>
    <row r="112334" customFormat="1" x14ac:dyDescent="0.25"/>
    <row r="112335" customFormat="1" x14ac:dyDescent="0.25"/>
    <row r="112336" customFormat="1" x14ac:dyDescent="0.25"/>
    <row r="112337" customFormat="1" x14ac:dyDescent="0.25"/>
    <row r="112338" customFormat="1" x14ac:dyDescent="0.25"/>
    <row r="112339" customFormat="1" x14ac:dyDescent="0.25"/>
    <row r="112340" customFormat="1" x14ac:dyDescent="0.25"/>
    <row r="112341" customFormat="1" x14ac:dyDescent="0.25"/>
    <row r="112342" customFormat="1" x14ac:dyDescent="0.25"/>
    <row r="112343" customFormat="1" x14ac:dyDescent="0.25"/>
    <row r="112344" customFormat="1" x14ac:dyDescent="0.25"/>
    <row r="112345" customFormat="1" x14ac:dyDescent="0.25"/>
    <row r="112346" customFormat="1" x14ac:dyDescent="0.25"/>
    <row r="112347" customFormat="1" x14ac:dyDescent="0.25"/>
    <row r="112348" customFormat="1" x14ac:dyDescent="0.25"/>
    <row r="112349" customFormat="1" x14ac:dyDescent="0.25"/>
    <row r="112350" customFormat="1" x14ac:dyDescent="0.25"/>
    <row r="112351" customFormat="1" x14ac:dyDescent="0.25"/>
    <row r="112352" customFormat="1" x14ac:dyDescent="0.25"/>
    <row r="112353" customFormat="1" x14ac:dyDescent="0.25"/>
    <row r="112354" customFormat="1" x14ac:dyDescent="0.25"/>
    <row r="112355" customFormat="1" x14ac:dyDescent="0.25"/>
    <row r="112356" customFormat="1" x14ac:dyDescent="0.25"/>
    <row r="112357" customFormat="1" x14ac:dyDescent="0.25"/>
    <row r="112358" customFormat="1" x14ac:dyDescent="0.25"/>
    <row r="112359" customFormat="1" x14ac:dyDescent="0.25"/>
    <row r="112360" customFormat="1" x14ac:dyDescent="0.25"/>
    <row r="112361" customFormat="1" x14ac:dyDescent="0.25"/>
    <row r="112362" customFormat="1" x14ac:dyDescent="0.25"/>
    <row r="112363" customFormat="1" x14ac:dyDescent="0.25"/>
    <row r="112364" customFormat="1" x14ac:dyDescent="0.25"/>
    <row r="112365" customFormat="1" x14ac:dyDescent="0.25"/>
    <row r="112366" customFormat="1" x14ac:dyDescent="0.25"/>
    <row r="112367" customFormat="1" x14ac:dyDescent="0.25"/>
    <row r="112368" customFormat="1" x14ac:dyDescent="0.25"/>
    <row r="112369" customFormat="1" x14ac:dyDescent="0.25"/>
    <row r="112370" customFormat="1" x14ac:dyDescent="0.25"/>
    <row r="112371" customFormat="1" x14ac:dyDescent="0.25"/>
    <row r="112372" customFormat="1" x14ac:dyDescent="0.25"/>
    <row r="112373" customFormat="1" x14ac:dyDescent="0.25"/>
    <row r="112374" customFormat="1" x14ac:dyDescent="0.25"/>
    <row r="112375" customFormat="1" x14ac:dyDescent="0.25"/>
    <row r="112376" customFormat="1" x14ac:dyDescent="0.25"/>
    <row r="112377" customFormat="1" x14ac:dyDescent="0.25"/>
    <row r="112378" customFormat="1" x14ac:dyDescent="0.25"/>
    <row r="112379" customFormat="1" x14ac:dyDescent="0.25"/>
    <row r="112380" customFormat="1" x14ac:dyDescent="0.25"/>
    <row r="112381" customFormat="1" x14ac:dyDescent="0.25"/>
    <row r="112382" customFormat="1" x14ac:dyDescent="0.25"/>
    <row r="112383" customFormat="1" x14ac:dyDescent="0.25"/>
    <row r="112384" customFormat="1" x14ac:dyDescent="0.25"/>
    <row r="112385" customFormat="1" x14ac:dyDescent="0.25"/>
    <row r="112386" customFormat="1" x14ac:dyDescent="0.25"/>
    <row r="112387" customFormat="1" x14ac:dyDescent="0.25"/>
    <row r="112388" customFormat="1" x14ac:dyDescent="0.25"/>
    <row r="112389" customFormat="1" x14ac:dyDescent="0.25"/>
    <row r="112390" customFormat="1" x14ac:dyDescent="0.25"/>
    <row r="112391" customFormat="1" x14ac:dyDescent="0.25"/>
    <row r="112392" customFormat="1" x14ac:dyDescent="0.25"/>
    <row r="112393" customFormat="1" x14ac:dyDescent="0.25"/>
    <row r="112394" customFormat="1" x14ac:dyDescent="0.25"/>
    <row r="112395" customFormat="1" x14ac:dyDescent="0.25"/>
    <row r="112396" customFormat="1" x14ac:dyDescent="0.25"/>
    <row r="112397" customFormat="1" x14ac:dyDescent="0.25"/>
    <row r="112398" customFormat="1" x14ac:dyDescent="0.25"/>
    <row r="112399" customFormat="1" x14ac:dyDescent="0.25"/>
    <row r="112400" customFormat="1" x14ac:dyDescent="0.25"/>
    <row r="112401" customFormat="1" x14ac:dyDescent="0.25"/>
    <row r="112402" customFormat="1" x14ac:dyDescent="0.25"/>
    <row r="112403" customFormat="1" x14ac:dyDescent="0.25"/>
    <row r="112404" customFormat="1" x14ac:dyDescent="0.25"/>
    <row r="112405" customFormat="1" x14ac:dyDescent="0.25"/>
    <row r="112406" customFormat="1" x14ac:dyDescent="0.25"/>
    <row r="112407" customFormat="1" x14ac:dyDescent="0.25"/>
    <row r="112408" customFormat="1" x14ac:dyDescent="0.25"/>
    <row r="112409" customFormat="1" x14ac:dyDescent="0.25"/>
    <row r="112410" customFormat="1" x14ac:dyDescent="0.25"/>
    <row r="112411" customFormat="1" x14ac:dyDescent="0.25"/>
    <row r="112412" customFormat="1" x14ac:dyDescent="0.25"/>
    <row r="112413" customFormat="1" x14ac:dyDescent="0.25"/>
    <row r="112414" customFormat="1" x14ac:dyDescent="0.25"/>
    <row r="112415" customFormat="1" x14ac:dyDescent="0.25"/>
    <row r="112416" customFormat="1" x14ac:dyDescent="0.25"/>
    <row r="112417" customFormat="1" x14ac:dyDescent="0.25"/>
    <row r="112418" customFormat="1" x14ac:dyDescent="0.25"/>
    <row r="112419" customFormat="1" x14ac:dyDescent="0.25"/>
    <row r="112420" customFormat="1" x14ac:dyDescent="0.25"/>
    <row r="112421" customFormat="1" x14ac:dyDescent="0.25"/>
    <row r="112422" customFormat="1" x14ac:dyDescent="0.25"/>
    <row r="112423" customFormat="1" x14ac:dyDescent="0.25"/>
    <row r="112424" customFormat="1" x14ac:dyDescent="0.25"/>
    <row r="112425" customFormat="1" x14ac:dyDescent="0.25"/>
    <row r="112426" customFormat="1" x14ac:dyDescent="0.25"/>
    <row r="112427" customFormat="1" x14ac:dyDescent="0.25"/>
    <row r="112428" customFormat="1" x14ac:dyDescent="0.25"/>
    <row r="112429" customFormat="1" x14ac:dyDescent="0.25"/>
    <row r="112430" customFormat="1" x14ac:dyDescent="0.25"/>
    <row r="112431" customFormat="1" x14ac:dyDescent="0.25"/>
    <row r="112432" customFormat="1" x14ac:dyDescent="0.25"/>
    <row r="112433" customFormat="1" x14ac:dyDescent="0.25"/>
    <row r="112434" customFormat="1" x14ac:dyDescent="0.25"/>
    <row r="112435" customFormat="1" x14ac:dyDescent="0.25"/>
    <row r="112436" customFormat="1" x14ac:dyDescent="0.25"/>
    <row r="112437" customFormat="1" x14ac:dyDescent="0.25"/>
    <row r="112438" customFormat="1" x14ac:dyDescent="0.25"/>
    <row r="112439" customFormat="1" x14ac:dyDescent="0.25"/>
    <row r="112440" customFormat="1" x14ac:dyDescent="0.25"/>
    <row r="112441" customFormat="1" x14ac:dyDescent="0.25"/>
    <row r="112442" customFormat="1" x14ac:dyDescent="0.25"/>
    <row r="112443" customFormat="1" x14ac:dyDescent="0.25"/>
    <row r="112444" customFormat="1" x14ac:dyDescent="0.25"/>
    <row r="112445" customFormat="1" x14ac:dyDescent="0.25"/>
    <row r="112446" customFormat="1" x14ac:dyDescent="0.25"/>
    <row r="112447" customFormat="1" x14ac:dyDescent="0.25"/>
    <row r="112448" customFormat="1" x14ac:dyDescent="0.25"/>
    <row r="112449" customFormat="1" x14ac:dyDescent="0.25"/>
    <row r="112450" customFormat="1" x14ac:dyDescent="0.25"/>
    <row r="112451" customFormat="1" x14ac:dyDescent="0.25"/>
    <row r="112452" customFormat="1" x14ac:dyDescent="0.25"/>
    <row r="112453" customFormat="1" x14ac:dyDescent="0.25"/>
    <row r="112454" customFormat="1" x14ac:dyDescent="0.25"/>
    <row r="112455" customFormat="1" x14ac:dyDescent="0.25"/>
    <row r="112456" customFormat="1" x14ac:dyDescent="0.25"/>
    <row r="112457" customFormat="1" x14ac:dyDescent="0.25"/>
    <row r="112458" customFormat="1" x14ac:dyDescent="0.25"/>
    <row r="112459" customFormat="1" x14ac:dyDescent="0.25"/>
    <row r="112460" customFormat="1" x14ac:dyDescent="0.25"/>
    <row r="112461" customFormat="1" x14ac:dyDescent="0.25"/>
    <row r="112462" customFormat="1" x14ac:dyDescent="0.25"/>
    <row r="112463" customFormat="1" x14ac:dyDescent="0.25"/>
    <row r="112464" customFormat="1" x14ac:dyDescent="0.25"/>
    <row r="112465" customFormat="1" x14ac:dyDescent="0.25"/>
    <row r="112466" customFormat="1" x14ac:dyDescent="0.25"/>
    <row r="112467" customFormat="1" x14ac:dyDescent="0.25"/>
    <row r="112468" customFormat="1" x14ac:dyDescent="0.25"/>
    <row r="112469" customFormat="1" x14ac:dyDescent="0.25"/>
    <row r="112470" customFormat="1" x14ac:dyDescent="0.25"/>
    <row r="112471" customFormat="1" x14ac:dyDescent="0.25"/>
    <row r="112472" customFormat="1" x14ac:dyDescent="0.25"/>
    <row r="112473" customFormat="1" x14ac:dyDescent="0.25"/>
    <row r="112474" customFormat="1" x14ac:dyDescent="0.25"/>
    <row r="112475" customFormat="1" x14ac:dyDescent="0.25"/>
    <row r="112476" customFormat="1" x14ac:dyDescent="0.25"/>
    <row r="112477" customFormat="1" x14ac:dyDescent="0.25"/>
    <row r="112478" customFormat="1" x14ac:dyDescent="0.25"/>
    <row r="112479" customFormat="1" x14ac:dyDescent="0.25"/>
    <row r="112480" customFormat="1" x14ac:dyDescent="0.25"/>
    <row r="112481" customFormat="1" x14ac:dyDescent="0.25"/>
    <row r="112482" customFormat="1" x14ac:dyDescent="0.25"/>
    <row r="112483" customFormat="1" x14ac:dyDescent="0.25"/>
    <row r="112484" customFormat="1" x14ac:dyDescent="0.25"/>
    <row r="112485" customFormat="1" x14ac:dyDescent="0.25"/>
    <row r="112486" customFormat="1" x14ac:dyDescent="0.25"/>
    <row r="112487" customFormat="1" x14ac:dyDescent="0.25"/>
    <row r="112488" customFormat="1" x14ac:dyDescent="0.25"/>
    <row r="112489" customFormat="1" x14ac:dyDescent="0.25"/>
    <row r="112490" customFormat="1" x14ac:dyDescent="0.25"/>
    <row r="112491" customFormat="1" x14ac:dyDescent="0.25"/>
    <row r="112492" customFormat="1" x14ac:dyDescent="0.25"/>
    <row r="112493" customFormat="1" x14ac:dyDescent="0.25"/>
    <row r="112494" customFormat="1" x14ac:dyDescent="0.25"/>
    <row r="112495" customFormat="1" x14ac:dyDescent="0.25"/>
    <row r="112496" customFormat="1" x14ac:dyDescent="0.25"/>
    <row r="112497" customFormat="1" x14ac:dyDescent="0.25"/>
    <row r="112498" customFormat="1" x14ac:dyDescent="0.25"/>
    <row r="112499" customFormat="1" x14ac:dyDescent="0.25"/>
    <row r="112500" customFormat="1" x14ac:dyDescent="0.25"/>
    <row r="112501" customFormat="1" x14ac:dyDescent="0.25"/>
    <row r="112502" customFormat="1" x14ac:dyDescent="0.25"/>
    <row r="112503" customFormat="1" x14ac:dyDescent="0.25"/>
    <row r="112504" customFormat="1" x14ac:dyDescent="0.25"/>
    <row r="112505" customFormat="1" x14ac:dyDescent="0.25"/>
    <row r="112506" customFormat="1" x14ac:dyDescent="0.25"/>
    <row r="112507" customFormat="1" x14ac:dyDescent="0.25"/>
    <row r="112508" customFormat="1" x14ac:dyDescent="0.25"/>
    <row r="112509" customFormat="1" x14ac:dyDescent="0.25"/>
    <row r="112510" customFormat="1" x14ac:dyDescent="0.25"/>
    <row r="112511" customFormat="1" x14ac:dyDescent="0.25"/>
    <row r="112512" customFormat="1" x14ac:dyDescent="0.25"/>
    <row r="112513" customFormat="1" x14ac:dyDescent="0.25"/>
    <row r="112514" customFormat="1" x14ac:dyDescent="0.25"/>
    <row r="112515" customFormat="1" x14ac:dyDescent="0.25"/>
    <row r="112516" customFormat="1" x14ac:dyDescent="0.25"/>
    <row r="112517" customFormat="1" x14ac:dyDescent="0.25"/>
    <row r="112518" customFormat="1" x14ac:dyDescent="0.25"/>
    <row r="112519" customFormat="1" x14ac:dyDescent="0.25"/>
    <row r="112520" customFormat="1" x14ac:dyDescent="0.25"/>
    <row r="112521" customFormat="1" x14ac:dyDescent="0.25"/>
    <row r="112522" customFormat="1" x14ac:dyDescent="0.25"/>
    <row r="112523" customFormat="1" x14ac:dyDescent="0.25"/>
    <row r="112524" customFormat="1" x14ac:dyDescent="0.25"/>
    <row r="112525" customFormat="1" x14ac:dyDescent="0.25"/>
    <row r="112526" customFormat="1" x14ac:dyDescent="0.25"/>
    <row r="112527" customFormat="1" x14ac:dyDescent="0.25"/>
    <row r="112528" customFormat="1" x14ac:dyDescent="0.25"/>
    <row r="112529" customFormat="1" x14ac:dyDescent="0.25"/>
    <row r="112530" customFormat="1" x14ac:dyDescent="0.25"/>
    <row r="112531" customFormat="1" x14ac:dyDescent="0.25"/>
    <row r="112532" customFormat="1" x14ac:dyDescent="0.25"/>
    <row r="112533" customFormat="1" x14ac:dyDescent="0.25"/>
    <row r="112534" customFormat="1" x14ac:dyDescent="0.25"/>
    <row r="112535" customFormat="1" x14ac:dyDescent="0.25"/>
    <row r="112536" customFormat="1" x14ac:dyDescent="0.25"/>
    <row r="112537" customFormat="1" x14ac:dyDescent="0.25"/>
    <row r="112538" customFormat="1" x14ac:dyDescent="0.25"/>
    <row r="112539" customFormat="1" x14ac:dyDescent="0.25"/>
    <row r="112540" customFormat="1" x14ac:dyDescent="0.25"/>
    <row r="112541" customFormat="1" x14ac:dyDescent="0.25"/>
    <row r="112542" customFormat="1" x14ac:dyDescent="0.25"/>
    <row r="112543" customFormat="1" x14ac:dyDescent="0.25"/>
    <row r="112544" customFormat="1" x14ac:dyDescent="0.25"/>
    <row r="112545" customFormat="1" x14ac:dyDescent="0.25"/>
    <row r="112546" customFormat="1" x14ac:dyDescent="0.25"/>
    <row r="112547" customFormat="1" x14ac:dyDescent="0.25"/>
    <row r="112548" customFormat="1" x14ac:dyDescent="0.25"/>
    <row r="112549" customFormat="1" x14ac:dyDescent="0.25"/>
    <row r="112550" customFormat="1" x14ac:dyDescent="0.25"/>
    <row r="112551" customFormat="1" x14ac:dyDescent="0.25"/>
    <row r="112552" customFormat="1" x14ac:dyDescent="0.25"/>
    <row r="112553" customFormat="1" x14ac:dyDescent="0.25"/>
    <row r="112554" customFormat="1" x14ac:dyDescent="0.25"/>
    <row r="112555" customFormat="1" x14ac:dyDescent="0.25"/>
    <row r="112556" customFormat="1" x14ac:dyDescent="0.25"/>
    <row r="112557" customFormat="1" x14ac:dyDescent="0.25"/>
    <row r="112558" customFormat="1" x14ac:dyDescent="0.25"/>
    <row r="112559" customFormat="1" x14ac:dyDescent="0.25"/>
    <row r="112560" customFormat="1" x14ac:dyDescent="0.25"/>
    <row r="112561" customFormat="1" x14ac:dyDescent="0.25"/>
    <row r="112562" customFormat="1" x14ac:dyDescent="0.25"/>
    <row r="112563" customFormat="1" x14ac:dyDescent="0.25"/>
    <row r="112564" customFormat="1" x14ac:dyDescent="0.25"/>
    <row r="112565" customFormat="1" x14ac:dyDescent="0.25"/>
    <row r="112566" customFormat="1" x14ac:dyDescent="0.25"/>
    <row r="112567" customFormat="1" x14ac:dyDescent="0.25"/>
    <row r="112568" customFormat="1" x14ac:dyDescent="0.25"/>
    <row r="112569" customFormat="1" x14ac:dyDescent="0.25"/>
    <row r="112570" customFormat="1" x14ac:dyDescent="0.25"/>
    <row r="112571" customFormat="1" x14ac:dyDescent="0.25"/>
    <row r="112572" customFormat="1" x14ac:dyDescent="0.25"/>
    <row r="112573" customFormat="1" x14ac:dyDescent="0.25"/>
    <row r="112574" customFormat="1" x14ac:dyDescent="0.25"/>
    <row r="112575" customFormat="1" x14ac:dyDescent="0.25"/>
    <row r="112576" customFormat="1" x14ac:dyDescent="0.25"/>
    <row r="112577" customFormat="1" x14ac:dyDescent="0.25"/>
    <row r="112578" customFormat="1" x14ac:dyDescent="0.25"/>
    <row r="112579" customFormat="1" x14ac:dyDescent="0.25"/>
    <row r="112580" customFormat="1" x14ac:dyDescent="0.25"/>
    <row r="112581" customFormat="1" x14ac:dyDescent="0.25"/>
    <row r="112582" customFormat="1" x14ac:dyDescent="0.25"/>
    <row r="112583" customFormat="1" x14ac:dyDescent="0.25"/>
    <row r="112584" customFormat="1" x14ac:dyDescent="0.25"/>
    <row r="112585" customFormat="1" x14ac:dyDescent="0.25"/>
    <row r="112586" customFormat="1" x14ac:dyDescent="0.25"/>
    <row r="112587" customFormat="1" x14ac:dyDescent="0.25"/>
    <row r="112588" customFormat="1" x14ac:dyDescent="0.25"/>
    <row r="112589" customFormat="1" x14ac:dyDescent="0.25"/>
    <row r="112590" customFormat="1" x14ac:dyDescent="0.25"/>
    <row r="112591" customFormat="1" x14ac:dyDescent="0.25"/>
    <row r="112592" customFormat="1" x14ac:dyDescent="0.25"/>
    <row r="112593" customFormat="1" x14ac:dyDescent="0.25"/>
    <row r="112594" customFormat="1" x14ac:dyDescent="0.25"/>
    <row r="112595" customFormat="1" x14ac:dyDescent="0.25"/>
    <row r="112596" customFormat="1" x14ac:dyDescent="0.25"/>
    <row r="112597" customFormat="1" x14ac:dyDescent="0.25"/>
    <row r="112598" customFormat="1" x14ac:dyDescent="0.25"/>
    <row r="112599" customFormat="1" x14ac:dyDescent="0.25"/>
    <row r="112600" customFormat="1" x14ac:dyDescent="0.25"/>
    <row r="112601" customFormat="1" x14ac:dyDescent="0.25"/>
    <row r="112602" customFormat="1" x14ac:dyDescent="0.25"/>
    <row r="112603" customFormat="1" x14ac:dyDescent="0.25"/>
    <row r="112604" customFormat="1" x14ac:dyDescent="0.25"/>
    <row r="112605" customFormat="1" x14ac:dyDescent="0.25"/>
    <row r="112606" customFormat="1" x14ac:dyDescent="0.25"/>
    <row r="112607" customFormat="1" x14ac:dyDescent="0.25"/>
    <row r="112608" customFormat="1" x14ac:dyDescent="0.25"/>
    <row r="112609" customFormat="1" x14ac:dyDescent="0.25"/>
    <row r="112610" customFormat="1" x14ac:dyDescent="0.25"/>
    <row r="112611" customFormat="1" x14ac:dyDescent="0.25"/>
    <row r="112612" customFormat="1" x14ac:dyDescent="0.25"/>
    <row r="112613" customFormat="1" x14ac:dyDescent="0.25"/>
    <row r="112614" customFormat="1" x14ac:dyDescent="0.25"/>
    <row r="112615" customFormat="1" x14ac:dyDescent="0.25"/>
    <row r="112616" customFormat="1" x14ac:dyDescent="0.25"/>
    <row r="112617" customFormat="1" x14ac:dyDescent="0.25"/>
    <row r="112618" customFormat="1" x14ac:dyDescent="0.25"/>
    <row r="112619" customFormat="1" x14ac:dyDescent="0.25"/>
    <row r="112620" customFormat="1" x14ac:dyDescent="0.25"/>
    <row r="112621" customFormat="1" x14ac:dyDescent="0.25"/>
    <row r="112622" customFormat="1" x14ac:dyDescent="0.25"/>
    <row r="112623" customFormat="1" x14ac:dyDescent="0.25"/>
    <row r="112624" customFormat="1" x14ac:dyDescent="0.25"/>
    <row r="112625" customFormat="1" x14ac:dyDescent="0.25"/>
    <row r="112626" customFormat="1" x14ac:dyDescent="0.25"/>
    <row r="112627" customFormat="1" x14ac:dyDescent="0.25"/>
    <row r="112628" customFormat="1" x14ac:dyDescent="0.25"/>
    <row r="112629" customFormat="1" x14ac:dyDescent="0.25"/>
    <row r="112630" customFormat="1" x14ac:dyDescent="0.25"/>
    <row r="112631" customFormat="1" x14ac:dyDescent="0.25"/>
    <row r="112632" customFormat="1" x14ac:dyDescent="0.25"/>
    <row r="112633" customFormat="1" x14ac:dyDescent="0.25"/>
    <row r="112634" customFormat="1" x14ac:dyDescent="0.25"/>
    <row r="112635" customFormat="1" x14ac:dyDescent="0.25"/>
    <row r="112636" customFormat="1" x14ac:dyDescent="0.25"/>
    <row r="112637" customFormat="1" x14ac:dyDescent="0.25"/>
    <row r="112638" customFormat="1" x14ac:dyDescent="0.25"/>
    <row r="112639" customFormat="1" x14ac:dyDescent="0.25"/>
    <row r="112640" customFormat="1" x14ac:dyDescent="0.25"/>
    <row r="112641" customFormat="1" x14ac:dyDescent="0.25"/>
    <row r="112642" customFormat="1" x14ac:dyDescent="0.25"/>
    <row r="112643" customFormat="1" x14ac:dyDescent="0.25"/>
    <row r="112644" customFormat="1" x14ac:dyDescent="0.25"/>
    <row r="112645" customFormat="1" x14ac:dyDescent="0.25"/>
    <row r="112646" customFormat="1" x14ac:dyDescent="0.25"/>
    <row r="112647" customFormat="1" x14ac:dyDescent="0.25"/>
    <row r="112648" customFormat="1" x14ac:dyDescent="0.25"/>
    <row r="112649" customFormat="1" x14ac:dyDescent="0.25"/>
    <row r="112650" customFormat="1" x14ac:dyDescent="0.25"/>
    <row r="112651" customFormat="1" x14ac:dyDescent="0.25"/>
    <row r="112652" customFormat="1" x14ac:dyDescent="0.25"/>
    <row r="112653" customFormat="1" x14ac:dyDescent="0.25"/>
    <row r="112654" customFormat="1" x14ac:dyDescent="0.25"/>
    <row r="112655" customFormat="1" x14ac:dyDescent="0.25"/>
    <row r="112656" customFormat="1" x14ac:dyDescent="0.25"/>
    <row r="112657" customFormat="1" x14ac:dyDescent="0.25"/>
    <row r="112658" customFormat="1" x14ac:dyDescent="0.25"/>
    <row r="112659" customFormat="1" x14ac:dyDescent="0.25"/>
    <row r="112660" customFormat="1" x14ac:dyDescent="0.25"/>
    <row r="112661" customFormat="1" x14ac:dyDescent="0.25"/>
    <row r="112662" customFormat="1" x14ac:dyDescent="0.25"/>
    <row r="112663" customFormat="1" x14ac:dyDescent="0.25"/>
    <row r="112664" customFormat="1" x14ac:dyDescent="0.25"/>
    <row r="112665" customFormat="1" x14ac:dyDescent="0.25"/>
    <row r="112666" customFormat="1" x14ac:dyDescent="0.25"/>
    <row r="112667" customFormat="1" x14ac:dyDescent="0.25"/>
    <row r="112668" customFormat="1" x14ac:dyDescent="0.25"/>
    <row r="112669" customFormat="1" x14ac:dyDescent="0.25"/>
    <row r="112670" customFormat="1" x14ac:dyDescent="0.25"/>
    <row r="112671" customFormat="1" x14ac:dyDescent="0.25"/>
    <row r="112672" customFormat="1" x14ac:dyDescent="0.25"/>
    <row r="112673" customFormat="1" x14ac:dyDescent="0.25"/>
    <row r="112674" customFormat="1" x14ac:dyDescent="0.25"/>
    <row r="112675" customFormat="1" x14ac:dyDescent="0.25"/>
    <row r="112676" customFormat="1" x14ac:dyDescent="0.25"/>
    <row r="112677" customFormat="1" x14ac:dyDescent="0.25"/>
    <row r="112678" customFormat="1" x14ac:dyDescent="0.25"/>
    <row r="112679" customFormat="1" x14ac:dyDescent="0.25"/>
    <row r="112680" customFormat="1" x14ac:dyDescent="0.25"/>
    <row r="112681" customFormat="1" x14ac:dyDescent="0.25"/>
    <row r="112682" customFormat="1" x14ac:dyDescent="0.25"/>
    <row r="112683" customFormat="1" x14ac:dyDescent="0.25"/>
    <row r="112684" customFormat="1" x14ac:dyDescent="0.25"/>
    <row r="112685" customFormat="1" x14ac:dyDescent="0.25"/>
    <row r="112686" customFormat="1" x14ac:dyDescent="0.25"/>
    <row r="112687" customFormat="1" x14ac:dyDescent="0.25"/>
    <row r="112688" customFormat="1" x14ac:dyDescent="0.25"/>
    <row r="112689" customFormat="1" x14ac:dyDescent="0.25"/>
    <row r="112690" customFormat="1" x14ac:dyDescent="0.25"/>
    <row r="112691" customFormat="1" x14ac:dyDescent="0.25"/>
    <row r="112692" customFormat="1" x14ac:dyDescent="0.25"/>
    <row r="112693" customFormat="1" x14ac:dyDescent="0.25"/>
    <row r="112694" customFormat="1" x14ac:dyDescent="0.25"/>
    <row r="112695" customFormat="1" x14ac:dyDescent="0.25"/>
    <row r="112696" customFormat="1" x14ac:dyDescent="0.25"/>
    <row r="112697" customFormat="1" x14ac:dyDescent="0.25"/>
    <row r="112698" customFormat="1" x14ac:dyDescent="0.25"/>
    <row r="112699" customFormat="1" x14ac:dyDescent="0.25"/>
    <row r="112700" customFormat="1" x14ac:dyDescent="0.25"/>
    <row r="112701" customFormat="1" x14ac:dyDescent="0.25"/>
    <row r="112702" customFormat="1" x14ac:dyDescent="0.25"/>
    <row r="112703" customFormat="1" x14ac:dyDescent="0.25"/>
    <row r="112704" customFormat="1" x14ac:dyDescent="0.25"/>
    <row r="112705" customFormat="1" x14ac:dyDescent="0.25"/>
    <row r="112706" customFormat="1" x14ac:dyDescent="0.25"/>
    <row r="112707" customFormat="1" x14ac:dyDescent="0.25"/>
    <row r="112708" customFormat="1" x14ac:dyDescent="0.25"/>
    <row r="112709" customFormat="1" x14ac:dyDescent="0.25"/>
    <row r="112710" customFormat="1" x14ac:dyDescent="0.25"/>
    <row r="112711" customFormat="1" x14ac:dyDescent="0.25"/>
    <row r="112712" customFormat="1" x14ac:dyDescent="0.25"/>
    <row r="112713" customFormat="1" x14ac:dyDescent="0.25"/>
    <row r="112714" customFormat="1" x14ac:dyDescent="0.25"/>
    <row r="112715" customFormat="1" x14ac:dyDescent="0.25"/>
    <row r="112716" customFormat="1" x14ac:dyDescent="0.25"/>
    <row r="112717" customFormat="1" x14ac:dyDescent="0.25"/>
    <row r="112718" customFormat="1" x14ac:dyDescent="0.25"/>
    <row r="112719" customFormat="1" x14ac:dyDescent="0.25"/>
    <row r="112720" customFormat="1" x14ac:dyDescent="0.25"/>
    <row r="112721" customFormat="1" x14ac:dyDescent="0.25"/>
    <row r="112722" customFormat="1" x14ac:dyDescent="0.25"/>
    <row r="112723" customFormat="1" x14ac:dyDescent="0.25"/>
    <row r="112724" customFormat="1" x14ac:dyDescent="0.25"/>
    <row r="112725" customFormat="1" x14ac:dyDescent="0.25"/>
    <row r="112726" customFormat="1" x14ac:dyDescent="0.25"/>
    <row r="112727" customFormat="1" x14ac:dyDescent="0.25"/>
    <row r="112728" customFormat="1" x14ac:dyDescent="0.25"/>
    <row r="112729" customFormat="1" x14ac:dyDescent="0.25"/>
    <row r="112730" customFormat="1" x14ac:dyDescent="0.25"/>
    <row r="112731" customFormat="1" x14ac:dyDescent="0.25"/>
    <row r="112732" customFormat="1" x14ac:dyDescent="0.25"/>
    <row r="112733" customFormat="1" x14ac:dyDescent="0.25"/>
    <row r="112734" customFormat="1" x14ac:dyDescent="0.25"/>
    <row r="112735" customFormat="1" x14ac:dyDescent="0.25"/>
    <row r="112736" customFormat="1" x14ac:dyDescent="0.25"/>
    <row r="112737" customFormat="1" x14ac:dyDescent="0.25"/>
    <row r="112738" customFormat="1" x14ac:dyDescent="0.25"/>
    <row r="112739" customFormat="1" x14ac:dyDescent="0.25"/>
    <row r="112740" customFormat="1" x14ac:dyDescent="0.25"/>
    <row r="112741" customFormat="1" x14ac:dyDescent="0.25"/>
    <row r="112742" customFormat="1" x14ac:dyDescent="0.25"/>
    <row r="112743" customFormat="1" x14ac:dyDescent="0.25"/>
    <row r="112744" customFormat="1" x14ac:dyDescent="0.25"/>
    <row r="112745" customFormat="1" x14ac:dyDescent="0.25"/>
    <row r="112746" customFormat="1" x14ac:dyDescent="0.25"/>
    <row r="112747" customFormat="1" x14ac:dyDescent="0.25"/>
    <row r="112748" customFormat="1" x14ac:dyDescent="0.25"/>
    <row r="112749" customFormat="1" x14ac:dyDescent="0.25"/>
    <row r="112750" customFormat="1" x14ac:dyDescent="0.25"/>
    <row r="112751" customFormat="1" x14ac:dyDescent="0.25"/>
    <row r="112752" customFormat="1" x14ac:dyDescent="0.25"/>
    <row r="112753" customFormat="1" x14ac:dyDescent="0.25"/>
    <row r="112754" customFormat="1" x14ac:dyDescent="0.25"/>
    <row r="112755" customFormat="1" x14ac:dyDescent="0.25"/>
    <row r="112756" customFormat="1" x14ac:dyDescent="0.25"/>
    <row r="112757" customFormat="1" x14ac:dyDescent="0.25"/>
    <row r="112758" customFormat="1" x14ac:dyDescent="0.25"/>
    <row r="112759" customFormat="1" x14ac:dyDescent="0.25"/>
    <row r="112760" customFormat="1" x14ac:dyDescent="0.25"/>
    <row r="112761" customFormat="1" x14ac:dyDescent="0.25"/>
    <row r="112762" customFormat="1" x14ac:dyDescent="0.25"/>
    <row r="112763" customFormat="1" x14ac:dyDescent="0.25"/>
    <row r="112764" customFormat="1" x14ac:dyDescent="0.25"/>
    <row r="112765" customFormat="1" x14ac:dyDescent="0.25"/>
    <row r="112766" customFormat="1" x14ac:dyDescent="0.25"/>
    <row r="112767" customFormat="1" x14ac:dyDescent="0.25"/>
    <row r="112768" customFormat="1" x14ac:dyDescent="0.25"/>
    <row r="112769" customFormat="1" x14ac:dyDescent="0.25"/>
    <row r="112770" customFormat="1" x14ac:dyDescent="0.25"/>
    <row r="112771" customFormat="1" x14ac:dyDescent="0.25"/>
    <row r="112772" customFormat="1" x14ac:dyDescent="0.25"/>
    <row r="112773" customFormat="1" x14ac:dyDescent="0.25"/>
    <row r="112774" customFormat="1" x14ac:dyDescent="0.25"/>
    <row r="112775" customFormat="1" x14ac:dyDescent="0.25"/>
    <row r="112776" customFormat="1" x14ac:dyDescent="0.25"/>
    <row r="112777" customFormat="1" x14ac:dyDescent="0.25"/>
    <row r="112778" customFormat="1" x14ac:dyDescent="0.25"/>
    <row r="112779" customFormat="1" x14ac:dyDescent="0.25"/>
    <row r="112780" customFormat="1" x14ac:dyDescent="0.25"/>
    <row r="112781" customFormat="1" x14ac:dyDescent="0.25"/>
    <row r="112782" customFormat="1" x14ac:dyDescent="0.25"/>
    <row r="112783" customFormat="1" x14ac:dyDescent="0.25"/>
    <row r="112784" customFormat="1" x14ac:dyDescent="0.25"/>
    <row r="112785" customFormat="1" x14ac:dyDescent="0.25"/>
    <row r="112786" customFormat="1" x14ac:dyDescent="0.25"/>
    <row r="112787" customFormat="1" x14ac:dyDescent="0.25"/>
    <row r="112788" customFormat="1" x14ac:dyDescent="0.25"/>
    <row r="112789" customFormat="1" x14ac:dyDescent="0.25"/>
    <row r="112790" customFormat="1" x14ac:dyDescent="0.25"/>
    <row r="112791" customFormat="1" x14ac:dyDescent="0.25"/>
    <row r="112792" customFormat="1" x14ac:dyDescent="0.25"/>
    <row r="112793" customFormat="1" x14ac:dyDescent="0.25"/>
    <row r="112794" customFormat="1" x14ac:dyDescent="0.25"/>
    <row r="112795" customFormat="1" x14ac:dyDescent="0.25"/>
    <row r="112796" customFormat="1" x14ac:dyDescent="0.25"/>
    <row r="112797" customFormat="1" x14ac:dyDescent="0.25"/>
    <row r="112798" customFormat="1" x14ac:dyDescent="0.25"/>
    <row r="112799" customFormat="1" x14ac:dyDescent="0.25"/>
    <row r="112800" customFormat="1" x14ac:dyDescent="0.25"/>
    <row r="112801" customFormat="1" x14ac:dyDescent="0.25"/>
    <row r="112802" customFormat="1" x14ac:dyDescent="0.25"/>
    <row r="112803" customFormat="1" x14ac:dyDescent="0.25"/>
    <row r="112804" customFormat="1" x14ac:dyDescent="0.25"/>
    <row r="112805" customFormat="1" x14ac:dyDescent="0.25"/>
    <row r="112806" customFormat="1" x14ac:dyDescent="0.25"/>
    <row r="112807" customFormat="1" x14ac:dyDescent="0.25"/>
    <row r="112808" customFormat="1" x14ac:dyDescent="0.25"/>
    <row r="112809" customFormat="1" x14ac:dyDescent="0.25"/>
    <row r="112810" customFormat="1" x14ac:dyDescent="0.25"/>
    <row r="112811" customFormat="1" x14ac:dyDescent="0.25"/>
    <row r="112812" customFormat="1" x14ac:dyDescent="0.25"/>
    <row r="112813" customFormat="1" x14ac:dyDescent="0.25"/>
    <row r="112814" customFormat="1" x14ac:dyDescent="0.25"/>
    <row r="112815" customFormat="1" x14ac:dyDescent="0.25"/>
    <row r="112816" customFormat="1" x14ac:dyDescent="0.25"/>
    <row r="112817" customFormat="1" x14ac:dyDescent="0.25"/>
    <row r="112818" customFormat="1" x14ac:dyDescent="0.25"/>
    <row r="112819" customFormat="1" x14ac:dyDescent="0.25"/>
    <row r="112820" customFormat="1" x14ac:dyDescent="0.25"/>
    <row r="112821" customFormat="1" x14ac:dyDescent="0.25"/>
    <row r="112822" customFormat="1" x14ac:dyDescent="0.25"/>
    <row r="112823" customFormat="1" x14ac:dyDescent="0.25"/>
    <row r="112824" customFormat="1" x14ac:dyDescent="0.25"/>
    <row r="112825" customFormat="1" x14ac:dyDescent="0.25"/>
    <row r="112826" customFormat="1" x14ac:dyDescent="0.25"/>
    <row r="112827" customFormat="1" x14ac:dyDescent="0.25"/>
    <row r="112828" customFormat="1" x14ac:dyDescent="0.25"/>
    <row r="112829" customFormat="1" x14ac:dyDescent="0.25"/>
    <row r="112830" customFormat="1" x14ac:dyDescent="0.25"/>
    <row r="112831" customFormat="1" x14ac:dyDescent="0.25"/>
    <row r="112832" customFormat="1" x14ac:dyDescent="0.25"/>
    <row r="112833" customFormat="1" x14ac:dyDescent="0.25"/>
    <row r="112834" customFormat="1" x14ac:dyDescent="0.25"/>
    <row r="112835" customFormat="1" x14ac:dyDescent="0.25"/>
    <row r="112836" customFormat="1" x14ac:dyDescent="0.25"/>
    <row r="112837" customFormat="1" x14ac:dyDescent="0.25"/>
    <row r="112838" customFormat="1" x14ac:dyDescent="0.25"/>
    <row r="112839" customFormat="1" x14ac:dyDescent="0.25"/>
    <row r="112840" customFormat="1" x14ac:dyDescent="0.25"/>
    <row r="112841" customFormat="1" x14ac:dyDescent="0.25"/>
    <row r="112842" customFormat="1" x14ac:dyDescent="0.25"/>
    <row r="112843" customFormat="1" x14ac:dyDescent="0.25"/>
    <row r="112844" customFormat="1" x14ac:dyDescent="0.25"/>
    <row r="112845" customFormat="1" x14ac:dyDescent="0.25"/>
    <row r="112846" customFormat="1" x14ac:dyDescent="0.25"/>
    <row r="112847" customFormat="1" x14ac:dyDescent="0.25"/>
    <row r="112848" customFormat="1" x14ac:dyDescent="0.25"/>
    <row r="112849" customFormat="1" x14ac:dyDescent="0.25"/>
    <row r="112850" customFormat="1" x14ac:dyDescent="0.25"/>
    <row r="112851" customFormat="1" x14ac:dyDescent="0.25"/>
    <row r="112852" customFormat="1" x14ac:dyDescent="0.25"/>
    <row r="112853" customFormat="1" x14ac:dyDescent="0.25"/>
    <row r="112854" customFormat="1" x14ac:dyDescent="0.25"/>
    <row r="112855" customFormat="1" x14ac:dyDescent="0.25"/>
    <row r="112856" customFormat="1" x14ac:dyDescent="0.25"/>
    <row r="112857" customFormat="1" x14ac:dyDescent="0.25"/>
    <row r="112858" customFormat="1" x14ac:dyDescent="0.25"/>
    <row r="112859" customFormat="1" x14ac:dyDescent="0.25"/>
    <row r="112860" customFormat="1" x14ac:dyDescent="0.25"/>
    <row r="112861" customFormat="1" x14ac:dyDescent="0.25"/>
    <row r="112862" customFormat="1" x14ac:dyDescent="0.25"/>
    <row r="112863" customFormat="1" x14ac:dyDescent="0.25"/>
    <row r="112864" customFormat="1" x14ac:dyDescent="0.25"/>
    <row r="112865" customFormat="1" x14ac:dyDescent="0.25"/>
    <row r="112866" customFormat="1" x14ac:dyDescent="0.25"/>
    <row r="112867" customFormat="1" x14ac:dyDescent="0.25"/>
    <row r="112868" customFormat="1" x14ac:dyDescent="0.25"/>
    <row r="112869" customFormat="1" x14ac:dyDescent="0.25"/>
    <row r="112870" customFormat="1" x14ac:dyDescent="0.25"/>
    <row r="112871" customFormat="1" x14ac:dyDescent="0.25"/>
    <row r="112872" customFormat="1" x14ac:dyDescent="0.25"/>
    <row r="112873" customFormat="1" x14ac:dyDescent="0.25"/>
    <row r="112874" customFormat="1" x14ac:dyDescent="0.25"/>
    <row r="112875" customFormat="1" x14ac:dyDescent="0.25"/>
    <row r="112876" customFormat="1" x14ac:dyDescent="0.25"/>
    <row r="112877" customFormat="1" x14ac:dyDescent="0.25"/>
    <row r="112878" customFormat="1" x14ac:dyDescent="0.25"/>
    <row r="112879" customFormat="1" x14ac:dyDescent="0.25"/>
    <row r="112880" customFormat="1" x14ac:dyDescent="0.25"/>
    <row r="112881" customFormat="1" x14ac:dyDescent="0.25"/>
    <row r="112882" customFormat="1" x14ac:dyDescent="0.25"/>
    <row r="112883" customFormat="1" x14ac:dyDescent="0.25"/>
    <row r="112884" customFormat="1" x14ac:dyDescent="0.25"/>
    <row r="112885" customFormat="1" x14ac:dyDescent="0.25"/>
    <row r="112886" customFormat="1" x14ac:dyDescent="0.25"/>
    <row r="112887" customFormat="1" x14ac:dyDescent="0.25"/>
    <row r="112888" customFormat="1" x14ac:dyDescent="0.25"/>
    <row r="112889" customFormat="1" x14ac:dyDescent="0.25"/>
    <row r="112890" customFormat="1" x14ac:dyDescent="0.25"/>
    <row r="112891" customFormat="1" x14ac:dyDescent="0.25"/>
    <row r="112892" customFormat="1" x14ac:dyDescent="0.25"/>
    <row r="112893" customFormat="1" x14ac:dyDescent="0.25"/>
    <row r="112894" customFormat="1" x14ac:dyDescent="0.25"/>
    <row r="112895" customFormat="1" x14ac:dyDescent="0.25"/>
    <row r="112896" customFormat="1" x14ac:dyDescent="0.25"/>
    <row r="112897" customFormat="1" x14ac:dyDescent="0.25"/>
    <row r="112898" customFormat="1" x14ac:dyDescent="0.25"/>
    <row r="112899" customFormat="1" x14ac:dyDescent="0.25"/>
    <row r="112900" customFormat="1" x14ac:dyDescent="0.25"/>
    <row r="112901" customFormat="1" x14ac:dyDescent="0.25"/>
    <row r="112902" customFormat="1" x14ac:dyDescent="0.25"/>
    <row r="112903" customFormat="1" x14ac:dyDescent="0.25"/>
    <row r="112904" customFormat="1" x14ac:dyDescent="0.25"/>
    <row r="112905" customFormat="1" x14ac:dyDescent="0.25"/>
    <row r="112906" customFormat="1" x14ac:dyDescent="0.25"/>
    <row r="112907" customFormat="1" x14ac:dyDescent="0.25"/>
    <row r="112908" customFormat="1" x14ac:dyDescent="0.25"/>
    <row r="112909" customFormat="1" x14ac:dyDescent="0.25"/>
    <row r="112910" customFormat="1" x14ac:dyDescent="0.25"/>
    <row r="112911" customFormat="1" x14ac:dyDescent="0.25"/>
    <row r="112912" customFormat="1" x14ac:dyDescent="0.25"/>
    <row r="112913" customFormat="1" x14ac:dyDescent="0.25"/>
    <row r="112914" customFormat="1" x14ac:dyDescent="0.25"/>
    <row r="112915" customFormat="1" x14ac:dyDescent="0.25"/>
    <row r="112916" customFormat="1" x14ac:dyDescent="0.25"/>
    <row r="112917" customFormat="1" x14ac:dyDescent="0.25"/>
    <row r="112918" customFormat="1" x14ac:dyDescent="0.25"/>
    <row r="112919" customFormat="1" x14ac:dyDescent="0.25"/>
    <row r="112920" customFormat="1" x14ac:dyDescent="0.25"/>
    <row r="112921" customFormat="1" x14ac:dyDescent="0.25"/>
    <row r="112922" customFormat="1" x14ac:dyDescent="0.25"/>
    <row r="112923" customFormat="1" x14ac:dyDescent="0.25"/>
    <row r="112924" customFormat="1" x14ac:dyDescent="0.25"/>
    <row r="112925" customFormat="1" x14ac:dyDescent="0.25"/>
    <row r="112926" customFormat="1" x14ac:dyDescent="0.25"/>
    <row r="112927" customFormat="1" x14ac:dyDescent="0.25"/>
    <row r="112928" customFormat="1" x14ac:dyDescent="0.25"/>
    <row r="112929" customFormat="1" x14ac:dyDescent="0.25"/>
    <row r="112930" customFormat="1" x14ac:dyDescent="0.25"/>
    <row r="112931" customFormat="1" x14ac:dyDescent="0.25"/>
    <row r="112932" customFormat="1" x14ac:dyDescent="0.25"/>
    <row r="112933" customFormat="1" x14ac:dyDescent="0.25"/>
    <row r="112934" customFormat="1" x14ac:dyDescent="0.25"/>
    <row r="112935" customFormat="1" x14ac:dyDescent="0.25"/>
    <row r="112936" customFormat="1" x14ac:dyDescent="0.25"/>
    <row r="112937" customFormat="1" x14ac:dyDescent="0.25"/>
    <row r="112938" customFormat="1" x14ac:dyDescent="0.25"/>
    <row r="112939" customFormat="1" x14ac:dyDescent="0.25"/>
    <row r="112940" customFormat="1" x14ac:dyDescent="0.25"/>
    <row r="112941" customFormat="1" x14ac:dyDescent="0.25"/>
    <row r="112942" customFormat="1" x14ac:dyDescent="0.25"/>
    <row r="112943" customFormat="1" x14ac:dyDescent="0.25"/>
    <row r="112944" customFormat="1" x14ac:dyDescent="0.25"/>
    <row r="112945" customFormat="1" x14ac:dyDescent="0.25"/>
    <row r="112946" customFormat="1" x14ac:dyDescent="0.25"/>
    <row r="112947" customFormat="1" x14ac:dyDescent="0.25"/>
    <row r="112948" customFormat="1" x14ac:dyDescent="0.25"/>
    <row r="112949" customFormat="1" x14ac:dyDescent="0.25"/>
    <row r="112950" customFormat="1" x14ac:dyDescent="0.25"/>
    <row r="112951" customFormat="1" x14ac:dyDescent="0.25"/>
    <row r="112952" customFormat="1" x14ac:dyDescent="0.25"/>
    <row r="112953" customFormat="1" x14ac:dyDescent="0.25"/>
    <row r="112954" customFormat="1" x14ac:dyDescent="0.25"/>
    <row r="112955" customFormat="1" x14ac:dyDescent="0.25"/>
    <row r="112956" customFormat="1" x14ac:dyDescent="0.25"/>
    <row r="112957" customFormat="1" x14ac:dyDescent="0.25"/>
    <row r="112958" customFormat="1" x14ac:dyDescent="0.25"/>
    <row r="112959" customFormat="1" x14ac:dyDescent="0.25"/>
    <row r="112960" customFormat="1" x14ac:dyDescent="0.25"/>
    <row r="112961" customFormat="1" x14ac:dyDescent="0.25"/>
    <row r="112962" customFormat="1" x14ac:dyDescent="0.25"/>
    <row r="112963" customFormat="1" x14ac:dyDescent="0.25"/>
    <row r="112964" customFormat="1" x14ac:dyDescent="0.25"/>
    <row r="112965" customFormat="1" x14ac:dyDescent="0.25"/>
    <row r="112966" customFormat="1" x14ac:dyDescent="0.25"/>
    <row r="112967" customFormat="1" x14ac:dyDescent="0.25"/>
    <row r="112968" customFormat="1" x14ac:dyDescent="0.25"/>
    <row r="112969" customFormat="1" x14ac:dyDescent="0.25"/>
    <row r="112970" customFormat="1" x14ac:dyDescent="0.25"/>
    <row r="112971" customFormat="1" x14ac:dyDescent="0.25"/>
    <row r="112972" customFormat="1" x14ac:dyDescent="0.25"/>
    <row r="112973" customFormat="1" x14ac:dyDescent="0.25"/>
    <row r="112974" customFormat="1" x14ac:dyDescent="0.25"/>
    <row r="112975" customFormat="1" x14ac:dyDescent="0.25"/>
    <row r="112976" customFormat="1" x14ac:dyDescent="0.25"/>
    <row r="112977" customFormat="1" x14ac:dyDescent="0.25"/>
    <row r="112978" customFormat="1" x14ac:dyDescent="0.25"/>
    <row r="112979" customFormat="1" x14ac:dyDescent="0.25"/>
    <row r="112980" customFormat="1" x14ac:dyDescent="0.25"/>
    <row r="112981" customFormat="1" x14ac:dyDescent="0.25"/>
    <row r="112982" customFormat="1" x14ac:dyDescent="0.25"/>
    <row r="112983" customFormat="1" x14ac:dyDescent="0.25"/>
    <row r="112984" customFormat="1" x14ac:dyDescent="0.25"/>
    <row r="112985" customFormat="1" x14ac:dyDescent="0.25"/>
    <row r="112986" customFormat="1" x14ac:dyDescent="0.25"/>
    <row r="112987" customFormat="1" x14ac:dyDescent="0.25"/>
    <row r="112988" customFormat="1" x14ac:dyDescent="0.25"/>
    <row r="112989" customFormat="1" x14ac:dyDescent="0.25"/>
    <row r="112990" customFormat="1" x14ac:dyDescent="0.25"/>
    <row r="112991" customFormat="1" x14ac:dyDescent="0.25"/>
    <row r="112992" customFormat="1" x14ac:dyDescent="0.25"/>
    <row r="112993" customFormat="1" x14ac:dyDescent="0.25"/>
    <row r="112994" customFormat="1" x14ac:dyDescent="0.25"/>
    <row r="112995" customFormat="1" x14ac:dyDescent="0.25"/>
    <row r="112996" customFormat="1" x14ac:dyDescent="0.25"/>
    <row r="112997" customFormat="1" x14ac:dyDescent="0.25"/>
    <row r="112998" customFormat="1" x14ac:dyDescent="0.25"/>
    <row r="112999" customFormat="1" x14ac:dyDescent="0.25"/>
    <row r="113000" customFormat="1" x14ac:dyDescent="0.25"/>
    <row r="113001" customFormat="1" x14ac:dyDescent="0.25"/>
    <row r="113002" customFormat="1" x14ac:dyDescent="0.25"/>
    <row r="113003" customFormat="1" x14ac:dyDescent="0.25"/>
    <row r="113004" customFormat="1" x14ac:dyDescent="0.25"/>
    <row r="113005" customFormat="1" x14ac:dyDescent="0.25"/>
    <row r="113006" customFormat="1" x14ac:dyDescent="0.25"/>
    <row r="113007" customFormat="1" x14ac:dyDescent="0.25"/>
    <row r="113008" customFormat="1" x14ac:dyDescent="0.25"/>
    <row r="113009" customFormat="1" x14ac:dyDescent="0.25"/>
    <row r="113010" customFormat="1" x14ac:dyDescent="0.25"/>
    <row r="113011" customFormat="1" x14ac:dyDescent="0.25"/>
    <row r="113012" customFormat="1" x14ac:dyDescent="0.25"/>
    <row r="113013" customFormat="1" x14ac:dyDescent="0.25"/>
    <row r="113014" customFormat="1" x14ac:dyDescent="0.25"/>
    <row r="113015" customFormat="1" x14ac:dyDescent="0.25"/>
    <row r="113016" customFormat="1" x14ac:dyDescent="0.25"/>
    <row r="113017" customFormat="1" x14ac:dyDescent="0.25"/>
    <row r="113018" customFormat="1" x14ac:dyDescent="0.25"/>
    <row r="113019" customFormat="1" x14ac:dyDescent="0.25"/>
    <row r="113020" customFormat="1" x14ac:dyDescent="0.25"/>
    <row r="113021" customFormat="1" x14ac:dyDescent="0.25"/>
    <row r="113022" customFormat="1" x14ac:dyDescent="0.25"/>
    <row r="113023" customFormat="1" x14ac:dyDescent="0.25"/>
    <row r="113024" customFormat="1" x14ac:dyDescent="0.25"/>
    <row r="113025" customFormat="1" x14ac:dyDescent="0.25"/>
    <row r="113026" customFormat="1" x14ac:dyDescent="0.25"/>
    <row r="113027" customFormat="1" x14ac:dyDescent="0.25"/>
    <row r="113028" customFormat="1" x14ac:dyDescent="0.25"/>
    <row r="113029" customFormat="1" x14ac:dyDescent="0.25"/>
    <row r="113030" customFormat="1" x14ac:dyDescent="0.25"/>
    <row r="113031" customFormat="1" x14ac:dyDescent="0.25"/>
    <row r="113032" customFormat="1" x14ac:dyDescent="0.25"/>
    <row r="113033" customFormat="1" x14ac:dyDescent="0.25"/>
    <row r="113034" customFormat="1" x14ac:dyDescent="0.25"/>
    <row r="113035" customFormat="1" x14ac:dyDescent="0.25"/>
    <row r="113036" customFormat="1" x14ac:dyDescent="0.25"/>
    <row r="113037" customFormat="1" x14ac:dyDescent="0.25"/>
    <row r="113038" customFormat="1" x14ac:dyDescent="0.25"/>
    <row r="113039" customFormat="1" x14ac:dyDescent="0.25"/>
    <row r="113040" customFormat="1" x14ac:dyDescent="0.25"/>
    <row r="113041" customFormat="1" x14ac:dyDescent="0.25"/>
    <row r="113042" customFormat="1" x14ac:dyDescent="0.25"/>
    <row r="113043" customFormat="1" x14ac:dyDescent="0.25"/>
    <row r="113044" customFormat="1" x14ac:dyDescent="0.25"/>
    <row r="113045" customFormat="1" x14ac:dyDescent="0.25"/>
    <row r="113046" customFormat="1" x14ac:dyDescent="0.25"/>
    <row r="113047" customFormat="1" x14ac:dyDescent="0.25"/>
    <row r="113048" customFormat="1" x14ac:dyDescent="0.25"/>
    <row r="113049" customFormat="1" x14ac:dyDescent="0.25"/>
    <row r="113050" customFormat="1" x14ac:dyDescent="0.25"/>
    <row r="113051" customFormat="1" x14ac:dyDescent="0.25"/>
    <row r="113052" customFormat="1" x14ac:dyDescent="0.25"/>
    <row r="113053" customFormat="1" x14ac:dyDescent="0.25"/>
    <row r="113054" customFormat="1" x14ac:dyDescent="0.25"/>
    <row r="113055" customFormat="1" x14ac:dyDescent="0.25"/>
    <row r="113056" customFormat="1" x14ac:dyDescent="0.25"/>
    <row r="113057" customFormat="1" x14ac:dyDescent="0.25"/>
    <row r="113058" customFormat="1" x14ac:dyDescent="0.25"/>
    <row r="113059" customFormat="1" x14ac:dyDescent="0.25"/>
    <row r="113060" customFormat="1" x14ac:dyDescent="0.25"/>
    <row r="113061" customFormat="1" x14ac:dyDescent="0.25"/>
    <row r="113062" customFormat="1" x14ac:dyDescent="0.25"/>
    <row r="113063" customFormat="1" x14ac:dyDescent="0.25"/>
    <row r="113064" customFormat="1" x14ac:dyDescent="0.25"/>
    <row r="113065" customFormat="1" x14ac:dyDescent="0.25"/>
    <row r="113066" customFormat="1" x14ac:dyDescent="0.25"/>
    <row r="113067" customFormat="1" x14ac:dyDescent="0.25"/>
    <row r="113068" customFormat="1" x14ac:dyDescent="0.25"/>
    <row r="113069" customFormat="1" x14ac:dyDescent="0.25"/>
    <row r="113070" customFormat="1" x14ac:dyDescent="0.25"/>
    <row r="113071" customFormat="1" x14ac:dyDescent="0.25"/>
    <row r="113072" customFormat="1" x14ac:dyDescent="0.25"/>
    <row r="113073" customFormat="1" x14ac:dyDescent="0.25"/>
    <row r="113074" customFormat="1" x14ac:dyDescent="0.25"/>
    <row r="113075" customFormat="1" x14ac:dyDescent="0.25"/>
    <row r="113076" customFormat="1" x14ac:dyDescent="0.25"/>
    <row r="113077" customFormat="1" x14ac:dyDescent="0.25"/>
    <row r="113078" customFormat="1" x14ac:dyDescent="0.25"/>
    <row r="113079" customFormat="1" x14ac:dyDescent="0.25"/>
    <row r="113080" customFormat="1" x14ac:dyDescent="0.25"/>
    <row r="113081" customFormat="1" x14ac:dyDescent="0.25"/>
    <row r="113082" customFormat="1" x14ac:dyDescent="0.25"/>
    <row r="113083" customFormat="1" x14ac:dyDescent="0.25"/>
    <row r="113084" customFormat="1" x14ac:dyDescent="0.25"/>
    <row r="113085" customFormat="1" x14ac:dyDescent="0.25"/>
    <row r="113086" customFormat="1" x14ac:dyDescent="0.25"/>
    <row r="113087" customFormat="1" x14ac:dyDescent="0.25"/>
    <row r="113088" customFormat="1" x14ac:dyDescent="0.25"/>
    <row r="113089" customFormat="1" x14ac:dyDescent="0.25"/>
    <row r="113090" customFormat="1" x14ac:dyDescent="0.25"/>
    <row r="113091" customFormat="1" x14ac:dyDescent="0.25"/>
    <row r="113092" customFormat="1" x14ac:dyDescent="0.25"/>
    <row r="113093" customFormat="1" x14ac:dyDescent="0.25"/>
    <row r="113094" customFormat="1" x14ac:dyDescent="0.25"/>
    <row r="113095" customFormat="1" x14ac:dyDescent="0.25"/>
    <row r="113096" customFormat="1" x14ac:dyDescent="0.25"/>
    <row r="113097" customFormat="1" x14ac:dyDescent="0.25"/>
    <row r="113098" customFormat="1" x14ac:dyDescent="0.25"/>
    <row r="113099" customFormat="1" x14ac:dyDescent="0.25"/>
    <row r="113100" customFormat="1" x14ac:dyDescent="0.25"/>
    <row r="113101" customFormat="1" x14ac:dyDescent="0.25"/>
    <row r="113102" customFormat="1" x14ac:dyDescent="0.25"/>
    <row r="113103" customFormat="1" x14ac:dyDescent="0.25"/>
    <row r="113104" customFormat="1" x14ac:dyDescent="0.25"/>
    <row r="113105" customFormat="1" x14ac:dyDescent="0.25"/>
    <row r="113106" customFormat="1" x14ac:dyDescent="0.25"/>
    <row r="113107" customFormat="1" x14ac:dyDescent="0.25"/>
    <row r="113108" customFormat="1" x14ac:dyDescent="0.25"/>
    <row r="113109" customFormat="1" x14ac:dyDescent="0.25"/>
    <row r="113110" customFormat="1" x14ac:dyDescent="0.25"/>
    <row r="113111" customFormat="1" x14ac:dyDescent="0.25"/>
    <row r="113112" customFormat="1" x14ac:dyDescent="0.25"/>
    <row r="113113" customFormat="1" x14ac:dyDescent="0.25"/>
    <row r="113114" customFormat="1" x14ac:dyDescent="0.25"/>
    <row r="113115" customFormat="1" x14ac:dyDescent="0.25"/>
    <row r="113116" customFormat="1" x14ac:dyDescent="0.25"/>
    <row r="113117" customFormat="1" x14ac:dyDescent="0.25"/>
    <row r="113118" customFormat="1" x14ac:dyDescent="0.25"/>
    <row r="113119" customFormat="1" x14ac:dyDescent="0.25"/>
    <row r="113120" customFormat="1" x14ac:dyDescent="0.25"/>
    <row r="113121" customFormat="1" x14ac:dyDescent="0.25"/>
    <row r="113122" customFormat="1" x14ac:dyDescent="0.25"/>
    <row r="113123" customFormat="1" x14ac:dyDescent="0.25"/>
    <row r="113124" customFormat="1" x14ac:dyDescent="0.25"/>
    <row r="113125" customFormat="1" x14ac:dyDescent="0.25"/>
    <row r="113126" customFormat="1" x14ac:dyDescent="0.25"/>
    <row r="113127" customFormat="1" x14ac:dyDescent="0.25"/>
    <row r="113128" customFormat="1" x14ac:dyDescent="0.25"/>
    <row r="113129" customFormat="1" x14ac:dyDescent="0.25"/>
    <row r="113130" customFormat="1" x14ac:dyDescent="0.25"/>
    <row r="113131" customFormat="1" x14ac:dyDescent="0.25"/>
    <row r="113132" customFormat="1" x14ac:dyDescent="0.25"/>
    <row r="113133" customFormat="1" x14ac:dyDescent="0.25"/>
    <row r="113134" customFormat="1" x14ac:dyDescent="0.25"/>
    <row r="113135" customFormat="1" x14ac:dyDescent="0.25"/>
    <row r="113136" customFormat="1" x14ac:dyDescent="0.25"/>
    <row r="113137" customFormat="1" x14ac:dyDescent="0.25"/>
    <row r="113138" customFormat="1" x14ac:dyDescent="0.25"/>
    <row r="113139" customFormat="1" x14ac:dyDescent="0.25"/>
    <row r="113140" customFormat="1" x14ac:dyDescent="0.25"/>
    <row r="113141" customFormat="1" x14ac:dyDescent="0.25"/>
    <row r="113142" customFormat="1" x14ac:dyDescent="0.25"/>
    <row r="113143" customFormat="1" x14ac:dyDescent="0.25"/>
    <row r="113144" customFormat="1" x14ac:dyDescent="0.25"/>
    <row r="113145" customFormat="1" x14ac:dyDescent="0.25"/>
    <row r="113146" customFormat="1" x14ac:dyDescent="0.25"/>
    <row r="113147" customFormat="1" x14ac:dyDescent="0.25"/>
    <row r="113148" customFormat="1" x14ac:dyDescent="0.25"/>
    <row r="113149" customFormat="1" x14ac:dyDescent="0.25"/>
    <row r="113150" customFormat="1" x14ac:dyDescent="0.25"/>
    <row r="113151" customFormat="1" x14ac:dyDescent="0.25"/>
    <row r="113152" customFormat="1" x14ac:dyDescent="0.25"/>
    <row r="113153" customFormat="1" x14ac:dyDescent="0.25"/>
    <row r="113154" customFormat="1" x14ac:dyDescent="0.25"/>
    <row r="113155" customFormat="1" x14ac:dyDescent="0.25"/>
    <row r="113156" customFormat="1" x14ac:dyDescent="0.25"/>
    <row r="113157" customFormat="1" x14ac:dyDescent="0.25"/>
    <row r="113158" customFormat="1" x14ac:dyDescent="0.25"/>
    <row r="113159" customFormat="1" x14ac:dyDescent="0.25"/>
    <row r="113160" customFormat="1" x14ac:dyDescent="0.25"/>
    <row r="113161" customFormat="1" x14ac:dyDescent="0.25"/>
    <row r="113162" customFormat="1" x14ac:dyDescent="0.25"/>
    <row r="113163" customFormat="1" x14ac:dyDescent="0.25"/>
    <row r="113164" customFormat="1" x14ac:dyDescent="0.25"/>
    <row r="113165" customFormat="1" x14ac:dyDescent="0.25"/>
    <row r="113166" customFormat="1" x14ac:dyDescent="0.25"/>
    <row r="113167" customFormat="1" x14ac:dyDescent="0.25"/>
    <row r="113168" customFormat="1" x14ac:dyDescent="0.25"/>
    <row r="113169" customFormat="1" x14ac:dyDescent="0.25"/>
    <row r="113170" customFormat="1" x14ac:dyDescent="0.25"/>
    <row r="113171" customFormat="1" x14ac:dyDescent="0.25"/>
    <row r="113172" customFormat="1" x14ac:dyDescent="0.25"/>
    <row r="113173" customFormat="1" x14ac:dyDescent="0.25"/>
    <row r="113174" customFormat="1" x14ac:dyDescent="0.25"/>
    <row r="113175" customFormat="1" x14ac:dyDescent="0.25"/>
    <row r="113176" customFormat="1" x14ac:dyDescent="0.25"/>
    <row r="113177" customFormat="1" x14ac:dyDescent="0.25"/>
    <row r="113178" customFormat="1" x14ac:dyDescent="0.25"/>
    <row r="113179" customFormat="1" x14ac:dyDescent="0.25"/>
    <row r="113180" customFormat="1" x14ac:dyDescent="0.25"/>
    <row r="113181" customFormat="1" x14ac:dyDescent="0.25"/>
    <row r="113182" customFormat="1" x14ac:dyDescent="0.25"/>
    <row r="113183" customFormat="1" x14ac:dyDescent="0.25"/>
    <row r="113184" customFormat="1" x14ac:dyDescent="0.25"/>
    <row r="113185" customFormat="1" x14ac:dyDescent="0.25"/>
    <row r="113186" customFormat="1" x14ac:dyDescent="0.25"/>
    <row r="113187" customFormat="1" x14ac:dyDescent="0.25"/>
    <row r="113188" customFormat="1" x14ac:dyDescent="0.25"/>
    <row r="113189" customFormat="1" x14ac:dyDescent="0.25"/>
    <row r="113190" customFormat="1" x14ac:dyDescent="0.25"/>
    <row r="113191" customFormat="1" x14ac:dyDescent="0.25"/>
    <row r="113192" customFormat="1" x14ac:dyDescent="0.25"/>
    <row r="113193" customFormat="1" x14ac:dyDescent="0.25"/>
    <row r="113194" customFormat="1" x14ac:dyDescent="0.25"/>
    <row r="113195" customFormat="1" x14ac:dyDescent="0.25"/>
    <row r="113196" customFormat="1" x14ac:dyDescent="0.25"/>
    <row r="113197" customFormat="1" x14ac:dyDescent="0.25"/>
    <row r="113198" customFormat="1" x14ac:dyDescent="0.25"/>
    <row r="113199" customFormat="1" x14ac:dyDescent="0.25"/>
    <row r="113200" customFormat="1" x14ac:dyDescent="0.25"/>
    <row r="113201" customFormat="1" x14ac:dyDescent="0.25"/>
    <row r="113202" customFormat="1" x14ac:dyDescent="0.25"/>
    <row r="113203" customFormat="1" x14ac:dyDescent="0.25"/>
    <row r="113204" customFormat="1" x14ac:dyDescent="0.25"/>
    <row r="113205" customFormat="1" x14ac:dyDescent="0.25"/>
    <row r="113206" customFormat="1" x14ac:dyDescent="0.25"/>
    <row r="113207" customFormat="1" x14ac:dyDescent="0.25"/>
    <row r="113208" customFormat="1" x14ac:dyDescent="0.25"/>
    <row r="113209" customFormat="1" x14ac:dyDescent="0.25"/>
    <row r="113210" customFormat="1" x14ac:dyDescent="0.25"/>
    <row r="113211" customFormat="1" x14ac:dyDescent="0.25"/>
    <row r="113212" customFormat="1" x14ac:dyDescent="0.25"/>
    <row r="113213" customFormat="1" x14ac:dyDescent="0.25"/>
    <row r="113214" customFormat="1" x14ac:dyDescent="0.25"/>
    <row r="113215" customFormat="1" x14ac:dyDescent="0.25"/>
    <row r="113216" customFormat="1" x14ac:dyDescent="0.25"/>
    <row r="113217" customFormat="1" x14ac:dyDescent="0.25"/>
    <row r="113218" customFormat="1" x14ac:dyDescent="0.25"/>
    <row r="113219" customFormat="1" x14ac:dyDescent="0.25"/>
    <row r="113220" customFormat="1" x14ac:dyDescent="0.25"/>
    <row r="113221" customFormat="1" x14ac:dyDescent="0.25"/>
    <row r="113222" customFormat="1" x14ac:dyDescent="0.25"/>
    <row r="113223" customFormat="1" x14ac:dyDescent="0.25"/>
    <row r="113224" customFormat="1" x14ac:dyDescent="0.25"/>
    <row r="113225" customFormat="1" x14ac:dyDescent="0.25"/>
    <row r="113226" customFormat="1" x14ac:dyDescent="0.25"/>
    <row r="113227" customFormat="1" x14ac:dyDescent="0.25"/>
    <row r="113228" customFormat="1" x14ac:dyDescent="0.25"/>
    <row r="113229" customFormat="1" x14ac:dyDescent="0.25"/>
    <row r="113230" customFormat="1" x14ac:dyDescent="0.25"/>
    <row r="113231" customFormat="1" x14ac:dyDescent="0.25"/>
    <row r="113232" customFormat="1" x14ac:dyDescent="0.25"/>
    <row r="113233" customFormat="1" x14ac:dyDescent="0.25"/>
    <row r="113234" customFormat="1" x14ac:dyDescent="0.25"/>
    <row r="113235" customFormat="1" x14ac:dyDescent="0.25"/>
    <row r="113236" customFormat="1" x14ac:dyDescent="0.25"/>
    <row r="113237" customFormat="1" x14ac:dyDescent="0.25"/>
    <row r="113238" customFormat="1" x14ac:dyDescent="0.25"/>
    <row r="113239" customFormat="1" x14ac:dyDescent="0.25"/>
    <row r="113240" customFormat="1" x14ac:dyDescent="0.25"/>
    <row r="113241" customFormat="1" x14ac:dyDescent="0.25"/>
    <row r="113242" customFormat="1" x14ac:dyDescent="0.25"/>
    <row r="113243" customFormat="1" x14ac:dyDescent="0.25"/>
    <row r="113244" customFormat="1" x14ac:dyDescent="0.25"/>
    <row r="113245" customFormat="1" x14ac:dyDescent="0.25"/>
    <row r="113246" customFormat="1" x14ac:dyDescent="0.25"/>
    <row r="113247" customFormat="1" x14ac:dyDescent="0.25"/>
    <row r="113248" customFormat="1" x14ac:dyDescent="0.25"/>
    <row r="113249" customFormat="1" x14ac:dyDescent="0.25"/>
    <row r="113250" customFormat="1" x14ac:dyDescent="0.25"/>
    <row r="113251" customFormat="1" x14ac:dyDescent="0.25"/>
    <row r="113252" customFormat="1" x14ac:dyDescent="0.25"/>
    <row r="113253" customFormat="1" x14ac:dyDescent="0.25"/>
    <row r="113254" customFormat="1" x14ac:dyDescent="0.25"/>
    <row r="113255" customFormat="1" x14ac:dyDescent="0.25"/>
    <row r="113256" customFormat="1" x14ac:dyDescent="0.25"/>
    <row r="113257" customFormat="1" x14ac:dyDescent="0.25"/>
    <row r="113258" customFormat="1" x14ac:dyDescent="0.25"/>
    <row r="113259" customFormat="1" x14ac:dyDescent="0.25"/>
    <row r="113260" customFormat="1" x14ac:dyDescent="0.25"/>
    <row r="113261" customFormat="1" x14ac:dyDescent="0.25"/>
    <row r="113262" customFormat="1" x14ac:dyDescent="0.25"/>
    <row r="113263" customFormat="1" x14ac:dyDescent="0.25"/>
    <row r="113264" customFormat="1" x14ac:dyDescent="0.25"/>
    <row r="113265" customFormat="1" x14ac:dyDescent="0.25"/>
    <row r="113266" customFormat="1" x14ac:dyDescent="0.25"/>
    <row r="113267" customFormat="1" x14ac:dyDescent="0.25"/>
    <row r="113268" customFormat="1" x14ac:dyDescent="0.25"/>
    <row r="113269" customFormat="1" x14ac:dyDescent="0.25"/>
    <row r="113270" customFormat="1" x14ac:dyDescent="0.25"/>
    <row r="113271" customFormat="1" x14ac:dyDescent="0.25"/>
    <row r="113272" customFormat="1" x14ac:dyDescent="0.25"/>
    <row r="113273" customFormat="1" x14ac:dyDescent="0.25"/>
    <row r="113274" customFormat="1" x14ac:dyDescent="0.25"/>
    <row r="113275" customFormat="1" x14ac:dyDescent="0.25"/>
    <row r="113276" customFormat="1" x14ac:dyDescent="0.25"/>
    <row r="113277" customFormat="1" x14ac:dyDescent="0.25"/>
    <row r="113278" customFormat="1" x14ac:dyDescent="0.25"/>
    <row r="113279" customFormat="1" x14ac:dyDescent="0.25"/>
    <row r="113280" customFormat="1" x14ac:dyDescent="0.25"/>
    <row r="113281" customFormat="1" x14ac:dyDescent="0.25"/>
    <row r="113282" customFormat="1" x14ac:dyDescent="0.25"/>
    <row r="113283" customFormat="1" x14ac:dyDescent="0.25"/>
    <row r="113284" customFormat="1" x14ac:dyDescent="0.25"/>
    <row r="113285" customFormat="1" x14ac:dyDescent="0.25"/>
    <row r="113286" customFormat="1" x14ac:dyDescent="0.25"/>
    <row r="113287" customFormat="1" x14ac:dyDescent="0.25"/>
    <row r="113288" customFormat="1" x14ac:dyDescent="0.25"/>
    <row r="113289" customFormat="1" x14ac:dyDescent="0.25"/>
    <row r="113290" customFormat="1" x14ac:dyDescent="0.25"/>
    <row r="113291" customFormat="1" x14ac:dyDescent="0.25"/>
    <row r="113292" customFormat="1" x14ac:dyDescent="0.25"/>
    <row r="113293" customFormat="1" x14ac:dyDescent="0.25"/>
    <row r="113294" customFormat="1" x14ac:dyDescent="0.25"/>
    <row r="113295" customFormat="1" x14ac:dyDescent="0.25"/>
    <row r="113296" customFormat="1" x14ac:dyDescent="0.25"/>
    <row r="113297" customFormat="1" x14ac:dyDescent="0.25"/>
    <row r="113298" customFormat="1" x14ac:dyDescent="0.25"/>
    <row r="113299" customFormat="1" x14ac:dyDescent="0.25"/>
    <row r="113300" customFormat="1" x14ac:dyDescent="0.25"/>
    <row r="113301" customFormat="1" x14ac:dyDescent="0.25"/>
    <row r="113302" customFormat="1" x14ac:dyDescent="0.25"/>
    <row r="113303" customFormat="1" x14ac:dyDescent="0.25"/>
    <row r="113304" customFormat="1" x14ac:dyDescent="0.25"/>
    <row r="113305" customFormat="1" x14ac:dyDescent="0.25"/>
    <row r="113306" customFormat="1" x14ac:dyDescent="0.25"/>
    <row r="113307" customFormat="1" x14ac:dyDescent="0.25"/>
    <row r="113308" customFormat="1" x14ac:dyDescent="0.25"/>
    <row r="113309" customFormat="1" x14ac:dyDescent="0.25"/>
    <row r="113310" customFormat="1" x14ac:dyDescent="0.25"/>
    <row r="113311" customFormat="1" x14ac:dyDescent="0.25"/>
    <row r="113312" customFormat="1" x14ac:dyDescent="0.25"/>
    <row r="113313" customFormat="1" x14ac:dyDescent="0.25"/>
    <row r="113314" customFormat="1" x14ac:dyDescent="0.25"/>
    <row r="113315" customFormat="1" x14ac:dyDescent="0.25"/>
    <row r="113316" customFormat="1" x14ac:dyDescent="0.25"/>
    <row r="113317" customFormat="1" x14ac:dyDescent="0.25"/>
    <row r="113318" customFormat="1" x14ac:dyDescent="0.25"/>
    <row r="113319" customFormat="1" x14ac:dyDescent="0.25"/>
    <row r="113320" customFormat="1" x14ac:dyDescent="0.25"/>
    <row r="113321" customFormat="1" x14ac:dyDescent="0.25"/>
    <row r="113322" customFormat="1" x14ac:dyDescent="0.25"/>
    <row r="113323" customFormat="1" x14ac:dyDescent="0.25"/>
    <row r="113324" customFormat="1" x14ac:dyDescent="0.25"/>
    <row r="113325" customFormat="1" x14ac:dyDescent="0.25"/>
    <row r="113326" customFormat="1" x14ac:dyDescent="0.25"/>
    <row r="113327" customFormat="1" x14ac:dyDescent="0.25"/>
    <row r="113328" customFormat="1" x14ac:dyDescent="0.25"/>
    <row r="113329" customFormat="1" x14ac:dyDescent="0.25"/>
    <row r="113330" customFormat="1" x14ac:dyDescent="0.25"/>
    <row r="113331" customFormat="1" x14ac:dyDescent="0.25"/>
    <row r="113332" customFormat="1" x14ac:dyDescent="0.25"/>
    <row r="113333" customFormat="1" x14ac:dyDescent="0.25"/>
    <row r="113334" customFormat="1" x14ac:dyDescent="0.25"/>
    <row r="113335" customFormat="1" x14ac:dyDescent="0.25"/>
    <row r="113336" customFormat="1" x14ac:dyDescent="0.25"/>
    <row r="113337" customFormat="1" x14ac:dyDescent="0.25"/>
    <row r="113338" customFormat="1" x14ac:dyDescent="0.25"/>
    <row r="113339" customFormat="1" x14ac:dyDescent="0.25"/>
    <row r="113340" customFormat="1" x14ac:dyDescent="0.25"/>
    <row r="113341" customFormat="1" x14ac:dyDescent="0.25"/>
    <row r="113342" customFormat="1" x14ac:dyDescent="0.25"/>
    <row r="113343" customFormat="1" x14ac:dyDescent="0.25"/>
    <row r="113344" customFormat="1" x14ac:dyDescent="0.25"/>
    <row r="113345" customFormat="1" x14ac:dyDescent="0.25"/>
    <row r="113346" customFormat="1" x14ac:dyDescent="0.25"/>
    <row r="113347" customFormat="1" x14ac:dyDescent="0.25"/>
    <row r="113348" customFormat="1" x14ac:dyDescent="0.25"/>
    <row r="113349" customFormat="1" x14ac:dyDescent="0.25"/>
    <row r="113350" customFormat="1" x14ac:dyDescent="0.25"/>
    <row r="113351" customFormat="1" x14ac:dyDescent="0.25"/>
    <row r="113352" customFormat="1" x14ac:dyDescent="0.25"/>
    <row r="113353" customFormat="1" x14ac:dyDescent="0.25"/>
    <row r="113354" customFormat="1" x14ac:dyDescent="0.25"/>
    <row r="113355" customFormat="1" x14ac:dyDescent="0.25"/>
    <row r="113356" customFormat="1" x14ac:dyDescent="0.25"/>
    <row r="113357" customFormat="1" x14ac:dyDescent="0.25"/>
    <row r="113358" customFormat="1" x14ac:dyDescent="0.25"/>
    <row r="113359" customFormat="1" x14ac:dyDescent="0.25"/>
    <row r="113360" customFormat="1" x14ac:dyDescent="0.25"/>
    <row r="113361" customFormat="1" x14ac:dyDescent="0.25"/>
    <row r="113362" customFormat="1" x14ac:dyDescent="0.25"/>
    <row r="113363" customFormat="1" x14ac:dyDescent="0.25"/>
    <row r="113364" customFormat="1" x14ac:dyDescent="0.25"/>
    <row r="113365" customFormat="1" x14ac:dyDescent="0.25"/>
    <row r="113366" customFormat="1" x14ac:dyDescent="0.25"/>
    <row r="113367" customFormat="1" x14ac:dyDescent="0.25"/>
    <row r="113368" customFormat="1" x14ac:dyDescent="0.25"/>
    <row r="113369" customFormat="1" x14ac:dyDescent="0.25"/>
    <row r="113370" customFormat="1" x14ac:dyDescent="0.25"/>
    <row r="113371" customFormat="1" x14ac:dyDescent="0.25"/>
    <row r="113372" customFormat="1" x14ac:dyDescent="0.25"/>
    <row r="113373" customFormat="1" x14ac:dyDescent="0.25"/>
    <row r="113374" customFormat="1" x14ac:dyDescent="0.25"/>
    <row r="113375" customFormat="1" x14ac:dyDescent="0.25"/>
    <row r="113376" customFormat="1" x14ac:dyDescent="0.25"/>
    <row r="113377" customFormat="1" x14ac:dyDescent="0.25"/>
    <row r="113378" customFormat="1" x14ac:dyDescent="0.25"/>
    <row r="113379" customFormat="1" x14ac:dyDescent="0.25"/>
    <row r="113380" customFormat="1" x14ac:dyDescent="0.25"/>
    <row r="113381" customFormat="1" x14ac:dyDescent="0.25"/>
    <row r="113382" customFormat="1" x14ac:dyDescent="0.25"/>
    <row r="113383" customFormat="1" x14ac:dyDescent="0.25"/>
    <row r="113384" customFormat="1" x14ac:dyDescent="0.25"/>
    <row r="113385" customFormat="1" x14ac:dyDescent="0.25"/>
    <row r="113386" customFormat="1" x14ac:dyDescent="0.25"/>
    <row r="113387" customFormat="1" x14ac:dyDescent="0.25"/>
    <row r="113388" customFormat="1" x14ac:dyDescent="0.25"/>
    <row r="113389" customFormat="1" x14ac:dyDescent="0.25"/>
    <row r="113390" customFormat="1" x14ac:dyDescent="0.25"/>
    <row r="113391" customFormat="1" x14ac:dyDescent="0.25"/>
    <row r="113392" customFormat="1" x14ac:dyDescent="0.25"/>
    <row r="113393" customFormat="1" x14ac:dyDescent="0.25"/>
    <row r="113394" customFormat="1" x14ac:dyDescent="0.25"/>
    <row r="113395" customFormat="1" x14ac:dyDescent="0.25"/>
    <row r="113396" customFormat="1" x14ac:dyDescent="0.25"/>
    <row r="113397" customFormat="1" x14ac:dyDescent="0.25"/>
    <row r="113398" customFormat="1" x14ac:dyDescent="0.25"/>
    <row r="113399" customFormat="1" x14ac:dyDescent="0.25"/>
    <row r="113400" customFormat="1" x14ac:dyDescent="0.25"/>
    <row r="113401" customFormat="1" x14ac:dyDescent="0.25"/>
    <row r="113402" customFormat="1" x14ac:dyDescent="0.25"/>
    <row r="113403" customFormat="1" x14ac:dyDescent="0.25"/>
    <row r="113404" customFormat="1" x14ac:dyDescent="0.25"/>
    <row r="113405" customFormat="1" x14ac:dyDescent="0.25"/>
    <row r="113406" customFormat="1" x14ac:dyDescent="0.25"/>
    <row r="113407" customFormat="1" x14ac:dyDescent="0.25"/>
    <row r="113408" customFormat="1" x14ac:dyDescent="0.25"/>
    <row r="113409" customFormat="1" x14ac:dyDescent="0.25"/>
    <row r="113410" customFormat="1" x14ac:dyDescent="0.25"/>
    <row r="113411" customFormat="1" x14ac:dyDescent="0.25"/>
    <row r="113412" customFormat="1" x14ac:dyDescent="0.25"/>
    <row r="113413" customFormat="1" x14ac:dyDescent="0.25"/>
    <row r="113414" customFormat="1" x14ac:dyDescent="0.25"/>
    <row r="113415" customFormat="1" x14ac:dyDescent="0.25"/>
    <row r="113416" customFormat="1" x14ac:dyDescent="0.25"/>
    <row r="113417" customFormat="1" x14ac:dyDescent="0.25"/>
    <row r="113418" customFormat="1" x14ac:dyDescent="0.25"/>
    <row r="113419" customFormat="1" x14ac:dyDescent="0.25"/>
    <row r="113420" customFormat="1" x14ac:dyDescent="0.25"/>
    <row r="113421" customFormat="1" x14ac:dyDescent="0.25"/>
    <row r="113422" customFormat="1" x14ac:dyDescent="0.25"/>
    <row r="113423" customFormat="1" x14ac:dyDescent="0.25"/>
    <row r="113424" customFormat="1" x14ac:dyDescent="0.25"/>
    <row r="113425" customFormat="1" x14ac:dyDescent="0.25"/>
    <row r="113426" customFormat="1" x14ac:dyDescent="0.25"/>
    <row r="113427" customFormat="1" x14ac:dyDescent="0.25"/>
    <row r="113428" customFormat="1" x14ac:dyDescent="0.25"/>
    <row r="113429" customFormat="1" x14ac:dyDescent="0.25"/>
    <row r="113430" customFormat="1" x14ac:dyDescent="0.25"/>
    <row r="113431" customFormat="1" x14ac:dyDescent="0.25"/>
    <row r="113432" customFormat="1" x14ac:dyDescent="0.25"/>
    <row r="113433" customFormat="1" x14ac:dyDescent="0.25"/>
    <row r="113434" customFormat="1" x14ac:dyDescent="0.25"/>
    <row r="113435" customFormat="1" x14ac:dyDescent="0.25"/>
    <row r="113436" customFormat="1" x14ac:dyDescent="0.25"/>
    <row r="113437" customFormat="1" x14ac:dyDescent="0.25"/>
    <row r="113438" customFormat="1" x14ac:dyDescent="0.25"/>
    <row r="113439" customFormat="1" x14ac:dyDescent="0.25"/>
    <row r="113440" customFormat="1" x14ac:dyDescent="0.25"/>
    <row r="113441" customFormat="1" x14ac:dyDescent="0.25"/>
    <row r="113442" customFormat="1" x14ac:dyDescent="0.25"/>
    <row r="113443" customFormat="1" x14ac:dyDescent="0.25"/>
    <row r="113444" customFormat="1" x14ac:dyDescent="0.25"/>
    <row r="113445" customFormat="1" x14ac:dyDescent="0.25"/>
    <row r="113446" customFormat="1" x14ac:dyDescent="0.25"/>
    <row r="113447" customFormat="1" x14ac:dyDescent="0.25"/>
    <row r="113448" customFormat="1" x14ac:dyDescent="0.25"/>
    <row r="113449" customFormat="1" x14ac:dyDescent="0.25"/>
    <row r="113450" customFormat="1" x14ac:dyDescent="0.25"/>
    <row r="113451" customFormat="1" x14ac:dyDescent="0.25"/>
    <row r="113452" customFormat="1" x14ac:dyDescent="0.25"/>
    <row r="113453" customFormat="1" x14ac:dyDescent="0.25"/>
    <row r="113454" customFormat="1" x14ac:dyDescent="0.25"/>
    <row r="113455" customFormat="1" x14ac:dyDescent="0.25"/>
    <row r="113456" customFormat="1" x14ac:dyDescent="0.25"/>
    <row r="113457" customFormat="1" x14ac:dyDescent="0.25"/>
    <row r="113458" customFormat="1" x14ac:dyDescent="0.25"/>
    <row r="113459" customFormat="1" x14ac:dyDescent="0.25"/>
    <row r="113460" customFormat="1" x14ac:dyDescent="0.25"/>
    <row r="113461" customFormat="1" x14ac:dyDescent="0.25"/>
    <row r="113462" customFormat="1" x14ac:dyDescent="0.25"/>
    <row r="113463" customFormat="1" x14ac:dyDescent="0.25"/>
    <row r="113464" customFormat="1" x14ac:dyDescent="0.25"/>
    <row r="113465" customFormat="1" x14ac:dyDescent="0.25"/>
    <row r="113466" customFormat="1" x14ac:dyDescent="0.25"/>
    <row r="113467" customFormat="1" x14ac:dyDescent="0.25"/>
    <row r="113468" customFormat="1" x14ac:dyDescent="0.25"/>
    <row r="113469" customFormat="1" x14ac:dyDescent="0.25"/>
    <row r="113470" customFormat="1" x14ac:dyDescent="0.25"/>
    <row r="113471" customFormat="1" x14ac:dyDescent="0.25"/>
    <row r="113472" customFormat="1" x14ac:dyDescent="0.25"/>
    <row r="113473" customFormat="1" x14ac:dyDescent="0.25"/>
    <row r="113474" customFormat="1" x14ac:dyDescent="0.25"/>
    <row r="113475" customFormat="1" x14ac:dyDescent="0.25"/>
    <row r="113476" customFormat="1" x14ac:dyDescent="0.25"/>
    <row r="113477" customFormat="1" x14ac:dyDescent="0.25"/>
    <row r="113478" customFormat="1" x14ac:dyDescent="0.25"/>
    <row r="113479" customFormat="1" x14ac:dyDescent="0.25"/>
    <row r="113480" customFormat="1" x14ac:dyDescent="0.25"/>
    <row r="113481" customFormat="1" x14ac:dyDescent="0.25"/>
    <row r="113482" customFormat="1" x14ac:dyDescent="0.25"/>
    <row r="113483" customFormat="1" x14ac:dyDescent="0.25"/>
    <row r="113484" customFormat="1" x14ac:dyDescent="0.25"/>
    <row r="113485" customFormat="1" x14ac:dyDescent="0.25"/>
    <row r="113486" customFormat="1" x14ac:dyDescent="0.25"/>
    <row r="113487" customFormat="1" x14ac:dyDescent="0.25"/>
    <row r="113488" customFormat="1" x14ac:dyDescent="0.25"/>
    <row r="113489" customFormat="1" x14ac:dyDescent="0.25"/>
    <row r="113490" customFormat="1" x14ac:dyDescent="0.25"/>
    <row r="113491" customFormat="1" x14ac:dyDescent="0.25"/>
    <row r="113492" customFormat="1" x14ac:dyDescent="0.25"/>
    <row r="113493" customFormat="1" x14ac:dyDescent="0.25"/>
    <row r="113494" customFormat="1" x14ac:dyDescent="0.25"/>
    <row r="113495" customFormat="1" x14ac:dyDescent="0.25"/>
    <row r="113496" customFormat="1" x14ac:dyDescent="0.25"/>
    <row r="113497" customFormat="1" x14ac:dyDescent="0.25"/>
    <row r="113498" customFormat="1" x14ac:dyDescent="0.25"/>
    <row r="113499" customFormat="1" x14ac:dyDescent="0.25"/>
    <row r="113500" customFormat="1" x14ac:dyDescent="0.25"/>
    <row r="113501" customFormat="1" x14ac:dyDescent="0.25"/>
    <row r="113502" customFormat="1" x14ac:dyDescent="0.25"/>
    <row r="113503" customFormat="1" x14ac:dyDescent="0.25"/>
    <row r="113504" customFormat="1" x14ac:dyDescent="0.25"/>
    <row r="113505" customFormat="1" x14ac:dyDescent="0.25"/>
    <row r="113506" customFormat="1" x14ac:dyDescent="0.25"/>
    <row r="113507" customFormat="1" x14ac:dyDescent="0.25"/>
    <row r="113508" customFormat="1" x14ac:dyDescent="0.25"/>
    <row r="113509" customFormat="1" x14ac:dyDescent="0.25"/>
    <row r="113510" customFormat="1" x14ac:dyDescent="0.25"/>
    <row r="113511" customFormat="1" x14ac:dyDescent="0.25"/>
    <row r="113512" customFormat="1" x14ac:dyDescent="0.25"/>
    <row r="113513" customFormat="1" x14ac:dyDescent="0.25"/>
    <row r="113514" customFormat="1" x14ac:dyDescent="0.25"/>
    <row r="113515" customFormat="1" x14ac:dyDescent="0.25"/>
    <row r="113516" customFormat="1" x14ac:dyDescent="0.25"/>
    <row r="113517" customFormat="1" x14ac:dyDescent="0.25"/>
    <row r="113518" customFormat="1" x14ac:dyDescent="0.25"/>
    <row r="113519" customFormat="1" x14ac:dyDescent="0.25"/>
    <row r="113520" customFormat="1" x14ac:dyDescent="0.25"/>
    <row r="113521" customFormat="1" x14ac:dyDescent="0.25"/>
    <row r="113522" customFormat="1" x14ac:dyDescent="0.25"/>
    <row r="113523" customFormat="1" x14ac:dyDescent="0.25"/>
    <row r="113524" customFormat="1" x14ac:dyDescent="0.25"/>
    <row r="113525" customFormat="1" x14ac:dyDescent="0.25"/>
    <row r="113526" customFormat="1" x14ac:dyDescent="0.25"/>
    <row r="113527" customFormat="1" x14ac:dyDescent="0.25"/>
    <row r="113528" customFormat="1" x14ac:dyDescent="0.25"/>
    <row r="113529" customFormat="1" x14ac:dyDescent="0.25"/>
    <row r="113530" customFormat="1" x14ac:dyDescent="0.25"/>
    <row r="113531" customFormat="1" x14ac:dyDescent="0.25"/>
    <row r="113532" customFormat="1" x14ac:dyDescent="0.25"/>
    <row r="113533" customFormat="1" x14ac:dyDescent="0.25"/>
    <row r="113534" customFormat="1" x14ac:dyDescent="0.25"/>
    <row r="113535" customFormat="1" x14ac:dyDescent="0.25"/>
    <row r="113536" customFormat="1" x14ac:dyDescent="0.25"/>
    <row r="113537" customFormat="1" x14ac:dyDescent="0.25"/>
    <row r="113538" customFormat="1" x14ac:dyDescent="0.25"/>
    <row r="113539" customFormat="1" x14ac:dyDescent="0.25"/>
    <row r="113540" customFormat="1" x14ac:dyDescent="0.25"/>
    <row r="113541" customFormat="1" x14ac:dyDescent="0.25"/>
    <row r="113542" customFormat="1" x14ac:dyDescent="0.25"/>
    <row r="113543" customFormat="1" x14ac:dyDescent="0.25"/>
    <row r="113544" customFormat="1" x14ac:dyDescent="0.25"/>
    <row r="113545" customFormat="1" x14ac:dyDescent="0.25"/>
    <row r="113546" customFormat="1" x14ac:dyDescent="0.25"/>
    <row r="113547" customFormat="1" x14ac:dyDescent="0.25"/>
    <row r="113548" customFormat="1" x14ac:dyDescent="0.25"/>
    <row r="113549" customFormat="1" x14ac:dyDescent="0.25"/>
    <row r="113550" customFormat="1" x14ac:dyDescent="0.25"/>
    <row r="113551" customFormat="1" x14ac:dyDescent="0.25"/>
    <row r="113552" customFormat="1" x14ac:dyDescent="0.25"/>
    <row r="113553" customFormat="1" x14ac:dyDescent="0.25"/>
    <row r="113554" customFormat="1" x14ac:dyDescent="0.25"/>
    <row r="113555" customFormat="1" x14ac:dyDescent="0.25"/>
    <row r="113556" customFormat="1" x14ac:dyDescent="0.25"/>
    <row r="113557" customFormat="1" x14ac:dyDescent="0.25"/>
    <row r="113558" customFormat="1" x14ac:dyDescent="0.25"/>
    <row r="113559" customFormat="1" x14ac:dyDescent="0.25"/>
    <row r="113560" customFormat="1" x14ac:dyDescent="0.25"/>
    <row r="113561" customFormat="1" x14ac:dyDescent="0.25"/>
    <row r="113562" customFormat="1" x14ac:dyDescent="0.25"/>
    <row r="113563" customFormat="1" x14ac:dyDescent="0.25"/>
    <row r="113564" customFormat="1" x14ac:dyDescent="0.25"/>
    <row r="113565" customFormat="1" x14ac:dyDescent="0.25"/>
    <row r="113566" customFormat="1" x14ac:dyDescent="0.25"/>
    <row r="113567" customFormat="1" x14ac:dyDescent="0.25"/>
    <row r="113568" customFormat="1" x14ac:dyDescent="0.25"/>
    <row r="113569" customFormat="1" x14ac:dyDescent="0.25"/>
    <row r="113570" customFormat="1" x14ac:dyDescent="0.25"/>
    <row r="113571" customFormat="1" x14ac:dyDescent="0.25"/>
    <row r="113572" customFormat="1" x14ac:dyDescent="0.25"/>
    <row r="113573" customFormat="1" x14ac:dyDescent="0.25"/>
    <row r="113574" customFormat="1" x14ac:dyDescent="0.25"/>
    <row r="113575" customFormat="1" x14ac:dyDescent="0.25"/>
    <row r="113576" customFormat="1" x14ac:dyDescent="0.25"/>
    <row r="113577" customFormat="1" x14ac:dyDescent="0.25"/>
    <row r="113578" customFormat="1" x14ac:dyDescent="0.25"/>
    <row r="113579" customFormat="1" x14ac:dyDescent="0.25"/>
    <row r="113580" customFormat="1" x14ac:dyDescent="0.25"/>
    <row r="113581" customFormat="1" x14ac:dyDescent="0.25"/>
    <row r="113582" customFormat="1" x14ac:dyDescent="0.25"/>
    <row r="113583" customFormat="1" x14ac:dyDescent="0.25"/>
    <row r="113584" customFormat="1" x14ac:dyDescent="0.25"/>
    <row r="113585" customFormat="1" x14ac:dyDescent="0.25"/>
    <row r="113586" customFormat="1" x14ac:dyDescent="0.25"/>
    <row r="113587" customFormat="1" x14ac:dyDescent="0.25"/>
    <row r="113588" customFormat="1" x14ac:dyDescent="0.25"/>
    <row r="113589" customFormat="1" x14ac:dyDescent="0.25"/>
    <row r="113590" customFormat="1" x14ac:dyDescent="0.25"/>
    <row r="113591" customFormat="1" x14ac:dyDescent="0.25"/>
    <row r="113592" customFormat="1" x14ac:dyDescent="0.25"/>
    <row r="113593" customFormat="1" x14ac:dyDescent="0.25"/>
    <row r="113594" customFormat="1" x14ac:dyDescent="0.25"/>
    <row r="113595" customFormat="1" x14ac:dyDescent="0.25"/>
    <row r="113596" customFormat="1" x14ac:dyDescent="0.25"/>
    <row r="113597" customFormat="1" x14ac:dyDescent="0.25"/>
    <row r="113598" customFormat="1" x14ac:dyDescent="0.25"/>
    <row r="113599" customFormat="1" x14ac:dyDescent="0.25"/>
    <row r="113600" customFormat="1" x14ac:dyDescent="0.25"/>
    <row r="113601" customFormat="1" x14ac:dyDescent="0.25"/>
    <row r="113602" customFormat="1" x14ac:dyDescent="0.25"/>
    <row r="113603" customFormat="1" x14ac:dyDescent="0.25"/>
    <row r="113604" customFormat="1" x14ac:dyDescent="0.25"/>
    <row r="113605" customFormat="1" x14ac:dyDescent="0.25"/>
    <row r="113606" customFormat="1" x14ac:dyDescent="0.25"/>
    <row r="113607" customFormat="1" x14ac:dyDescent="0.25"/>
    <row r="113608" customFormat="1" x14ac:dyDescent="0.25"/>
    <row r="113609" customFormat="1" x14ac:dyDescent="0.25"/>
    <row r="113610" customFormat="1" x14ac:dyDescent="0.25"/>
    <row r="113611" customFormat="1" x14ac:dyDescent="0.25"/>
    <row r="113612" customFormat="1" x14ac:dyDescent="0.25"/>
    <row r="113613" customFormat="1" x14ac:dyDescent="0.25"/>
    <row r="113614" customFormat="1" x14ac:dyDescent="0.25"/>
    <row r="113615" customFormat="1" x14ac:dyDescent="0.25"/>
    <row r="113616" customFormat="1" x14ac:dyDescent="0.25"/>
    <row r="113617" customFormat="1" x14ac:dyDescent="0.25"/>
    <row r="113618" customFormat="1" x14ac:dyDescent="0.25"/>
    <row r="113619" customFormat="1" x14ac:dyDescent="0.25"/>
    <row r="113620" customFormat="1" x14ac:dyDescent="0.25"/>
    <row r="113621" customFormat="1" x14ac:dyDescent="0.25"/>
    <row r="113622" customFormat="1" x14ac:dyDescent="0.25"/>
    <row r="113623" customFormat="1" x14ac:dyDescent="0.25"/>
    <row r="113624" customFormat="1" x14ac:dyDescent="0.25"/>
    <row r="113625" customFormat="1" x14ac:dyDescent="0.25"/>
    <row r="113626" customFormat="1" x14ac:dyDescent="0.25"/>
    <row r="113627" customFormat="1" x14ac:dyDescent="0.25"/>
    <row r="113628" customFormat="1" x14ac:dyDescent="0.25"/>
    <row r="113629" customFormat="1" x14ac:dyDescent="0.25"/>
    <row r="113630" customFormat="1" x14ac:dyDescent="0.25"/>
    <row r="113631" customFormat="1" x14ac:dyDescent="0.25"/>
    <row r="113632" customFormat="1" x14ac:dyDescent="0.25"/>
    <row r="113633" customFormat="1" x14ac:dyDescent="0.25"/>
    <row r="113634" customFormat="1" x14ac:dyDescent="0.25"/>
    <row r="113635" customFormat="1" x14ac:dyDescent="0.25"/>
    <row r="113636" customFormat="1" x14ac:dyDescent="0.25"/>
    <row r="113637" customFormat="1" x14ac:dyDescent="0.25"/>
    <row r="113638" customFormat="1" x14ac:dyDescent="0.25"/>
    <row r="113639" customFormat="1" x14ac:dyDescent="0.25"/>
    <row r="113640" customFormat="1" x14ac:dyDescent="0.25"/>
    <row r="113641" customFormat="1" x14ac:dyDescent="0.25"/>
    <row r="113642" customFormat="1" x14ac:dyDescent="0.25"/>
    <row r="113643" customFormat="1" x14ac:dyDescent="0.25"/>
    <row r="113644" customFormat="1" x14ac:dyDescent="0.25"/>
    <row r="113645" customFormat="1" x14ac:dyDescent="0.25"/>
    <row r="113646" customFormat="1" x14ac:dyDescent="0.25"/>
    <row r="113647" customFormat="1" x14ac:dyDescent="0.25"/>
    <row r="113648" customFormat="1" x14ac:dyDescent="0.25"/>
    <row r="113649" customFormat="1" x14ac:dyDescent="0.25"/>
    <row r="113650" customFormat="1" x14ac:dyDescent="0.25"/>
    <row r="113651" customFormat="1" x14ac:dyDescent="0.25"/>
    <row r="113652" customFormat="1" x14ac:dyDescent="0.25"/>
    <row r="113653" customFormat="1" x14ac:dyDescent="0.25"/>
    <row r="113654" customFormat="1" x14ac:dyDescent="0.25"/>
    <row r="113655" customFormat="1" x14ac:dyDescent="0.25"/>
    <row r="113656" customFormat="1" x14ac:dyDescent="0.25"/>
    <row r="113657" customFormat="1" x14ac:dyDescent="0.25"/>
    <row r="113658" customFormat="1" x14ac:dyDescent="0.25"/>
    <row r="113659" customFormat="1" x14ac:dyDescent="0.25"/>
    <row r="113660" customFormat="1" x14ac:dyDescent="0.25"/>
    <row r="113661" customFormat="1" x14ac:dyDescent="0.25"/>
    <row r="113662" customFormat="1" x14ac:dyDescent="0.25"/>
    <row r="113663" customFormat="1" x14ac:dyDescent="0.25"/>
    <row r="113664" customFormat="1" x14ac:dyDescent="0.25"/>
    <row r="113665" customFormat="1" x14ac:dyDescent="0.25"/>
    <row r="113666" customFormat="1" x14ac:dyDescent="0.25"/>
    <row r="113667" customFormat="1" x14ac:dyDescent="0.25"/>
    <row r="113668" customFormat="1" x14ac:dyDescent="0.25"/>
    <row r="113669" customFormat="1" x14ac:dyDescent="0.25"/>
    <row r="113670" customFormat="1" x14ac:dyDescent="0.25"/>
    <row r="113671" customFormat="1" x14ac:dyDescent="0.25"/>
    <row r="113672" customFormat="1" x14ac:dyDescent="0.25"/>
    <row r="113673" customFormat="1" x14ac:dyDescent="0.25"/>
    <row r="113674" customFormat="1" x14ac:dyDescent="0.25"/>
    <row r="113675" customFormat="1" x14ac:dyDescent="0.25"/>
    <row r="113676" customFormat="1" x14ac:dyDescent="0.25"/>
    <row r="113677" customFormat="1" x14ac:dyDescent="0.25"/>
    <row r="113678" customFormat="1" x14ac:dyDescent="0.25"/>
    <row r="113679" customFormat="1" x14ac:dyDescent="0.25"/>
    <row r="113680" customFormat="1" x14ac:dyDescent="0.25"/>
    <row r="113681" customFormat="1" x14ac:dyDescent="0.25"/>
    <row r="113682" customFormat="1" x14ac:dyDescent="0.25"/>
    <row r="113683" customFormat="1" x14ac:dyDescent="0.25"/>
    <row r="113684" customFormat="1" x14ac:dyDescent="0.25"/>
    <row r="113685" customFormat="1" x14ac:dyDescent="0.25"/>
    <row r="113686" customFormat="1" x14ac:dyDescent="0.25"/>
    <row r="113687" customFormat="1" x14ac:dyDescent="0.25"/>
    <row r="113688" customFormat="1" x14ac:dyDescent="0.25"/>
    <row r="113689" customFormat="1" x14ac:dyDescent="0.25"/>
    <row r="113690" customFormat="1" x14ac:dyDescent="0.25"/>
    <row r="113691" customFormat="1" x14ac:dyDescent="0.25"/>
    <row r="113692" customFormat="1" x14ac:dyDescent="0.25"/>
    <row r="113693" customFormat="1" x14ac:dyDescent="0.25"/>
    <row r="113694" customFormat="1" x14ac:dyDescent="0.25"/>
    <row r="113695" customFormat="1" x14ac:dyDescent="0.25"/>
    <row r="113696" customFormat="1" x14ac:dyDescent="0.25"/>
    <row r="113697" customFormat="1" x14ac:dyDescent="0.25"/>
    <row r="113698" customFormat="1" x14ac:dyDescent="0.25"/>
    <row r="113699" customFormat="1" x14ac:dyDescent="0.25"/>
    <row r="113700" customFormat="1" x14ac:dyDescent="0.25"/>
    <row r="113701" customFormat="1" x14ac:dyDescent="0.25"/>
    <row r="113702" customFormat="1" x14ac:dyDescent="0.25"/>
    <row r="113703" customFormat="1" x14ac:dyDescent="0.25"/>
    <row r="113704" customFormat="1" x14ac:dyDescent="0.25"/>
    <row r="113705" customFormat="1" x14ac:dyDescent="0.25"/>
    <row r="113706" customFormat="1" x14ac:dyDescent="0.25"/>
    <row r="113707" customFormat="1" x14ac:dyDescent="0.25"/>
    <row r="113708" customFormat="1" x14ac:dyDescent="0.25"/>
    <row r="113709" customFormat="1" x14ac:dyDescent="0.25"/>
    <row r="113710" customFormat="1" x14ac:dyDescent="0.25"/>
    <row r="113711" customFormat="1" x14ac:dyDescent="0.25"/>
    <row r="113712" customFormat="1" x14ac:dyDescent="0.25"/>
    <row r="113713" customFormat="1" x14ac:dyDescent="0.25"/>
    <row r="113714" customFormat="1" x14ac:dyDescent="0.25"/>
    <row r="113715" customFormat="1" x14ac:dyDescent="0.25"/>
    <row r="113716" customFormat="1" x14ac:dyDescent="0.25"/>
    <row r="113717" customFormat="1" x14ac:dyDescent="0.25"/>
    <row r="113718" customFormat="1" x14ac:dyDescent="0.25"/>
    <row r="113719" customFormat="1" x14ac:dyDescent="0.25"/>
    <row r="113720" customFormat="1" x14ac:dyDescent="0.25"/>
    <row r="113721" customFormat="1" x14ac:dyDescent="0.25"/>
    <row r="113722" customFormat="1" x14ac:dyDescent="0.25"/>
    <row r="113723" customFormat="1" x14ac:dyDescent="0.25"/>
    <row r="113724" customFormat="1" x14ac:dyDescent="0.25"/>
    <row r="113725" customFormat="1" x14ac:dyDescent="0.25"/>
    <row r="113726" customFormat="1" x14ac:dyDescent="0.25"/>
    <row r="113727" customFormat="1" x14ac:dyDescent="0.25"/>
    <row r="113728" customFormat="1" x14ac:dyDescent="0.25"/>
    <row r="113729" customFormat="1" x14ac:dyDescent="0.25"/>
    <row r="113730" customFormat="1" x14ac:dyDescent="0.25"/>
    <row r="113731" customFormat="1" x14ac:dyDescent="0.25"/>
    <row r="113732" customFormat="1" x14ac:dyDescent="0.25"/>
    <row r="113733" customFormat="1" x14ac:dyDescent="0.25"/>
    <row r="113734" customFormat="1" x14ac:dyDescent="0.25"/>
    <row r="113735" customFormat="1" x14ac:dyDescent="0.25"/>
    <row r="113736" customFormat="1" x14ac:dyDescent="0.25"/>
    <row r="113737" customFormat="1" x14ac:dyDescent="0.25"/>
    <row r="113738" customFormat="1" x14ac:dyDescent="0.25"/>
    <row r="113739" customFormat="1" x14ac:dyDescent="0.25"/>
    <row r="113740" customFormat="1" x14ac:dyDescent="0.25"/>
    <row r="113741" customFormat="1" x14ac:dyDescent="0.25"/>
    <row r="113742" customFormat="1" x14ac:dyDescent="0.25"/>
    <row r="113743" customFormat="1" x14ac:dyDescent="0.25"/>
    <row r="113744" customFormat="1" x14ac:dyDescent="0.25"/>
    <row r="113745" customFormat="1" x14ac:dyDescent="0.25"/>
    <row r="113746" customFormat="1" x14ac:dyDescent="0.25"/>
    <row r="113747" customFormat="1" x14ac:dyDescent="0.25"/>
    <row r="113748" customFormat="1" x14ac:dyDescent="0.25"/>
    <row r="113749" customFormat="1" x14ac:dyDescent="0.25"/>
    <row r="113750" customFormat="1" x14ac:dyDescent="0.25"/>
    <row r="113751" customFormat="1" x14ac:dyDescent="0.25"/>
    <row r="113752" customFormat="1" x14ac:dyDescent="0.25"/>
    <row r="113753" customFormat="1" x14ac:dyDescent="0.25"/>
    <row r="113754" customFormat="1" x14ac:dyDescent="0.25"/>
    <row r="113755" customFormat="1" x14ac:dyDescent="0.25"/>
    <row r="113756" customFormat="1" x14ac:dyDescent="0.25"/>
    <row r="113757" customFormat="1" x14ac:dyDescent="0.25"/>
    <row r="113758" customFormat="1" x14ac:dyDescent="0.25"/>
    <row r="113759" customFormat="1" x14ac:dyDescent="0.25"/>
    <row r="113760" customFormat="1" x14ac:dyDescent="0.25"/>
    <row r="113761" customFormat="1" x14ac:dyDescent="0.25"/>
    <row r="113762" customFormat="1" x14ac:dyDescent="0.25"/>
    <row r="113763" customFormat="1" x14ac:dyDescent="0.25"/>
    <row r="113764" customFormat="1" x14ac:dyDescent="0.25"/>
    <row r="113765" customFormat="1" x14ac:dyDescent="0.25"/>
    <row r="113766" customFormat="1" x14ac:dyDescent="0.25"/>
    <row r="113767" customFormat="1" x14ac:dyDescent="0.25"/>
    <row r="113768" customFormat="1" x14ac:dyDescent="0.25"/>
    <row r="113769" customFormat="1" x14ac:dyDescent="0.25"/>
    <row r="113770" customFormat="1" x14ac:dyDescent="0.25"/>
    <row r="113771" customFormat="1" x14ac:dyDescent="0.25"/>
    <row r="113772" customFormat="1" x14ac:dyDescent="0.25"/>
    <row r="113773" customFormat="1" x14ac:dyDescent="0.25"/>
    <row r="113774" customFormat="1" x14ac:dyDescent="0.25"/>
    <row r="113775" customFormat="1" x14ac:dyDescent="0.25"/>
    <row r="113776" customFormat="1" x14ac:dyDescent="0.25"/>
    <row r="113777" customFormat="1" x14ac:dyDescent="0.25"/>
    <row r="113778" customFormat="1" x14ac:dyDescent="0.25"/>
    <row r="113779" customFormat="1" x14ac:dyDescent="0.25"/>
    <row r="113780" customFormat="1" x14ac:dyDescent="0.25"/>
    <row r="113781" customFormat="1" x14ac:dyDescent="0.25"/>
    <row r="113782" customFormat="1" x14ac:dyDescent="0.25"/>
    <row r="113783" customFormat="1" x14ac:dyDescent="0.25"/>
    <row r="113784" customFormat="1" x14ac:dyDescent="0.25"/>
    <row r="113785" customFormat="1" x14ac:dyDescent="0.25"/>
    <row r="113786" customFormat="1" x14ac:dyDescent="0.25"/>
    <row r="113787" customFormat="1" x14ac:dyDescent="0.25"/>
    <row r="113788" customFormat="1" x14ac:dyDescent="0.25"/>
    <row r="113789" customFormat="1" x14ac:dyDescent="0.25"/>
    <row r="113790" customFormat="1" x14ac:dyDescent="0.25"/>
    <row r="113791" customFormat="1" x14ac:dyDescent="0.25"/>
    <row r="113792" customFormat="1" x14ac:dyDescent="0.25"/>
    <row r="113793" customFormat="1" x14ac:dyDescent="0.25"/>
    <row r="113794" customFormat="1" x14ac:dyDescent="0.25"/>
    <row r="113795" customFormat="1" x14ac:dyDescent="0.25"/>
    <row r="113796" customFormat="1" x14ac:dyDescent="0.25"/>
    <row r="113797" customFormat="1" x14ac:dyDescent="0.25"/>
    <row r="113798" customFormat="1" x14ac:dyDescent="0.25"/>
    <row r="113799" customFormat="1" x14ac:dyDescent="0.25"/>
    <row r="113800" customFormat="1" x14ac:dyDescent="0.25"/>
    <row r="113801" customFormat="1" x14ac:dyDescent="0.25"/>
    <row r="113802" customFormat="1" x14ac:dyDescent="0.25"/>
    <row r="113803" customFormat="1" x14ac:dyDescent="0.25"/>
    <row r="113804" customFormat="1" x14ac:dyDescent="0.25"/>
    <row r="113805" customFormat="1" x14ac:dyDescent="0.25"/>
    <row r="113806" customFormat="1" x14ac:dyDescent="0.25"/>
    <row r="113807" customFormat="1" x14ac:dyDescent="0.25"/>
    <row r="113808" customFormat="1" x14ac:dyDescent="0.25"/>
    <row r="113809" customFormat="1" x14ac:dyDescent="0.25"/>
    <row r="113810" customFormat="1" x14ac:dyDescent="0.25"/>
    <row r="113811" customFormat="1" x14ac:dyDescent="0.25"/>
    <row r="113812" customFormat="1" x14ac:dyDescent="0.25"/>
    <row r="113813" customFormat="1" x14ac:dyDescent="0.25"/>
    <row r="113814" customFormat="1" x14ac:dyDescent="0.25"/>
    <row r="113815" customFormat="1" x14ac:dyDescent="0.25"/>
    <row r="113816" customFormat="1" x14ac:dyDescent="0.25"/>
    <row r="113817" customFormat="1" x14ac:dyDescent="0.25"/>
    <row r="113818" customFormat="1" x14ac:dyDescent="0.25"/>
    <row r="113819" customFormat="1" x14ac:dyDescent="0.25"/>
    <row r="113820" customFormat="1" x14ac:dyDescent="0.25"/>
    <row r="113821" customFormat="1" x14ac:dyDescent="0.25"/>
    <row r="113822" customFormat="1" x14ac:dyDescent="0.25"/>
    <row r="113823" customFormat="1" x14ac:dyDescent="0.25"/>
    <row r="113824" customFormat="1" x14ac:dyDescent="0.25"/>
    <row r="113825" customFormat="1" x14ac:dyDescent="0.25"/>
    <row r="113826" customFormat="1" x14ac:dyDescent="0.25"/>
    <row r="113827" customFormat="1" x14ac:dyDescent="0.25"/>
    <row r="113828" customFormat="1" x14ac:dyDescent="0.25"/>
    <row r="113829" customFormat="1" x14ac:dyDescent="0.25"/>
    <row r="113830" customFormat="1" x14ac:dyDescent="0.25"/>
    <row r="113831" customFormat="1" x14ac:dyDescent="0.25"/>
    <row r="113832" customFormat="1" x14ac:dyDescent="0.25"/>
    <row r="113833" customFormat="1" x14ac:dyDescent="0.25"/>
    <row r="113834" customFormat="1" x14ac:dyDescent="0.25"/>
    <row r="113835" customFormat="1" x14ac:dyDescent="0.25"/>
    <row r="113836" customFormat="1" x14ac:dyDescent="0.25"/>
    <row r="113837" customFormat="1" x14ac:dyDescent="0.25"/>
    <row r="113838" customFormat="1" x14ac:dyDescent="0.25"/>
    <row r="113839" customFormat="1" x14ac:dyDescent="0.25"/>
    <row r="113840" customFormat="1" x14ac:dyDescent="0.25"/>
    <row r="113841" customFormat="1" x14ac:dyDescent="0.25"/>
    <row r="113842" customFormat="1" x14ac:dyDescent="0.25"/>
    <row r="113843" customFormat="1" x14ac:dyDescent="0.25"/>
    <row r="113844" customFormat="1" x14ac:dyDescent="0.25"/>
    <row r="113845" customFormat="1" x14ac:dyDescent="0.25"/>
    <row r="113846" customFormat="1" x14ac:dyDescent="0.25"/>
    <row r="113847" customFormat="1" x14ac:dyDescent="0.25"/>
    <row r="113848" customFormat="1" x14ac:dyDescent="0.25"/>
    <row r="113849" customFormat="1" x14ac:dyDescent="0.25"/>
    <row r="113850" customFormat="1" x14ac:dyDescent="0.25"/>
    <row r="113851" customFormat="1" x14ac:dyDescent="0.25"/>
    <row r="113852" customFormat="1" x14ac:dyDescent="0.25"/>
    <row r="113853" customFormat="1" x14ac:dyDescent="0.25"/>
    <row r="113854" customFormat="1" x14ac:dyDescent="0.25"/>
    <row r="113855" customFormat="1" x14ac:dyDescent="0.25"/>
    <row r="113856" customFormat="1" x14ac:dyDescent="0.25"/>
    <row r="113857" customFormat="1" x14ac:dyDescent="0.25"/>
    <row r="113858" customFormat="1" x14ac:dyDescent="0.25"/>
    <row r="113859" customFormat="1" x14ac:dyDescent="0.25"/>
    <row r="113860" customFormat="1" x14ac:dyDescent="0.25"/>
    <row r="113861" customFormat="1" x14ac:dyDescent="0.25"/>
    <row r="113862" customFormat="1" x14ac:dyDescent="0.25"/>
    <row r="113863" customFormat="1" x14ac:dyDescent="0.25"/>
    <row r="113864" customFormat="1" x14ac:dyDescent="0.25"/>
    <row r="113865" customFormat="1" x14ac:dyDescent="0.25"/>
    <row r="113866" customFormat="1" x14ac:dyDescent="0.25"/>
    <row r="113867" customFormat="1" x14ac:dyDescent="0.25"/>
    <row r="113868" customFormat="1" x14ac:dyDescent="0.25"/>
    <row r="113869" customFormat="1" x14ac:dyDescent="0.25"/>
    <row r="113870" customFormat="1" x14ac:dyDescent="0.25"/>
    <row r="113871" customFormat="1" x14ac:dyDescent="0.25"/>
    <row r="113872" customFormat="1" x14ac:dyDescent="0.25"/>
    <row r="113873" customFormat="1" x14ac:dyDescent="0.25"/>
    <row r="113874" customFormat="1" x14ac:dyDescent="0.25"/>
    <row r="113875" customFormat="1" x14ac:dyDescent="0.25"/>
    <row r="113876" customFormat="1" x14ac:dyDescent="0.25"/>
    <row r="113877" customFormat="1" x14ac:dyDescent="0.25"/>
    <row r="113878" customFormat="1" x14ac:dyDescent="0.25"/>
    <row r="113879" customFormat="1" x14ac:dyDescent="0.25"/>
    <row r="113880" customFormat="1" x14ac:dyDescent="0.25"/>
    <row r="113881" customFormat="1" x14ac:dyDescent="0.25"/>
    <row r="113882" customFormat="1" x14ac:dyDescent="0.25"/>
    <row r="113883" customFormat="1" x14ac:dyDescent="0.25"/>
    <row r="113884" customFormat="1" x14ac:dyDescent="0.25"/>
    <row r="113885" customFormat="1" x14ac:dyDescent="0.25"/>
    <row r="113886" customFormat="1" x14ac:dyDescent="0.25"/>
    <row r="113887" customFormat="1" x14ac:dyDescent="0.25"/>
    <row r="113888" customFormat="1" x14ac:dyDescent="0.25"/>
    <row r="113889" customFormat="1" x14ac:dyDescent="0.25"/>
    <row r="113890" customFormat="1" x14ac:dyDescent="0.25"/>
    <row r="113891" customFormat="1" x14ac:dyDescent="0.25"/>
    <row r="113892" customFormat="1" x14ac:dyDescent="0.25"/>
    <row r="113893" customFormat="1" x14ac:dyDescent="0.25"/>
    <row r="113894" customFormat="1" x14ac:dyDescent="0.25"/>
    <row r="113895" customFormat="1" x14ac:dyDescent="0.25"/>
    <row r="113896" customFormat="1" x14ac:dyDescent="0.25"/>
    <row r="113897" customFormat="1" x14ac:dyDescent="0.25"/>
    <row r="113898" customFormat="1" x14ac:dyDescent="0.25"/>
    <row r="113899" customFormat="1" x14ac:dyDescent="0.25"/>
    <row r="113900" customFormat="1" x14ac:dyDescent="0.25"/>
    <row r="113901" customFormat="1" x14ac:dyDescent="0.25"/>
    <row r="113902" customFormat="1" x14ac:dyDescent="0.25"/>
    <row r="113903" customFormat="1" x14ac:dyDescent="0.25"/>
    <row r="113904" customFormat="1" x14ac:dyDescent="0.25"/>
    <row r="113905" customFormat="1" x14ac:dyDescent="0.25"/>
    <row r="113906" customFormat="1" x14ac:dyDescent="0.25"/>
    <row r="113907" customFormat="1" x14ac:dyDescent="0.25"/>
    <row r="113908" customFormat="1" x14ac:dyDescent="0.25"/>
    <row r="113909" customFormat="1" x14ac:dyDescent="0.25"/>
    <row r="113910" customFormat="1" x14ac:dyDescent="0.25"/>
    <row r="113911" customFormat="1" x14ac:dyDescent="0.25"/>
    <row r="113912" customFormat="1" x14ac:dyDescent="0.25"/>
    <row r="113913" customFormat="1" x14ac:dyDescent="0.25"/>
    <row r="113914" customFormat="1" x14ac:dyDescent="0.25"/>
    <row r="113915" customFormat="1" x14ac:dyDescent="0.25"/>
    <row r="113916" customFormat="1" x14ac:dyDescent="0.25"/>
    <row r="113917" customFormat="1" x14ac:dyDescent="0.25"/>
    <row r="113918" customFormat="1" x14ac:dyDescent="0.25"/>
    <row r="113919" customFormat="1" x14ac:dyDescent="0.25"/>
    <row r="113920" customFormat="1" x14ac:dyDescent="0.25"/>
    <row r="113921" customFormat="1" x14ac:dyDescent="0.25"/>
    <row r="113922" customFormat="1" x14ac:dyDescent="0.25"/>
    <row r="113923" customFormat="1" x14ac:dyDescent="0.25"/>
    <row r="113924" customFormat="1" x14ac:dyDescent="0.25"/>
    <row r="113925" customFormat="1" x14ac:dyDescent="0.25"/>
    <row r="113926" customFormat="1" x14ac:dyDescent="0.25"/>
    <row r="113927" customFormat="1" x14ac:dyDescent="0.25"/>
    <row r="113928" customFormat="1" x14ac:dyDescent="0.25"/>
    <row r="113929" customFormat="1" x14ac:dyDescent="0.25"/>
    <row r="113930" customFormat="1" x14ac:dyDescent="0.25"/>
    <row r="113931" customFormat="1" x14ac:dyDescent="0.25"/>
    <row r="113932" customFormat="1" x14ac:dyDescent="0.25"/>
    <row r="113933" customFormat="1" x14ac:dyDescent="0.25"/>
    <row r="113934" customFormat="1" x14ac:dyDescent="0.25"/>
    <row r="113935" customFormat="1" x14ac:dyDescent="0.25"/>
    <row r="113936" customFormat="1" x14ac:dyDescent="0.25"/>
    <row r="113937" customFormat="1" x14ac:dyDescent="0.25"/>
    <row r="113938" customFormat="1" x14ac:dyDescent="0.25"/>
    <row r="113939" customFormat="1" x14ac:dyDescent="0.25"/>
    <row r="113940" customFormat="1" x14ac:dyDescent="0.25"/>
    <row r="113941" customFormat="1" x14ac:dyDescent="0.25"/>
    <row r="113942" customFormat="1" x14ac:dyDescent="0.25"/>
    <row r="113943" customFormat="1" x14ac:dyDescent="0.25"/>
    <row r="113944" customFormat="1" x14ac:dyDescent="0.25"/>
    <row r="113945" customFormat="1" x14ac:dyDescent="0.25"/>
    <row r="113946" customFormat="1" x14ac:dyDescent="0.25"/>
    <row r="113947" customFormat="1" x14ac:dyDescent="0.25"/>
    <row r="113948" customFormat="1" x14ac:dyDescent="0.25"/>
    <row r="113949" customFormat="1" x14ac:dyDescent="0.25"/>
    <row r="113950" customFormat="1" x14ac:dyDescent="0.25"/>
    <row r="113951" customFormat="1" x14ac:dyDescent="0.25"/>
    <row r="113952" customFormat="1" x14ac:dyDescent="0.25"/>
    <row r="113953" customFormat="1" x14ac:dyDescent="0.25"/>
    <row r="113954" customFormat="1" x14ac:dyDescent="0.25"/>
    <row r="113955" customFormat="1" x14ac:dyDescent="0.25"/>
    <row r="113956" customFormat="1" x14ac:dyDescent="0.25"/>
    <row r="113957" customFormat="1" x14ac:dyDescent="0.25"/>
    <row r="113958" customFormat="1" x14ac:dyDescent="0.25"/>
    <row r="113959" customFormat="1" x14ac:dyDescent="0.25"/>
    <row r="113960" customFormat="1" x14ac:dyDescent="0.25"/>
    <row r="113961" customFormat="1" x14ac:dyDescent="0.25"/>
    <row r="113962" customFormat="1" x14ac:dyDescent="0.25"/>
    <row r="113963" customFormat="1" x14ac:dyDescent="0.25"/>
    <row r="113964" customFormat="1" x14ac:dyDescent="0.25"/>
    <row r="113965" customFormat="1" x14ac:dyDescent="0.25"/>
    <row r="113966" customFormat="1" x14ac:dyDescent="0.25"/>
    <row r="113967" customFormat="1" x14ac:dyDescent="0.25"/>
    <row r="113968" customFormat="1" x14ac:dyDescent="0.25"/>
    <row r="113969" customFormat="1" x14ac:dyDescent="0.25"/>
    <row r="113970" customFormat="1" x14ac:dyDescent="0.25"/>
    <row r="113971" customFormat="1" x14ac:dyDescent="0.25"/>
    <row r="113972" customFormat="1" x14ac:dyDescent="0.25"/>
    <row r="113973" customFormat="1" x14ac:dyDescent="0.25"/>
    <row r="113974" customFormat="1" x14ac:dyDescent="0.25"/>
    <row r="113975" customFormat="1" x14ac:dyDescent="0.25"/>
    <row r="113976" customFormat="1" x14ac:dyDescent="0.25"/>
    <row r="113977" customFormat="1" x14ac:dyDescent="0.25"/>
    <row r="113978" customFormat="1" x14ac:dyDescent="0.25"/>
    <row r="113979" customFormat="1" x14ac:dyDescent="0.25"/>
    <row r="113980" customFormat="1" x14ac:dyDescent="0.25"/>
    <row r="113981" customFormat="1" x14ac:dyDescent="0.25"/>
    <row r="113982" customFormat="1" x14ac:dyDescent="0.25"/>
    <row r="113983" customFormat="1" x14ac:dyDescent="0.25"/>
    <row r="113984" customFormat="1" x14ac:dyDescent="0.25"/>
    <row r="113985" customFormat="1" x14ac:dyDescent="0.25"/>
    <row r="113986" customFormat="1" x14ac:dyDescent="0.25"/>
    <row r="113987" customFormat="1" x14ac:dyDescent="0.25"/>
    <row r="113988" customFormat="1" x14ac:dyDescent="0.25"/>
    <row r="113989" customFormat="1" x14ac:dyDescent="0.25"/>
    <row r="113990" customFormat="1" x14ac:dyDescent="0.25"/>
    <row r="113991" customFormat="1" x14ac:dyDescent="0.25"/>
    <row r="113992" customFormat="1" x14ac:dyDescent="0.25"/>
    <row r="113993" customFormat="1" x14ac:dyDescent="0.25"/>
    <row r="113994" customFormat="1" x14ac:dyDescent="0.25"/>
    <row r="113995" customFormat="1" x14ac:dyDescent="0.25"/>
    <row r="113996" customFormat="1" x14ac:dyDescent="0.25"/>
    <row r="113997" customFormat="1" x14ac:dyDescent="0.25"/>
    <row r="113998" customFormat="1" x14ac:dyDescent="0.25"/>
    <row r="113999" customFormat="1" x14ac:dyDescent="0.25"/>
    <row r="114000" customFormat="1" x14ac:dyDescent="0.25"/>
    <row r="114001" customFormat="1" x14ac:dyDescent="0.25"/>
    <row r="114002" customFormat="1" x14ac:dyDescent="0.25"/>
    <row r="114003" customFormat="1" x14ac:dyDescent="0.25"/>
    <row r="114004" customFormat="1" x14ac:dyDescent="0.25"/>
    <row r="114005" customFormat="1" x14ac:dyDescent="0.25"/>
    <row r="114006" customFormat="1" x14ac:dyDescent="0.25"/>
    <row r="114007" customFormat="1" x14ac:dyDescent="0.25"/>
    <row r="114008" customFormat="1" x14ac:dyDescent="0.25"/>
    <row r="114009" customFormat="1" x14ac:dyDescent="0.25"/>
    <row r="114010" customFormat="1" x14ac:dyDescent="0.25"/>
    <row r="114011" customFormat="1" x14ac:dyDescent="0.25"/>
    <row r="114012" customFormat="1" x14ac:dyDescent="0.25"/>
    <row r="114013" customFormat="1" x14ac:dyDescent="0.25"/>
    <row r="114014" customFormat="1" x14ac:dyDescent="0.25"/>
    <row r="114015" customFormat="1" x14ac:dyDescent="0.25"/>
    <row r="114016" customFormat="1" x14ac:dyDescent="0.25"/>
    <row r="114017" customFormat="1" x14ac:dyDescent="0.25"/>
    <row r="114018" customFormat="1" x14ac:dyDescent="0.25"/>
    <row r="114019" customFormat="1" x14ac:dyDescent="0.25"/>
    <row r="114020" customFormat="1" x14ac:dyDescent="0.25"/>
    <row r="114021" customFormat="1" x14ac:dyDescent="0.25"/>
    <row r="114022" customFormat="1" x14ac:dyDescent="0.25"/>
    <row r="114023" customFormat="1" x14ac:dyDescent="0.25"/>
    <row r="114024" customFormat="1" x14ac:dyDescent="0.25"/>
    <row r="114025" customFormat="1" x14ac:dyDescent="0.25"/>
    <row r="114026" customFormat="1" x14ac:dyDescent="0.25"/>
    <row r="114027" customFormat="1" x14ac:dyDescent="0.25"/>
    <row r="114028" customFormat="1" x14ac:dyDescent="0.25"/>
    <row r="114029" customFormat="1" x14ac:dyDescent="0.25"/>
    <row r="114030" customFormat="1" x14ac:dyDescent="0.25"/>
    <row r="114031" customFormat="1" x14ac:dyDescent="0.25"/>
    <row r="114032" customFormat="1" x14ac:dyDescent="0.25"/>
    <row r="114033" customFormat="1" x14ac:dyDescent="0.25"/>
    <row r="114034" customFormat="1" x14ac:dyDescent="0.25"/>
    <row r="114035" customFormat="1" x14ac:dyDescent="0.25"/>
    <row r="114036" customFormat="1" x14ac:dyDescent="0.25"/>
    <row r="114037" customFormat="1" x14ac:dyDescent="0.25"/>
    <row r="114038" customFormat="1" x14ac:dyDescent="0.25"/>
    <row r="114039" customFormat="1" x14ac:dyDescent="0.25"/>
    <row r="114040" customFormat="1" x14ac:dyDescent="0.25"/>
    <row r="114041" customFormat="1" x14ac:dyDescent="0.25"/>
    <row r="114042" customFormat="1" x14ac:dyDescent="0.25"/>
    <row r="114043" customFormat="1" x14ac:dyDescent="0.25"/>
    <row r="114044" customFormat="1" x14ac:dyDescent="0.25"/>
    <row r="114045" customFormat="1" x14ac:dyDescent="0.25"/>
    <row r="114046" customFormat="1" x14ac:dyDescent="0.25"/>
    <row r="114047" customFormat="1" x14ac:dyDescent="0.25"/>
    <row r="114048" customFormat="1" x14ac:dyDescent="0.25"/>
    <row r="114049" customFormat="1" x14ac:dyDescent="0.25"/>
    <row r="114050" customFormat="1" x14ac:dyDescent="0.25"/>
    <row r="114051" customFormat="1" x14ac:dyDescent="0.25"/>
    <row r="114052" customFormat="1" x14ac:dyDescent="0.25"/>
    <row r="114053" customFormat="1" x14ac:dyDescent="0.25"/>
    <row r="114054" customFormat="1" x14ac:dyDescent="0.25"/>
    <row r="114055" customFormat="1" x14ac:dyDescent="0.25"/>
    <row r="114056" customFormat="1" x14ac:dyDescent="0.25"/>
    <row r="114057" customFormat="1" x14ac:dyDescent="0.25"/>
    <row r="114058" customFormat="1" x14ac:dyDescent="0.25"/>
    <row r="114059" customFormat="1" x14ac:dyDescent="0.25"/>
    <row r="114060" customFormat="1" x14ac:dyDescent="0.25"/>
    <row r="114061" customFormat="1" x14ac:dyDescent="0.25"/>
    <row r="114062" customFormat="1" x14ac:dyDescent="0.25"/>
    <row r="114063" customFormat="1" x14ac:dyDescent="0.25"/>
    <row r="114064" customFormat="1" x14ac:dyDescent="0.25"/>
    <row r="114065" customFormat="1" x14ac:dyDescent="0.25"/>
    <row r="114066" customFormat="1" x14ac:dyDescent="0.25"/>
    <row r="114067" customFormat="1" x14ac:dyDescent="0.25"/>
    <row r="114068" customFormat="1" x14ac:dyDescent="0.25"/>
    <row r="114069" customFormat="1" x14ac:dyDescent="0.25"/>
    <row r="114070" customFormat="1" x14ac:dyDescent="0.25"/>
    <row r="114071" customFormat="1" x14ac:dyDescent="0.25"/>
    <row r="114072" customFormat="1" x14ac:dyDescent="0.25"/>
    <row r="114073" customFormat="1" x14ac:dyDescent="0.25"/>
    <row r="114074" customFormat="1" x14ac:dyDescent="0.25"/>
    <row r="114075" customFormat="1" x14ac:dyDescent="0.25"/>
    <row r="114076" customFormat="1" x14ac:dyDescent="0.25"/>
    <row r="114077" customFormat="1" x14ac:dyDescent="0.25"/>
    <row r="114078" customFormat="1" x14ac:dyDescent="0.25"/>
    <row r="114079" customFormat="1" x14ac:dyDescent="0.25"/>
    <row r="114080" customFormat="1" x14ac:dyDescent="0.25"/>
    <row r="114081" customFormat="1" x14ac:dyDescent="0.25"/>
    <row r="114082" customFormat="1" x14ac:dyDescent="0.25"/>
    <row r="114083" customFormat="1" x14ac:dyDescent="0.25"/>
    <row r="114084" customFormat="1" x14ac:dyDescent="0.25"/>
    <row r="114085" customFormat="1" x14ac:dyDescent="0.25"/>
    <row r="114086" customFormat="1" x14ac:dyDescent="0.25"/>
    <row r="114087" customFormat="1" x14ac:dyDescent="0.25"/>
    <row r="114088" customFormat="1" x14ac:dyDescent="0.25"/>
    <row r="114089" customFormat="1" x14ac:dyDescent="0.25"/>
    <row r="114090" customFormat="1" x14ac:dyDescent="0.25"/>
    <row r="114091" customFormat="1" x14ac:dyDescent="0.25"/>
    <row r="114092" customFormat="1" x14ac:dyDescent="0.25"/>
    <row r="114093" customFormat="1" x14ac:dyDescent="0.25"/>
    <row r="114094" customFormat="1" x14ac:dyDescent="0.25"/>
    <row r="114095" customFormat="1" x14ac:dyDescent="0.25"/>
    <row r="114096" customFormat="1" x14ac:dyDescent="0.25"/>
    <row r="114097" customFormat="1" x14ac:dyDescent="0.25"/>
    <row r="114098" customFormat="1" x14ac:dyDescent="0.25"/>
    <row r="114099" customFormat="1" x14ac:dyDescent="0.25"/>
    <row r="114100" customFormat="1" x14ac:dyDescent="0.25"/>
    <row r="114101" customFormat="1" x14ac:dyDescent="0.25"/>
    <row r="114102" customFormat="1" x14ac:dyDescent="0.25"/>
    <row r="114103" customFormat="1" x14ac:dyDescent="0.25"/>
    <row r="114104" customFormat="1" x14ac:dyDescent="0.25"/>
    <row r="114105" customFormat="1" x14ac:dyDescent="0.25"/>
    <row r="114106" customFormat="1" x14ac:dyDescent="0.25"/>
    <row r="114107" customFormat="1" x14ac:dyDescent="0.25"/>
    <row r="114108" customFormat="1" x14ac:dyDescent="0.25"/>
    <row r="114109" customFormat="1" x14ac:dyDescent="0.25"/>
    <row r="114110" customFormat="1" x14ac:dyDescent="0.25"/>
    <row r="114111" customFormat="1" x14ac:dyDescent="0.25"/>
    <row r="114112" customFormat="1" x14ac:dyDescent="0.25"/>
    <row r="114113" customFormat="1" x14ac:dyDescent="0.25"/>
    <row r="114114" customFormat="1" x14ac:dyDescent="0.25"/>
    <row r="114115" customFormat="1" x14ac:dyDescent="0.25"/>
    <row r="114116" customFormat="1" x14ac:dyDescent="0.25"/>
    <row r="114117" customFormat="1" x14ac:dyDescent="0.25"/>
    <row r="114118" customFormat="1" x14ac:dyDescent="0.25"/>
    <row r="114119" customFormat="1" x14ac:dyDescent="0.25"/>
    <row r="114120" customFormat="1" x14ac:dyDescent="0.25"/>
    <row r="114121" customFormat="1" x14ac:dyDescent="0.25"/>
    <row r="114122" customFormat="1" x14ac:dyDescent="0.25"/>
    <row r="114123" customFormat="1" x14ac:dyDescent="0.25"/>
    <row r="114124" customFormat="1" x14ac:dyDescent="0.25"/>
    <row r="114125" customFormat="1" x14ac:dyDescent="0.25"/>
    <row r="114126" customFormat="1" x14ac:dyDescent="0.25"/>
    <row r="114127" customFormat="1" x14ac:dyDescent="0.25"/>
    <row r="114128" customFormat="1" x14ac:dyDescent="0.25"/>
    <row r="114129" customFormat="1" x14ac:dyDescent="0.25"/>
    <row r="114130" customFormat="1" x14ac:dyDescent="0.25"/>
    <row r="114131" customFormat="1" x14ac:dyDescent="0.25"/>
    <row r="114132" customFormat="1" x14ac:dyDescent="0.25"/>
    <row r="114133" customFormat="1" x14ac:dyDescent="0.25"/>
    <row r="114134" customFormat="1" x14ac:dyDescent="0.25"/>
    <row r="114135" customFormat="1" x14ac:dyDescent="0.25"/>
    <row r="114136" customFormat="1" x14ac:dyDescent="0.25"/>
    <row r="114137" customFormat="1" x14ac:dyDescent="0.25"/>
    <row r="114138" customFormat="1" x14ac:dyDescent="0.25"/>
    <row r="114139" customFormat="1" x14ac:dyDescent="0.25"/>
    <row r="114140" customFormat="1" x14ac:dyDescent="0.25"/>
    <row r="114141" customFormat="1" x14ac:dyDescent="0.25"/>
    <row r="114142" customFormat="1" x14ac:dyDescent="0.25"/>
    <row r="114143" customFormat="1" x14ac:dyDescent="0.25"/>
    <row r="114144" customFormat="1" x14ac:dyDescent="0.25"/>
    <row r="114145" customFormat="1" x14ac:dyDescent="0.25"/>
    <row r="114146" customFormat="1" x14ac:dyDescent="0.25"/>
    <row r="114147" customFormat="1" x14ac:dyDescent="0.25"/>
    <row r="114148" customFormat="1" x14ac:dyDescent="0.25"/>
    <row r="114149" customFormat="1" x14ac:dyDescent="0.25"/>
    <row r="114150" customFormat="1" x14ac:dyDescent="0.25"/>
    <row r="114151" customFormat="1" x14ac:dyDescent="0.25"/>
    <row r="114152" customFormat="1" x14ac:dyDescent="0.25"/>
    <row r="114153" customFormat="1" x14ac:dyDescent="0.25"/>
    <row r="114154" customFormat="1" x14ac:dyDescent="0.25"/>
    <row r="114155" customFormat="1" x14ac:dyDescent="0.25"/>
    <row r="114156" customFormat="1" x14ac:dyDescent="0.25"/>
    <row r="114157" customFormat="1" x14ac:dyDescent="0.25"/>
    <row r="114158" customFormat="1" x14ac:dyDescent="0.25"/>
    <row r="114159" customFormat="1" x14ac:dyDescent="0.25"/>
    <row r="114160" customFormat="1" x14ac:dyDescent="0.25"/>
    <row r="114161" customFormat="1" x14ac:dyDescent="0.25"/>
    <row r="114162" customFormat="1" x14ac:dyDescent="0.25"/>
    <row r="114163" customFormat="1" x14ac:dyDescent="0.25"/>
    <row r="114164" customFormat="1" x14ac:dyDescent="0.25"/>
    <row r="114165" customFormat="1" x14ac:dyDescent="0.25"/>
    <row r="114166" customFormat="1" x14ac:dyDescent="0.25"/>
    <row r="114167" customFormat="1" x14ac:dyDescent="0.25"/>
    <row r="114168" customFormat="1" x14ac:dyDescent="0.25"/>
    <row r="114169" customFormat="1" x14ac:dyDescent="0.25"/>
    <row r="114170" customFormat="1" x14ac:dyDescent="0.25"/>
    <row r="114171" customFormat="1" x14ac:dyDescent="0.25"/>
    <row r="114172" customFormat="1" x14ac:dyDescent="0.25"/>
    <row r="114173" customFormat="1" x14ac:dyDescent="0.25"/>
    <row r="114174" customFormat="1" x14ac:dyDescent="0.25"/>
    <row r="114175" customFormat="1" x14ac:dyDescent="0.25"/>
    <row r="114176" customFormat="1" x14ac:dyDescent="0.25"/>
    <row r="114177" customFormat="1" x14ac:dyDescent="0.25"/>
    <row r="114178" customFormat="1" x14ac:dyDescent="0.25"/>
    <row r="114179" customFormat="1" x14ac:dyDescent="0.25"/>
    <row r="114180" customFormat="1" x14ac:dyDescent="0.25"/>
    <row r="114181" customFormat="1" x14ac:dyDescent="0.25"/>
    <row r="114182" customFormat="1" x14ac:dyDescent="0.25"/>
    <row r="114183" customFormat="1" x14ac:dyDescent="0.25"/>
    <row r="114184" customFormat="1" x14ac:dyDescent="0.25"/>
    <row r="114185" customFormat="1" x14ac:dyDescent="0.25"/>
    <row r="114186" customFormat="1" x14ac:dyDescent="0.25"/>
    <row r="114187" customFormat="1" x14ac:dyDescent="0.25"/>
    <row r="114188" customFormat="1" x14ac:dyDescent="0.25"/>
    <row r="114189" customFormat="1" x14ac:dyDescent="0.25"/>
    <row r="114190" customFormat="1" x14ac:dyDescent="0.25"/>
    <row r="114191" customFormat="1" x14ac:dyDescent="0.25"/>
    <row r="114192" customFormat="1" x14ac:dyDescent="0.25"/>
    <row r="114193" customFormat="1" x14ac:dyDescent="0.25"/>
    <row r="114194" customFormat="1" x14ac:dyDescent="0.25"/>
    <row r="114195" customFormat="1" x14ac:dyDescent="0.25"/>
    <row r="114196" customFormat="1" x14ac:dyDescent="0.25"/>
    <row r="114197" customFormat="1" x14ac:dyDescent="0.25"/>
    <row r="114198" customFormat="1" x14ac:dyDescent="0.25"/>
    <row r="114199" customFormat="1" x14ac:dyDescent="0.25"/>
    <row r="114200" customFormat="1" x14ac:dyDescent="0.25"/>
    <row r="114201" customFormat="1" x14ac:dyDescent="0.25"/>
    <row r="114202" customFormat="1" x14ac:dyDescent="0.25"/>
    <row r="114203" customFormat="1" x14ac:dyDescent="0.25"/>
    <row r="114204" customFormat="1" x14ac:dyDescent="0.25"/>
    <row r="114205" customFormat="1" x14ac:dyDescent="0.25"/>
    <row r="114206" customFormat="1" x14ac:dyDescent="0.25"/>
    <row r="114207" customFormat="1" x14ac:dyDescent="0.25"/>
    <row r="114208" customFormat="1" x14ac:dyDescent="0.25"/>
    <row r="114209" customFormat="1" x14ac:dyDescent="0.25"/>
    <row r="114210" customFormat="1" x14ac:dyDescent="0.25"/>
    <row r="114211" customFormat="1" x14ac:dyDescent="0.25"/>
    <row r="114212" customFormat="1" x14ac:dyDescent="0.25"/>
    <row r="114213" customFormat="1" x14ac:dyDescent="0.25"/>
    <row r="114214" customFormat="1" x14ac:dyDescent="0.25"/>
    <row r="114215" customFormat="1" x14ac:dyDescent="0.25"/>
    <row r="114216" customFormat="1" x14ac:dyDescent="0.25"/>
    <row r="114217" customFormat="1" x14ac:dyDescent="0.25"/>
    <row r="114218" customFormat="1" x14ac:dyDescent="0.25"/>
    <row r="114219" customFormat="1" x14ac:dyDescent="0.25"/>
    <row r="114220" customFormat="1" x14ac:dyDescent="0.25"/>
    <row r="114221" customFormat="1" x14ac:dyDescent="0.25"/>
    <row r="114222" customFormat="1" x14ac:dyDescent="0.25"/>
    <row r="114223" customFormat="1" x14ac:dyDescent="0.25"/>
    <row r="114224" customFormat="1" x14ac:dyDescent="0.25"/>
    <row r="114225" customFormat="1" x14ac:dyDescent="0.25"/>
    <row r="114226" customFormat="1" x14ac:dyDescent="0.25"/>
    <row r="114227" customFormat="1" x14ac:dyDescent="0.25"/>
    <row r="114228" customFormat="1" x14ac:dyDescent="0.25"/>
    <row r="114229" customFormat="1" x14ac:dyDescent="0.25"/>
    <row r="114230" customFormat="1" x14ac:dyDescent="0.25"/>
    <row r="114231" customFormat="1" x14ac:dyDescent="0.25"/>
    <row r="114232" customFormat="1" x14ac:dyDescent="0.25"/>
    <row r="114233" customFormat="1" x14ac:dyDescent="0.25"/>
    <row r="114234" customFormat="1" x14ac:dyDescent="0.25"/>
    <row r="114235" customFormat="1" x14ac:dyDescent="0.25"/>
    <row r="114236" customFormat="1" x14ac:dyDescent="0.25"/>
    <row r="114237" customFormat="1" x14ac:dyDescent="0.25"/>
    <row r="114238" customFormat="1" x14ac:dyDescent="0.25"/>
    <row r="114239" customFormat="1" x14ac:dyDescent="0.25"/>
    <row r="114240" customFormat="1" x14ac:dyDescent="0.25"/>
    <row r="114241" customFormat="1" x14ac:dyDescent="0.25"/>
    <row r="114242" customFormat="1" x14ac:dyDescent="0.25"/>
    <row r="114243" customFormat="1" x14ac:dyDescent="0.25"/>
    <row r="114244" customFormat="1" x14ac:dyDescent="0.25"/>
    <row r="114245" customFormat="1" x14ac:dyDescent="0.25"/>
    <row r="114246" customFormat="1" x14ac:dyDescent="0.25"/>
    <row r="114247" customFormat="1" x14ac:dyDescent="0.25"/>
    <row r="114248" customFormat="1" x14ac:dyDescent="0.25"/>
    <row r="114249" customFormat="1" x14ac:dyDescent="0.25"/>
    <row r="114250" customFormat="1" x14ac:dyDescent="0.25"/>
    <row r="114251" customFormat="1" x14ac:dyDescent="0.25"/>
    <row r="114252" customFormat="1" x14ac:dyDescent="0.25"/>
    <row r="114253" customFormat="1" x14ac:dyDescent="0.25"/>
    <row r="114254" customFormat="1" x14ac:dyDescent="0.25"/>
    <row r="114255" customFormat="1" x14ac:dyDescent="0.25"/>
    <row r="114256" customFormat="1" x14ac:dyDescent="0.25"/>
    <row r="114257" customFormat="1" x14ac:dyDescent="0.25"/>
    <row r="114258" customFormat="1" x14ac:dyDescent="0.25"/>
    <row r="114259" customFormat="1" x14ac:dyDescent="0.25"/>
    <row r="114260" customFormat="1" x14ac:dyDescent="0.25"/>
    <row r="114261" customFormat="1" x14ac:dyDescent="0.25"/>
    <row r="114262" customFormat="1" x14ac:dyDescent="0.25"/>
    <row r="114263" customFormat="1" x14ac:dyDescent="0.25"/>
    <row r="114264" customFormat="1" x14ac:dyDescent="0.25"/>
    <row r="114265" customFormat="1" x14ac:dyDescent="0.25"/>
    <row r="114266" customFormat="1" x14ac:dyDescent="0.25"/>
    <row r="114267" customFormat="1" x14ac:dyDescent="0.25"/>
    <row r="114268" customFormat="1" x14ac:dyDescent="0.25"/>
    <row r="114269" customFormat="1" x14ac:dyDescent="0.25"/>
    <row r="114270" customFormat="1" x14ac:dyDescent="0.25"/>
    <row r="114271" customFormat="1" x14ac:dyDescent="0.25"/>
    <row r="114272" customFormat="1" x14ac:dyDescent="0.25"/>
    <row r="114273" customFormat="1" x14ac:dyDescent="0.25"/>
    <row r="114274" customFormat="1" x14ac:dyDescent="0.25"/>
    <row r="114275" customFormat="1" x14ac:dyDescent="0.25"/>
    <row r="114276" customFormat="1" x14ac:dyDescent="0.25"/>
    <row r="114277" customFormat="1" x14ac:dyDescent="0.25"/>
    <row r="114278" customFormat="1" x14ac:dyDescent="0.25"/>
    <row r="114279" customFormat="1" x14ac:dyDescent="0.25"/>
    <row r="114280" customFormat="1" x14ac:dyDescent="0.25"/>
    <row r="114281" customFormat="1" x14ac:dyDescent="0.25"/>
    <row r="114282" customFormat="1" x14ac:dyDescent="0.25"/>
    <row r="114283" customFormat="1" x14ac:dyDescent="0.25"/>
    <row r="114284" customFormat="1" x14ac:dyDescent="0.25"/>
    <row r="114285" customFormat="1" x14ac:dyDescent="0.25"/>
    <row r="114286" customFormat="1" x14ac:dyDescent="0.25"/>
    <row r="114287" customFormat="1" x14ac:dyDescent="0.25"/>
    <row r="114288" customFormat="1" x14ac:dyDescent="0.25"/>
    <row r="114289" customFormat="1" x14ac:dyDescent="0.25"/>
    <row r="114290" customFormat="1" x14ac:dyDescent="0.25"/>
    <row r="114291" customFormat="1" x14ac:dyDescent="0.25"/>
    <row r="114292" customFormat="1" x14ac:dyDescent="0.25"/>
    <row r="114293" customFormat="1" x14ac:dyDescent="0.25"/>
    <row r="114294" customFormat="1" x14ac:dyDescent="0.25"/>
    <row r="114295" customFormat="1" x14ac:dyDescent="0.25"/>
    <row r="114296" customFormat="1" x14ac:dyDescent="0.25"/>
    <row r="114297" customFormat="1" x14ac:dyDescent="0.25"/>
    <row r="114298" customFormat="1" x14ac:dyDescent="0.25"/>
    <row r="114299" customFormat="1" x14ac:dyDescent="0.25"/>
    <row r="114300" customFormat="1" x14ac:dyDescent="0.25"/>
    <row r="114301" customFormat="1" x14ac:dyDescent="0.25"/>
    <row r="114302" customFormat="1" x14ac:dyDescent="0.25"/>
    <row r="114303" customFormat="1" x14ac:dyDescent="0.25"/>
    <row r="114304" customFormat="1" x14ac:dyDescent="0.25"/>
    <row r="114305" customFormat="1" x14ac:dyDescent="0.25"/>
    <row r="114306" customFormat="1" x14ac:dyDescent="0.25"/>
    <row r="114307" customFormat="1" x14ac:dyDescent="0.25"/>
    <row r="114308" customFormat="1" x14ac:dyDescent="0.25"/>
    <row r="114309" customFormat="1" x14ac:dyDescent="0.25"/>
    <row r="114310" customFormat="1" x14ac:dyDescent="0.25"/>
    <row r="114311" customFormat="1" x14ac:dyDescent="0.25"/>
    <row r="114312" customFormat="1" x14ac:dyDescent="0.25"/>
    <row r="114313" customFormat="1" x14ac:dyDescent="0.25"/>
    <row r="114314" customFormat="1" x14ac:dyDescent="0.25"/>
    <row r="114315" customFormat="1" x14ac:dyDescent="0.25"/>
    <row r="114316" customFormat="1" x14ac:dyDescent="0.25"/>
    <row r="114317" customFormat="1" x14ac:dyDescent="0.25"/>
    <row r="114318" customFormat="1" x14ac:dyDescent="0.25"/>
    <row r="114319" customFormat="1" x14ac:dyDescent="0.25"/>
    <row r="114320" customFormat="1" x14ac:dyDescent="0.25"/>
    <row r="114321" customFormat="1" x14ac:dyDescent="0.25"/>
    <row r="114322" customFormat="1" x14ac:dyDescent="0.25"/>
    <row r="114323" customFormat="1" x14ac:dyDescent="0.25"/>
    <row r="114324" customFormat="1" x14ac:dyDescent="0.25"/>
    <row r="114325" customFormat="1" x14ac:dyDescent="0.25"/>
    <row r="114326" customFormat="1" x14ac:dyDescent="0.25"/>
    <row r="114327" customFormat="1" x14ac:dyDescent="0.25"/>
    <row r="114328" customFormat="1" x14ac:dyDescent="0.25"/>
    <row r="114329" customFormat="1" x14ac:dyDescent="0.25"/>
    <row r="114330" customFormat="1" x14ac:dyDescent="0.25"/>
    <row r="114331" customFormat="1" x14ac:dyDescent="0.25"/>
    <row r="114332" customFormat="1" x14ac:dyDescent="0.25"/>
    <row r="114333" customFormat="1" x14ac:dyDescent="0.25"/>
    <row r="114334" customFormat="1" x14ac:dyDescent="0.25"/>
    <row r="114335" customFormat="1" x14ac:dyDescent="0.25"/>
    <row r="114336" customFormat="1" x14ac:dyDescent="0.25"/>
    <row r="114337" customFormat="1" x14ac:dyDescent="0.25"/>
    <row r="114338" customFormat="1" x14ac:dyDescent="0.25"/>
    <row r="114339" customFormat="1" x14ac:dyDescent="0.25"/>
    <row r="114340" customFormat="1" x14ac:dyDescent="0.25"/>
    <row r="114341" customFormat="1" x14ac:dyDescent="0.25"/>
    <row r="114342" customFormat="1" x14ac:dyDescent="0.25"/>
    <row r="114343" customFormat="1" x14ac:dyDescent="0.25"/>
    <row r="114344" customFormat="1" x14ac:dyDescent="0.25"/>
    <row r="114345" customFormat="1" x14ac:dyDescent="0.25"/>
    <row r="114346" customFormat="1" x14ac:dyDescent="0.25"/>
    <row r="114347" customFormat="1" x14ac:dyDescent="0.25"/>
    <row r="114348" customFormat="1" x14ac:dyDescent="0.25"/>
    <row r="114349" customFormat="1" x14ac:dyDescent="0.25"/>
    <row r="114350" customFormat="1" x14ac:dyDescent="0.25"/>
    <row r="114351" customFormat="1" x14ac:dyDescent="0.25"/>
    <row r="114352" customFormat="1" x14ac:dyDescent="0.25"/>
    <row r="114353" customFormat="1" x14ac:dyDescent="0.25"/>
    <row r="114354" customFormat="1" x14ac:dyDescent="0.25"/>
    <row r="114355" customFormat="1" x14ac:dyDescent="0.25"/>
    <row r="114356" customFormat="1" x14ac:dyDescent="0.25"/>
    <row r="114357" customFormat="1" x14ac:dyDescent="0.25"/>
    <row r="114358" customFormat="1" x14ac:dyDescent="0.25"/>
    <row r="114359" customFormat="1" x14ac:dyDescent="0.25"/>
    <row r="114360" customFormat="1" x14ac:dyDescent="0.25"/>
    <row r="114361" customFormat="1" x14ac:dyDescent="0.25"/>
    <row r="114362" customFormat="1" x14ac:dyDescent="0.25"/>
    <row r="114363" customFormat="1" x14ac:dyDescent="0.25"/>
    <row r="114364" customFormat="1" x14ac:dyDescent="0.25"/>
    <row r="114365" customFormat="1" x14ac:dyDescent="0.25"/>
    <row r="114366" customFormat="1" x14ac:dyDescent="0.25"/>
    <row r="114367" customFormat="1" x14ac:dyDescent="0.25"/>
    <row r="114368" customFormat="1" x14ac:dyDescent="0.25"/>
    <row r="114369" customFormat="1" x14ac:dyDescent="0.25"/>
    <row r="114370" customFormat="1" x14ac:dyDescent="0.25"/>
    <row r="114371" customFormat="1" x14ac:dyDescent="0.25"/>
    <row r="114372" customFormat="1" x14ac:dyDescent="0.25"/>
    <row r="114373" customFormat="1" x14ac:dyDescent="0.25"/>
    <row r="114374" customFormat="1" x14ac:dyDescent="0.25"/>
    <row r="114375" customFormat="1" x14ac:dyDescent="0.25"/>
    <row r="114376" customFormat="1" x14ac:dyDescent="0.25"/>
    <row r="114377" customFormat="1" x14ac:dyDescent="0.25"/>
    <row r="114378" customFormat="1" x14ac:dyDescent="0.25"/>
    <row r="114379" customFormat="1" x14ac:dyDescent="0.25"/>
    <row r="114380" customFormat="1" x14ac:dyDescent="0.25"/>
    <row r="114381" customFormat="1" x14ac:dyDescent="0.25"/>
    <row r="114382" customFormat="1" x14ac:dyDescent="0.25"/>
    <row r="114383" customFormat="1" x14ac:dyDescent="0.25"/>
    <row r="114384" customFormat="1" x14ac:dyDescent="0.25"/>
    <row r="114385" customFormat="1" x14ac:dyDescent="0.25"/>
    <row r="114386" customFormat="1" x14ac:dyDescent="0.25"/>
    <row r="114387" customFormat="1" x14ac:dyDescent="0.25"/>
    <row r="114388" customFormat="1" x14ac:dyDescent="0.25"/>
    <row r="114389" customFormat="1" x14ac:dyDescent="0.25"/>
    <row r="114390" customFormat="1" x14ac:dyDescent="0.25"/>
    <row r="114391" customFormat="1" x14ac:dyDescent="0.25"/>
    <row r="114392" customFormat="1" x14ac:dyDescent="0.25"/>
    <row r="114393" customFormat="1" x14ac:dyDescent="0.25"/>
    <row r="114394" customFormat="1" x14ac:dyDescent="0.25"/>
    <row r="114395" customFormat="1" x14ac:dyDescent="0.25"/>
    <row r="114396" customFormat="1" x14ac:dyDescent="0.25"/>
    <row r="114397" customFormat="1" x14ac:dyDescent="0.25"/>
    <row r="114398" customFormat="1" x14ac:dyDescent="0.25"/>
    <row r="114399" customFormat="1" x14ac:dyDescent="0.25"/>
    <row r="114400" customFormat="1" x14ac:dyDescent="0.25"/>
    <row r="114401" customFormat="1" x14ac:dyDescent="0.25"/>
    <row r="114402" customFormat="1" x14ac:dyDescent="0.25"/>
    <row r="114403" customFormat="1" x14ac:dyDescent="0.25"/>
    <row r="114404" customFormat="1" x14ac:dyDescent="0.25"/>
    <row r="114405" customFormat="1" x14ac:dyDescent="0.25"/>
    <row r="114406" customFormat="1" x14ac:dyDescent="0.25"/>
    <row r="114407" customFormat="1" x14ac:dyDescent="0.25"/>
    <row r="114408" customFormat="1" x14ac:dyDescent="0.25"/>
    <row r="114409" customFormat="1" x14ac:dyDescent="0.25"/>
    <row r="114410" customFormat="1" x14ac:dyDescent="0.25"/>
    <row r="114411" customFormat="1" x14ac:dyDescent="0.25"/>
    <row r="114412" customFormat="1" x14ac:dyDescent="0.25"/>
    <row r="114413" customFormat="1" x14ac:dyDescent="0.25"/>
    <row r="114414" customFormat="1" x14ac:dyDescent="0.25"/>
    <row r="114415" customFormat="1" x14ac:dyDescent="0.25"/>
    <row r="114416" customFormat="1" x14ac:dyDescent="0.25"/>
    <row r="114417" customFormat="1" x14ac:dyDescent="0.25"/>
    <row r="114418" customFormat="1" x14ac:dyDescent="0.25"/>
    <row r="114419" customFormat="1" x14ac:dyDescent="0.25"/>
    <row r="114420" customFormat="1" x14ac:dyDescent="0.25"/>
    <row r="114421" customFormat="1" x14ac:dyDescent="0.25"/>
    <row r="114422" customFormat="1" x14ac:dyDescent="0.25"/>
    <row r="114423" customFormat="1" x14ac:dyDescent="0.25"/>
    <row r="114424" customFormat="1" x14ac:dyDescent="0.25"/>
    <row r="114425" customFormat="1" x14ac:dyDescent="0.25"/>
    <row r="114426" customFormat="1" x14ac:dyDescent="0.25"/>
    <row r="114427" customFormat="1" x14ac:dyDescent="0.25"/>
    <row r="114428" customFormat="1" x14ac:dyDescent="0.25"/>
    <row r="114429" customFormat="1" x14ac:dyDescent="0.25"/>
    <row r="114430" customFormat="1" x14ac:dyDescent="0.25"/>
    <row r="114431" customFormat="1" x14ac:dyDescent="0.25"/>
    <row r="114432" customFormat="1" x14ac:dyDescent="0.25"/>
    <row r="114433" customFormat="1" x14ac:dyDescent="0.25"/>
    <row r="114434" customFormat="1" x14ac:dyDescent="0.25"/>
    <row r="114435" customFormat="1" x14ac:dyDescent="0.25"/>
    <row r="114436" customFormat="1" x14ac:dyDescent="0.25"/>
    <row r="114437" customFormat="1" x14ac:dyDescent="0.25"/>
    <row r="114438" customFormat="1" x14ac:dyDescent="0.25"/>
    <row r="114439" customFormat="1" x14ac:dyDescent="0.25"/>
    <row r="114440" customFormat="1" x14ac:dyDescent="0.25"/>
    <row r="114441" customFormat="1" x14ac:dyDescent="0.25"/>
    <row r="114442" customFormat="1" x14ac:dyDescent="0.25"/>
    <row r="114443" customFormat="1" x14ac:dyDescent="0.25"/>
    <row r="114444" customFormat="1" x14ac:dyDescent="0.25"/>
    <row r="114445" customFormat="1" x14ac:dyDescent="0.25"/>
    <row r="114446" customFormat="1" x14ac:dyDescent="0.25"/>
    <row r="114447" customFormat="1" x14ac:dyDescent="0.25"/>
    <row r="114448" customFormat="1" x14ac:dyDescent="0.25"/>
    <row r="114449" customFormat="1" x14ac:dyDescent="0.25"/>
    <row r="114450" customFormat="1" x14ac:dyDescent="0.25"/>
    <row r="114451" customFormat="1" x14ac:dyDescent="0.25"/>
    <row r="114452" customFormat="1" x14ac:dyDescent="0.25"/>
    <row r="114453" customFormat="1" x14ac:dyDescent="0.25"/>
    <row r="114454" customFormat="1" x14ac:dyDescent="0.25"/>
    <row r="114455" customFormat="1" x14ac:dyDescent="0.25"/>
    <row r="114456" customFormat="1" x14ac:dyDescent="0.25"/>
    <row r="114457" customFormat="1" x14ac:dyDescent="0.25"/>
    <row r="114458" customFormat="1" x14ac:dyDescent="0.25"/>
    <row r="114459" customFormat="1" x14ac:dyDescent="0.25"/>
    <row r="114460" customFormat="1" x14ac:dyDescent="0.25"/>
    <row r="114461" customFormat="1" x14ac:dyDescent="0.25"/>
    <row r="114462" customFormat="1" x14ac:dyDescent="0.25"/>
    <row r="114463" customFormat="1" x14ac:dyDescent="0.25"/>
    <row r="114464" customFormat="1" x14ac:dyDescent="0.25"/>
    <row r="114465" customFormat="1" x14ac:dyDescent="0.25"/>
    <row r="114466" customFormat="1" x14ac:dyDescent="0.25"/>
    <row r="114467" customFormat="1" x14ac:dyDescent="0.25"/>
    <row r="114468" customFormat="1" x14ac:dyDescent="0.25"/>
    <row r="114469" customFormat="1" x14ac:dyDescent="0.25"/>
    <row r="114470" customFormat="1" x14ac:dyDescent="0.25"/>
    <row r="114471" customFormat="1" x14ac:dyDescent="0.25"/>
    <row r="114472" customFormat="1" x14ac:dyDescent="0.25"/>
    <row r="114473" customFormat="1" x14ac:dyDescent="0.25"/>
    <row r="114474" customFormat="1" x14ac:dyDescent="0.25"/>
    <row r="114475" customFormat="1" x14ac:dyDescent="0.25"/>
    <row r="114476" customFormat="1" x14ac:dyDescent="0.25"/>
    <row r="114477" customFormat="1" x14ac:dyDescent="0.25"/>
    <row r="114478" customFormat="1" x14ac:dyDescent="0.25"/>
    <row r="114479" customFormat="1" x14ac:dyDescent="0.25"/>
    <row r="114480" customFormat="1" x14ac:dyDescent="0.25"/>
    <row r="114481" customFormat="1" x14ac:dyDescent="0.25"/>
    <row r="114482" customFormat="1" x14ac:dyDescent="0.25"/>
    <row r="114483" customFormat="1" x14ac:dyDescent="0.25"/>
    <row r="114484" customFormat="1" x14ac:dyDescent="0.25"/>
    <row r="114485" customFormat="1" x14ac:dyDescent="0.25"/>
    <row r="114486" customFormat="1" x14ac:dyDescent="0.25"/>
    <row r="114487" customFormat="1" x14ac:dyDescent="0.25"/>
    <row r="114488" customFormat="1" x14ac:dyDescent="0.25"/>
    <row r="114489" customFormat="1" x14ac:dyDescent="0.25"/>
    <row r="114490" customFormat="1" x14ac:dyDescent="0.25"/>
    <row r="114491" customFormat="1" x14ac:dyDescent="0.25"/>
    <row r="114492" customFormat="1" x14ac:dyDescent="0.25"/>
    <row r="114493" customFormat="1" x14ac:dyDescent="0.25"/>
    <row r="114494" customFormat="1" x14ac:dyDescent="0.25"/>
    <row r="114495" customFormat="1" x14ac:dyDescent="0.25"/>
    <row r="114496" customFormat="1" x14ac:dyDescent="0.25"/>
    <row r="114497" customFormat="1" x14ac:dyDescent="0.25"/>
    <row r="114498" customFormat="1" x14ac:dyDescent="0.25"/>
    <row r="114499" customFormat="1" x14ac:dyDescent="0.25"/>
    <row r="114500" customFormat="1" x14ac:dyDescent="0.25"/>
    <row r="114501" customFormat="1" x14ac:dyDescent="0.25"/>
    <row r="114502" customFormat="1" x14ac:dyDescent="0.25"/>
    <row r="114503" customFormat="1" x14ac:dyDescent="0.25"/>
    <row r="114504" customFormat="1" x14ac:dyDescent="0.25"/>
    <row r="114505" customFormat="1" x14ac:dyDescent="0.25"/>
    <row r="114506" customFormat="1" x14ac:dyDescent="0.25"/>
    <row r="114507" customFormat="1" x14ac:dyDescent="0.25"/>
    <row r="114508" customFormat="1" x14ac:dyDescent="0.25"/>
    <row r="114509" customFormat="1" x14ac:dyDescent="0.25"/>
    <row r="114510" customFormat="1" x14ac:dyDescent="0.25"/>
    <row r="114511" customFormat="1" x14ac:dyDescent="0.25"/>
    <row r="114512" customFormat="1" x14ac:dyDescent="0.25"/>
    <row r="114513" customFormat="1" x14ac:dyDescent="0.25"/>
    <row r="114514" customFormat="1" x14ac:dyDescent="0.25"/>
    <row r="114515" customFormat="1" x14ac:dyDescent="0.25"/>
    <row r="114516" customFormat="1" x14ac:dyDescent="0.25"/>
    <row r="114517" customFormat="1" x14ac:dyDescent="0.25"/>
    <row r="114518" customFormat="1" x14ac:dyDescent="0.25"/>
    <row r="114519" customFormat="1" x14ac:dyDescent="0.25"/>
    <row r="114520" customFormat="1" x14ac:dyDescent="0.25"/>
    <row r="114521" customFormat="1" x14ac:dyDescent="0.25"/>
    <row r="114522" customFormat="1" x14ac:dyDescent="0.25"/>
    <row r="114523" customFormat="1" x14ac:dyDescent="0.25"/>
    <row r="114524" customFormat="1" x14ac:dyDescent="0.25"/>
    <row r="114525" customFormat="1" x14ac:dyDescent="0.25"/>
    <row r="114526" customFormat="1" x14ac:dyDescent="0.25"/>
    <row r="114527" customFormat="1" x14ac:dyDescent="0.25"/>
    <row r="114528" customFormat="1" x14ac:dyDescent="0.25"/>
    <row r="114529" customFormat="1" x14ac:dyDescent="0.25"/>
    <row r="114530" customFormat="1" x14ac:dyDescent="0.25"/>
    <row r="114531" customFormat="1" x14ac:dyDescent="0.25"/>
    <row r="114532" customFormat="1" x14ac:dyDescent="0.25"/>
    <row r="114533" customFormat="1" x14ac:dyDescent="0.25"/>
    <row r="114534" customFormat="1" x14ac:dyDescent="0.25"/>
    <row r="114535" customFormat="1" x14ac:dyDescent="0.25"/>
    <row r="114536" customFormat="1" x14ac:dyDescent="0.25"/>
    <row r="114537" customFormat="1" x14ac:dyDescent="0.25"/>
    <row r="114538" customFormat="1" x14ac:dyDescent="0.25"/>
    <row r="114539" customFormat="1" x14ac:dyDescent="0.25"/>
    <row r="114540" customFormat="1" x14ac:dyDescent="0.25"/>
    <row r="114541" customFormat="1" x14ac:dyDescent="0.25"/>
    <row r="114542" customFormat="1" x14ac:dyDescent="0.25"/>
    <row r="114543" customFormat="1" x14ac:dyDescent="0.25"/>
    <row r="114544" customFormat="1" x14ac:dyDescent="0.25"/>
    <row r="114545" customFormat="1" x14ac:dyDescent="0.25"/>
    <row r="114546" customFormat="1" x14ac:dyDescent="0.25"/>
    <row r="114547" customFormat="1" x14ac:dyDescent="0.25"/>
    <row r="114548" customFormat="1" x14ac:dyDescent="0.25"/>
    <row r="114549" customFormat="1" x14ac:dyDescent="0.25"/>
    <row r="114550" customFormat="1" x14ac:dyDescent="0.25"/>
    <row r="114551" customFormat="1" x14ac:dyDescent="0.25"/>
    <row r="114552" customFormat="1" x14ac:dyDescent="0.25"/>
    <row r="114553" customFormat="1" x14ac:dyDescent="0.25"/>
    <row r="114554" customFormat="1" x14ac:dyDescent="0.25"/>
    <row r="114555" customFormat="1" x14ac:dyDescent="0.25"/>
    <row r="114556" customFormat="1" x14ac:dyDescent="0.25"/>
    <row r="114557" customFormat="1" x14ac:dyDescent="0.25"/>
    <row r="114558" customFormat="1" x14ac:dyDescent="0.25"/>
    <row r="114559" customFormat="1" x14ac:dyDescent="0.25"/>
    <row r="114560" customFormat="1" x14ac:dyDescent="0.25"/>
    <row r="114561" customFormat="1" x14ac:dyDescent="0.25"/>
    <row r="114562" customFormat="1" x14ac:dyDescent="0.25"/>
    <row r="114563" customFormat="1" x14ac:dyDescent="0.25"/>
    <row r="114564" customFormat="1" x14ac:dyDescent="0.25"/>
    <row r="114565" customFormat="1" x14ac:dyDescent="0.25"/>
    <row r="114566" customFormat="1" x14ac:dyDescent="0.25"/>
    <row r="114567" customFormat="1" x14ac:dyDescent="0.25"/>
    <row r="114568" customFormat="1" x14ac:dyDescent="0.25"/>
    <row r="114569" customFormat="1" x14ac:dyDescent="0.25"/>
    <row r="114570" customFormat="1" x14ac:dyDescent="0.25"/>
    <row r="114571" customFormat="1" x14ac:dyDescent="0.25"/>
    <row r="114572" customFormat="1" x14ac:dyDescent="0.25"/>
    <row r="114573" customFormat="1" x14ac:dyDescent="0.25"/>
    <row r="114574" customFormat="1" x14ac:dyDescent="0.25"/>
    <row r="114575" customFormat="1" x14ac:dyDescent="0.25"/>
    <row r="114576" customFormat="1" x14ac:dyDescent="0.25"/>
    <row r="114577" customFormat="1" x14ac:dyDescent="0.25"/>
    <row r="114578" customFormat="1" x14ac:dyDescent="0.25"/>
    <row r="114579" customFormat="1" x14ac:dyDescent="0.25"/>
    <row r="114580" customFormat="1" x14ac:dyDescent="0.25"/>
    <row r="114581" customFormat="1" x14ac:dyDescent="0.25"/>
    <row r="114582" customFormat="1" x14ac:dyDescent="0.25"/>
    <row r="114583" customFormat="1" x14ac:dyDescent="0.25"/>
    <row r="114584" customFormat="1" x14ac:dyDescent="0.25"/>
    <row r="114585" customFormat="1" x14ac:dyDescent="0.25"/>
    <row r="114586" customFormat="1" x14ac:dyDescent="0.25"/>
    <row r="114587" customFormat="1" x14ac:dyDescent="0.25"/>
    <row r="114588" customFormat="1" x14ac:dyDescent="0.25"/>
    <row r="114589" customFormat="1" x14ac:dyDescent="0.25"/>
    <row r="114590" customFormat="1" x14ac:dyDescent="0.25"/>
    <row r="114591" customFormat="1" x14ac:dyDescent="0.25"/>
    <row r="114592" customFormat="1" x14ac:dyDescent="0.25"/>
    <row r="114593" customFormat="1" x14ac:dyDescent="0.25"/>
    <row r="114594" customFormat="1" x14ac:dyDescent="0.25"/>
    <row r="114595" customFormat="1" x14ac:dyDescent="0.25"/>
    <row r="114596" customFormat="1" x14ac:dyDescent="0.25"/>
    <row r="114597" customFormat="1" x14ac:dyDescent="0.25"/>
    <row r="114598" customFormat="1" x14ac:dyDescent="0.25"/>
    <row r="114599" customFormat="1" x14ac:dyDescent="0.25"/>
    <row r="114600" customFormat="1" x14ac:dyDescent="0.25"/>
    <row r="114601" customFormat="1" x14ac:dyDescent="0.25"/>
    <row r="114602" customFormat="1" x14ac:dyDescent="0.25"/>
    <row r="114603" customFormat="1" x14ac:dyDescent="0.25"/>
    <row r="114604" customFormat="1" x14ac:dyDescent="0.25"/>
    <row r="114605" customFormat="1" x14ac:dyDescent="0.25"/>
    <row r="114606" customFormat="1" x14ac:dyDescent="0.25"/>
    <row r="114607" customFormat="1" x14ac:dyDescent="0.25"/>
    <row r="114608" customFormat="1" x14ac:dyDescent="0.25"/>
    <row r="114609" customFormat="1" x14ac:dyDescent="0.25"/>
    <row r="114610" customFormat="1" x14ac:dyDescent="0.25"/>
    <row r="114611" customFormat="1" x14ac:dyDescent="0.25"/>
    <row r="114612" customFormat="1" x14ac:dyDescent="0.25"/>
    <row r="114613" customFormat="1" x14ac:dyDescent="0.25"/>
    <row r="114614" customFormat="1" x14ac:dyDescent="0.25"/>
    <row r="114615" customFormat="1" x14ac:dyDescent="0.25"/>
    <row r="114616" customFormat="1" x14ac:dyDescent="0.25"/>
    <row r="114617" customFormat="1" x14ac:dyDescent="0.25"/>
    <row r="114618" customFormat="1" x14ac:dyDescent="0.25"/>
    <row r="114619" customFormat="1" x14ac:dyDescent="0.25"/>
    <row r="114620" customFormat="1" x14ac:dyDescent="0.25"/>
    <row r="114621" customFormat="1" x14ac:dyDescent="0.25"/>
    <row r="114622" customFormat="1" x14ac:dyDescent="0.25"/>
    <row r="114623" customFormat="1" x14ac:dyDescent="0.25"/>
    <row r="114624" customFormat="1" x14ac:dyDescent="0.25"/>
    <row r="114625" customFormat="1" x14ac:dyDescent="0.25"/>
    <row r="114626" customFormat="1" x14ac:dyDescent="0.25"/>
    <row r="114627" customFormat="1" x14ac:dyDescent="0.25"/>
    <row r="114628" customFormat="1" x14ac:dyDescent="0.25"/>
    <row r="114629" customFormat="1" x14ac:dyDescent="0.25"/>
    <row r="114630" customFormat="1" x14ac:dyDescent="0.25"/>
    <row r="114631" customFormat="1" x14ac:dyDescent="0.25"/>
    <row r="114632" customFormat="1" x14ac:dyDescent="0.25"/>
    <row r="114633" customFormat="1" x14ac:dyDescent="0.25"/>
    <row r="114634" customFormat="1" x14ac:dyDescent="0.25"/>
    <row r="114635" customFormat="1" x14ac:dyDescent="0.25"/>
    <row r="114636" customFormat="1" x14ac:dyDescent="0.25"/>
    <row r="114637" customFormat="1" x14ac:dyDescent="0.25"/>
    <row r="114638" customFormat="1" x14ac:dyDescent="0.25"/>
    <row r="114639" customFormat="1" x14ac:dyDescent="0.25"/>
    <row r="114640" customFormat="1" x14ac:dyDescent="0.25"/>
    <row r="114641" customFormat="1" x14ac:dyDescent="0.25"/>
    <row r="114642" customFormat="1" x14ac:dyDescent="0.25"/>
    <row r="114643" customFormat="1" x14ac:dyDescent="0.25"/>
    <row r="114644" customFormat="1" x14ac:dyDescent="0.25"/>
    <row r="114645" customFormat="1" x14ac:dyDescent="0.25"/>
    <row r="114646" customFormat="1" x14ac:dyDescent="0.25"/>
    <row r="114647" customFormat="1" x14ac:dyDescent="0.25"/>
    <row r="114648" customFormat="1" x14ac:dyDescent="0.25"/>
    <row r="114649" customFormat="1" x14ac:dyDescent="0.25"/>
    <row r="114650" customFormat="1" x14ac:dyDescent="0.25"/>
    <row r="114651" customFormat="1" x14ac:dyDescent="0.25"/>
    <row r="114652" customFormat="1" x14ac:dyDescent="0.25"/>
    <row r="114653" customFormat="1" x14ac:dyDescent="0.25"/>
    <row r="114654" customFormat="1" x14ac:dyDescent="0.25"/>
    <row r="114655" customFormat="1" x14ac:dyDescent="0.25"/>
    <row r="114656" customFormat="1" x14ac:dyDescent="0.25"/>
    <row r="114657" customFormat="1" x14ac:dyDescent="0.25"/>
    <row r="114658" customFormat="1" x14ac:dyDescent="0.25"/>
    <row r="114659" customFormat="1" x14ac:dyDescent="0.25"/>
    <row r="114660" customFormat="1" x14ac:dyDescent="0.25"/>
    <row r="114661" customFormat="1" x14ac:dyDescent="0.25"/>
    <row r="114662" customFormat="1" x14ac:dyDescent="0.25"/>
    <row r="114663" customFormat="1" x14ac:dyDescent="0.25"/>
    <row r="114664" customFormat="1" x14ac:dyDescent="0.25"/>
    <row r="114665" customFormat="1" x14ac:dyDescent="0.25"/>
    <row r="114666" customFormat="1" x14ac:dyDescent="0.25"/>
    <row r="114667" customFormat="1" x14ac:dyDescent="0.25"/>
    <row r="114668" customFormat="1" x14ac:dyDescent="0.25"/>
    <row r="114669" customFormat="1" x14ac:dyDescent="0.25"/>
    <row r="114670" customFormat="1" x14ac:dyDescent="0.25"/>
    <row r="114671" customFormat="1" x14ac:dyDescent="0.25"/>
    <row r="114672" customFormat="1" x14ac:dyDescent="0.25"/>
    <row r="114673" customFormat="1" x14ac:dyDescent="0.25"/>
    <row r="114674" customFormat="1" x14ac:dyDescent="0.25"/>
    <row r="114675" customFormat="1" x14ac:dyDescent="0.25"/>
    <row r="114676" customFormat="1" x14ac:dyDescent="0.25"/>
    <row r="114677" customFormat="1" x14ac:dyDescent="0.25"/>
    <row r="114678" customFormat="1" x14ac:dyDescent="0.25"/>
    <row r="114679" customFormat="1" x14ac:dyDescent="0.25"/>
    <row r="114680" customFormat="1" x14ac:dyDescent="0.25"/>
    <row r="114681" customFormat="1" x14ac:dyDescent="0.25"/>
    <row r="114682" customFormat="1" x14ac:dyDescent="0.25"/>
    <row r="114683" customFormat="1" x14ac:dyDescent="0.25"/>
    <row r="114684" customFormat="1" x14ac:dyDescent="0.25"/>
    <row r="114685" customFormat="1" x14ac:dyDescent="0.25"/>
    <row r="114686" customFormat="1" x14ac:dyDescent="0.25"/>
    <row r="114687" customFormat="1" x14ac:dyDescent="0.25"/>
    <row r="114688" customFormat="1" x14ac:dyDescent="0.25"/>
    <row r="114689" customFormat="1" x14ac:dyDescent="0.25"/>
    <row r="114690" customFormat="1" x14ac:dyDescent="0.25"/>
    <row r="114691" customFormat="1" x14ac:dyDescent="0.25"/>
    <row r="114692" customFormat="1" x14ac:dyDescent="0.25"/>
    <row r="114693" customFormat="1" x14ac:dyDescent="0.25"/>
    <row r="114694" customFormat="1" x14ac:dyDescent="0.25"/>
    <row r="114695" customFormat="1" x14ac:dyDescent="0.25"/>
    <row r="114696" customFormat="1" x14ac:dyDescent="0.25"/>
    <row r="114697" customFormat="1" x14ac:dyDescent="0.25"/>
    <row r="114698" customFormat="1" x14ac:dyDescent="0.25"/>
    <row r="114699" customFormat="1" x14ac:dyDescent="0.25"/>
    <row r="114700" customFormat="1" x14ac:dyDescent="0.25"/>
    <row r="114701" customFormat="1" x14ac:dyDescent="0.25"/>
    <row r="114702" customFormat="1" x14ac:dyDescent="0.25"/>
    <row r="114703" customFormat="1" x14ac:dyDescent="0.25"/>
    <row r="114704" customFormat="1" x14ac:dyDescent="0.25"/>
    <row r="114705" customFormat="1" x14ac:dyDescent="0.25"/>
    <row r="114706" customFormat="1" x14ac:dyDescent="0.25"/>
    <row r="114707" customFormat="1" x14ac:dyDescent="0.25"/>
    <row r="114708" customFormat="1" x14ac:dyDescent="0.25"/>
    <row r="114709" customFormat="1" x14ac:dyDescent="0.25"/>
    <row r="114710" customFormat="1" x14ac:dyDescent="0.25"/>
    <row r="114711" customFormat="1" x14ac:dyDescent="0.25"/>
    <row r="114712" customFormat="1" x14ac:dyDescent="0.25"/>
    <row r="114713" customFormat="1" x14ac:dyDescent="0.25"/>
    <row r="114714" customFormat="1" x14ac:dyDescent="0.25"/>
    <row r="114715" customFormat="1" x14ac:dyDescent="0.25"/>
    <row r="114716" customFormat="1" x14ac:dyDescent="0.25"/>
    <row r="114717" customFormat="1" x14ac:dyDescent="0.25"/>
    <row r="114718" customFormat="1" x14ac:dyDescent="0.25"/>
    <row r="114719" customFormat="1" x14ac:dyDescent="0.25"/>
    <row r="114720" customFormat="1" x14ac:dyDescent="0.25"/>
    <row r="114721" customFormat="1" x14ac:dyDescent="0.25"/>
    <row r="114722" customFormat="1" x14ac:dyDescent="0.25"/>
    <row r="114723" customFormat="1" x14ac:dyDescent="0.25"/>
    <row r="114724" customFormat="1" x14ac:dyDescent="0.25"/>
    <row r="114725" customFormat="1" x14ac:dyDescent="0.25"/>
    <row r="114726" customFormat="1" x14ac:dyDescent="0.25"/>
    <row r="114727" customFormat="1" x14ac:dyDescent="0.25"/>
    <row r="114728" customFormat="1" x14ac:dyDescent="0.25"/>
    <row r="114729" customFormat="1" x14ac:dyDescent="0.25"/>
    <row r="114730" customFormat="1" x14ac:dyDescent="0.25"/>
    <row r="114731" customFormat="1" x14ac:dyDescent="0.25"/>
    <row r="114732" customFormat="1" x14ac:dyDescent="0.25"/>
    <row r="114733" customFormat="1" x14ac:dyDescent="0.25"/>
    <row r="114734" customFormat="1" x14ac:dyDescent="0.25"/>
    <row r="114735" customFormat="1" x14ac:dyDescent="0.25"/>
    <row r="114736" customFormat="1" x14ac:dyDescent="0.25"/>
    <row r="114737" customFormat="1" x14ac:dyDescent="0.25"/>
    <row r="114738" customFormat="1" x14ac:dyDescent="0.25"/>
    <row r="114739" customFormat="1" x14ac:dyDescent="0.25"/>
    <row r="114740" customFormat="1" x14ac:dyDescent="0.25"/>
    <row r="114741" customFormat="1" x14ac:dyDescent="0.25"/>
    <row r="114742" customFormat="1" x14ac:dyDescent="0.25"/>
    <row r="114743" customFormat="1" x14ac:dyDescent="0.25"/>
    <row r="114744" customFormat="1" x14ac:dyDescent="0.25"/>
    <row r="114745" customFormat="1" x14ac:dyDescent="0.25"/>
    <row r="114746" customFormat="1" x14ac:dyDescent="0.25"/>
    <row r="114747" customFormat="1" x14ac:dyDescent="0.25"/>
    <row r="114748" customFormat="1" x14ac:dyDescent="0.25"/>
    <row r="114749" customFormat="1" x14ac:dyDescent="0.25"/>
    <row r="114750" customFormat="1" x14ac:dyDescent="0.25"/>
    <row r="114751" customFormat="1" x14ac:dyDescent="0.25"/>
    <row r="114752" customFormat="1" x14ac:dyDescent="0.25"/>
    <row r="114753" customFormat="1" x14ac:dyDescent="0.25"/>
    <row r="114754" customFormat="1" x14ac:dyDescent="0.25"/>
    <row r="114755" customFormat="1" x14ac:dyDescent="0.25"/>
    <row r="114756" customFormat="1" x14ac:dyDescent="0.25"/>
    <row r="114757" customFormat="1" x14ac:dyDescent="0.25"/>
    <row r="114758" customFormat="1" x14ac:dyDescent="0.25"/>
    <row r="114759" customFormat="1" x14ac:dyDescent="0.25"/>
    <row r="114760" customFormat="1" x14ac:dyDescent="0.25"/>
    <row r="114761" customFormat="1" x14ac:dyDescent="0.25"/>
    <row r="114762" customFormat="1" x14ac:dyDescent="0.25"/>
    <row r="114763" customFormat="1" x14ac:dyDescent="0.25"/>
    <row r="114764" customFormat="1" x14ac:dyDescent="0.25"/>
    <row r="114765" customFormat="1" x14ac:dyDescent="0.25"/>
    <row r="114766" customFormat="1" x14ac:dyDescent="0.25"/>
    <row r="114767" customFormat="1" x14ac:dyDescent="0.25"/>
    <row r="114768" customFormat="1" x14ac:dyDescent="0.25"/>
    <row r="114769" customFormat="1" x14ac:dyDescent="0.25"/>
    <row r="114770" customFormat="1" x14ac:dyDescent="0.25"/>
    <row r="114771" customFormat="1" x14ac:dyDescent="0.25"/>
    <row r="114772" customFormat="1" x14ac:dyDescent="0.25"/>
    <row r="114773" customFormat="1" x14ac:dyDescent="0.25"/>
    <row r="114774" customFormat="1" x14ac:dyDescent="0.25"/>
    <row r="114775" customFormat="1" x14ac:dyDescent="0.25"/>
    <row r="114776" customFormat="1" x14ac:dyDescent="0.25"/>
    <row r="114777" customFormat="1" x14ac:dyDescent="0.25"/>
    <row r="114778" customFormat="1" x14ac:dyDescent="0.25"/>
    <row r="114779" customFormat="1" x14ac:dyDescent="0.25"/>
    <row r="114780" customFormat="1" x14ac:dyDescent="0.25"/>
    <row r="114781" customFormat="1" x14ac:dyDescent="0.25"/>
    <row r="114782" customFormat="1" x14ac:dyDescent="0.25"/>
    <row r="114783" customFormat="1" x14ac:dyDescent="0.25"/>
    <row r="114784" customFormat="1" x14ac:dyDescent="0.25"/>
    <row r="114785" customFormat="1" x14ac:dyDescent="0.25"/>
    <row r="114786" customFormat="1" x14ac:dyDescent="0.25"/>
    <row r="114787" customFormat="1" x14ac:dyDescent="0.25"/>
    <row r="114788" customFormat="1" x14ac:dyDescent="0.25"/>
    <row r="114789" customFormat="1" x14ac:dyDescent="0.25"/>
    <row r="114790" customFormat="1" x14ac:dyDescent="0.25"/>
    <row r="114791" customFormat="1" x14ac:dyDescent="0.25"/>
    <row r="114792" customFormat="1" x14ac:dyDescent="0.25"/>
    <row r="114793" customFormat="1" x14ac:dyDescent="0.25"/>
    <row r="114794" customFormat="1" x14ac:dyDescent="0.25"/>
    <row r="114795" customFormat="1" x14ac:dyDescent="0.25"/>
    <row r="114796" customFormat="1" x14ac:dyDescent="0.25"/>
    <row r="114797" customFormat="1" x14ac:dyDescent="0.25"/>
    <row r="114798" customFormat="1" x14ac:dyDescent="0.25"/>
    <row r="114799" customFormat="1" x14ac:dyDescent="0.25"/>
    <row r="114800" customFormat="1" x14ac:dyDescent="0.25"/>
    <row r="114801" customFormat="1" x14ac:dyDescent="0.25"/>
    <row r="114802" customFormat="1" x14ac:dyDescent="0.25"/>
    <row r="114803" customFormat="1" x14ac:dyDescent="0.25"/>
    <row r="114804" customFormat="1" x14ac:dyDescent="0.25"/>
    <row r="114805" customFormat="1" x14ac:dyDescent="0.25"/>
    <row r="114806" customFormat="1" x14ac:dyDescent="0.25"/>
    <row r="114807" customFormat="1" x14ac:dyDescent="0.25"/>
    <row r="114808" customFormat="1" x14ac:dyDescent="0.25"/>
    <row r="114809" customFormat="1" x14ac:dyDescent="0.25"/>
    <row r="114810" customFormat="1" x14ac:dyDescent="0.25"/>
    <row r="114811" customFormat="1" x14ac:dyDescent="0.25"/>
    <row r="114812" customFormat="1" x14ac:dyDescent="0.25"/>
    <row r="114813" customFormat="1" x14ac:dyDescent="0.25"/>
    <row r="114814" customFormat="1" x14ac:dyDescent="0.25"/>
    <row r="114815" customFormat="1" x14ac:dyDescent="0.25"/>
    <row r="114816" customFormat="1" x14ac:dyDescent="0.25"/>
    <row r="114817" customFormat="1" x14ac:dyDescent="0.25"/>
    <row r="114818" customFormat="1" x14ac:dyDescent="0.25"/>
    <row r="114819" customFormat="1" x14ac:dyDescent="0.25"/>
    <row r="114820" customFormat="1" x14ac:dyDescent="0.25"/>
    <row r="114821" customFormat="1" x14ac:dyDescent="0.25"/>
    <row r="114822" customFormat="1" x14ac:dyDescent="0.25"/>
    <row r="114823" customFormat="1" x14ac:dyDescent="0.25"/>
    <row r="114824" customFormat="1" x14ac:dyDescent="0.25"/>
    <row r="114825" customFormat="1" x14ac:dyDescent="0.25"/>
    <row r="114826" customFormat="1" x14ac:dyDescent="0.25"/>
    <row r="114827" customFormat="1" x14ac:dyDescent="0.25"/>
    <row r="114828" customFormat="1" x14ac:dyDescent="0.25"/>
    <row r="114829" customFormat="1" x14ac:dyDescent="0.25"/>
    <row r="114830" customFormat="1" x14ac:dyDescent="0.25"/>
    <row r="114831" customFormat="1" x14ac:dyDescent="0.25"/>
    <row r="114832" customFormat="1" x14ac:dyDescent="0.25"/>
    <row r="114833" customFormat="1" x14ac:dyDescent="0.25"/>
    <row r="114834" customFormat="1" x14ac:dyDescent="0.25"/>
    <row r="114835" customFormat="1" x14ac:dyDescent="0.25"/>
    <row r="114836" customFormat="1" x14ac:dyDescent="0.25"/>
    <row r="114837" customFormat="1" x14ac:dyDescent="0.25"/>
    <row r="114838" customFormat="1" x14ac:dyDescent="0.25"/>
    <row r="114839" customFormat="1" x14ac:dyDescent="0.25"/>
    <row r="114840" customFormat="1" x14ac:dyDescent="0.25"/>
    <row r="114841" customFormat="1" x14ac:dyDescent="0.25"/>
    <row r="114842" customFormat="1" x14ac:dyDescent="0.25"/>
    <row r="114843" customFormat="1" x14ac:dyDescent="0.25"/>
    <row r="114844" customFormat="1" x14ac:dyDescent="0.25"/>
    <row r="114845" customFormat="1" x14ac:dyDescent="0.25"/>
    <row r="114846" customFormat="1" x14ac:dyDescent="0.25"/>
    <row r="114847" customFormat="1" x14ac:dyDescent="0.25"/>
    <row r="114848" customFormat="1" x14ac:dyDescent="0.25"/>
    <row r="114849" customFormat="1" x14ac:dyDescent="0.25"/>
    <row r="114850" customFormat="1" x14ac:dyDescent="0.25"/>
    <row r="114851" customFormat="1" x14ac:dyDescent="0.25"/>
    <row r="114852" customFormat="1" x14ac:dyDescent="0.25"/>
    <row r="114853" customFormat="1" x14ac:dyDescent="0.25"/>
    <row r="114854" customFormat="1" x14ac:dyDescent="0.25"/>
    <row r="114855" customFormat="1" x14ac:dyDescent="0.25"/>
    <row r="114856" customFormat="1" x14ac:dyDescent="0.25"/>
    <row r="114857" customFormat="1" x14ac:dyDescent="0.25"/>
    <row r="114858" customFormat="1" x14ac:dyDescent="0.25"/>
    <row r="114859" customFormat="1" x14ac:dyDescent="0.25"/>
    <row r="114860" customFormat="1" x14ac:dyDescent="0.25"/>
    <row r="114861" customFormat="1" x14ac:dyDescent="0.25"/>
    <row r="114862" customFormat="1" x14ac:dyDescent="0.25"/>
    <row r="114863" customFormat="1" x14ac:dyDescent="0.25"/>
    <row r="114864" customFormat="1" x14ac:dyDescent="0.25"/>
    <row r="114865" customFormat="1" x14ac:dyDescent="0.25"/>
    <row r="114866" customFormat="1" x14ac:dyDescent="0.25"/>
    <row r="114867" customFormat="1" x14ac:dyDescent="0.25"/>
    <row r="114868" customFormat="1" x14ac:dyDescent="0.25"/>
    <row r="114869" customFormat="1" x14ac:dyDescent="0.25"/>
    <row r="114870" customFormat="1" x14ac:dyDescent="0.25"/>
    <row r="114871" customFormat="1" x14ac:dyDescent="0.25"/>
    <row r="114872" customFormat="1" x14ac:dyDescent="0.25"/>
    <row r="114873" customFormat="1" x14ac:dyDescent="0.25"/>
    <row r="114874" customFormat="1" x14ac:dyDescent="0.25"/>
    <row r="114875" customFormat="1" x14ac:dyDescent="0.25"/>
    <row r="114876" customFormat="1" x14ac:dyDescent="0.25"/>
    <row r="114877" customFormat="1" x14ac:dyDescent="0.25"/>
    <row r="114878" customFormat="1" x14ac:dyDescent="0.25"/>
    <row r="114879" customFormat="1" x14ac:dyDescent="0.25"/>
    <row r="114880" customFormat="1" x14ac:dyDescent="0.25"/>
    <row r="114881" customFormat="1" x14ac:dyDescent="0.25"/>
    <row r="114882" customFormat="1" x14ac:dyDescent="0.25"/>
    <row r="114883" customFormat="1" x14ac:dyDescent="0.25"/>
    <row r="114884" customFormat="1" x14ac:dyDescent="0.25"/>
    <row r="114885" customFormat="1" x14ac:dyDescent="0.25"/>
    <row r="114886" customFormat="1" x14ac:dyDescent="0.25"/>
    <row r="114887" customFormat="1" x14ac:dyDescent="0.25"/>
    <row r="114888" customFormat="1" x14ac:dyDescent="0.25"/>
    <row r="114889" customFormat="1" x14ac:dyDescent="0.25"/>
    <row r="114890" customFormat="1" x14ac:dyDescent="0.25"/>
    <row r="114891" customFormat="1" x14ac:dyDescent="0.25"/>
    <row r="114892" customFormat="1" x14ac:dyDescent="0.25"/>
    <row r="114893" customFormat="1" x14ac:dyDescent="0.25"/>
    <row r="114894" customFormat="1" x14ac:dyDescent="0.25"/>
    <row r="114895" customFormat="1" x14ac:dyDescent="0.25"/>
    <row r="114896" customFormat="1" x14ac:dyDescent="0.25"/>
    <row r="114897" customFormat="1" x14ac:dyDescent="0.25"/>
    <row r="114898" customFormat="1" x14ac:dyDescent="0.25"/>
    <row r="114899" customFormat="1" x14ac:dyDescent="0.25"/>
    <row r="114900" customFormat="1" x14ac:dyDescent="0.25"/>
    <row r="114901" customFormat="1" x14ac:dyDescent="0.25"/>
    <row r="114902" customFormat="1" x14ac:dyDescent="0.25"/>
    <row r="114903" customFormat="1" x14ac:dyDescent="0.25"/>
    <row r="114904" customFormat="1" x14ac:dyDescent="0.25"/>
    <row r="114905" customFormat="1" x14ac:dyDescent="0.25"/>
    <row r="114906" customFormat="1" x14ac:dyDescent="0.25"/>
    <row r="114907" customFormat="1" x14ac:dyDescent="0.25"/>
    <row r="114908" customFormat="1" x14ac:dyDescent="0.25"/>
    <row r="114909" customFormat="1" x14ac:dyDescent="0.25"/>
    <row r="114910" customFormat="1" x14ac:dyDescent="0.25"/>
    <row r="114911" customFormat="1" x14ac:dyDescent="0.25"/>
    <row r="114912" customFormat="1" x14ac:dyDescent="0.25"/>
    <row r="114913" customFormat="1" x14ac:dyDescent="0.25"/>
    <row r="114914" customFormat="1" x14ac:dyDescent="0.25"/>
    <row r="114915" customFormat="1" x14ac:dyDescent="0.25"/>
    <row r="114916" customFormat="1" x14ac:dyDescent="0.25"/>
    <row r="114917" customFormat="1" x14ac:dyDescent="0.25"/>
    <row r="114918" customFormat="1" x14ac:dyDescent="0.25"/>
    <row r="114919" customFormat="1" x14ac:dyDescent="0.25"/>
    <row r="114920" customFormat="1" x14ac:dyDescent="0.25"/>
    <row r="114921" customFormat="1" x14ac:dyDescent="0.25"/>
    <row r="114922" customFormat="1" x14ac:dyDescent="0.25"/>
    <row r="114923" customFormat="1" x14ac:dyDescent="0.25"/>
    <row r="114924" customFormat="1" x14ac:dyDescent="0.25"/>
    <row r="114925" customFormat="1" x14ac:dyDescent="0.25"/>
    <row r="114926" customFormat="1" x14ac:dyDescent="0.25"/>
    <row r="114927" customFormat="1" x14ac:dyDescent="0.25"/>
    <row r="114928" customFormat="1" x14ac:dyDescent="0.25"/>
    <row r="114929" customFormat="1" x14ac:dyDescent="0.25"/>
    <row r="114930" customFormat="1" x14ac:dyDescent="0.25"/>
    <row r="114931" customFormat="1" x14ac:dyDescent="0.25"/>
    <row r="114932" customFormat="1" x14ac:dyDescent="0.25"/>
    <row r="114933" customFormat="1" x14ac:dyDescent="0.25"/>
    <row r="114934" customFormat="1" x14ac:dyDescent="0.25"/>
    <row r="114935" customFormat="1" x14ac:dyDescent="0.25"/>
    <row r="114936" customFormat="1" x14ac:dyDescent="0.25"/>
    <row r="114937" customFormat="1" x14ac:dyDescent="0.25"/>
    <row r="114938" customFormat="1" x14ac:dyDescent="0.25"/>
    <row r="114939" customFormat="1" x14ac:dyDescent="0.25"/>
    <row r="114940" customFormat="1" x14ac:dyDescent="0.25"/>
    <row r="114941" customFormat="1" x14ac:dyDescent="0.25"/>
    <row r="114942" customFormat="1" x14ac:dyDescent="0.25"/>
    <row r="114943" customFormat="1" x14ac:dyDescent="0.25"/>
    <row r="114944" customFormat="1" x14ac:dyDescent="0.25"/>
    <row r="114945" customFormat="1" x14ac:dyDescent="0.25"/>
    <row r="114946" customFormat="1" x14ac:dyDescent="0.25"/>
    <row r="114947" customFormat="1" x14ac:dyDescent="0.25"/>
    <row r="114948" customFormat="1" x14ac:dyDescent="0.25"/>
    <row r="114949" customFormat="1" x14ac:dyDescent="0.25"/>
    <row r="114950" customFormat="1" x14ac:dyDescent="0.25"/>
    <row r="114951" customFormat="1" x14ac:dyDescent="0.25"/>
    <row r="114952" customFormat="1" x14ac:dyDescent="0.25"/>
    <row r="114953" customFormat="1" x14ac:dyDescent="0.25"/>
    <row r="114954" customFormat="1" x14ac:dyDescent="0.25"/>
    <row r="114955" customFormat="1" x14ac:dyDescent="0.25"/>
    <row r="114956" customFormat="1" x14ac:dyDescent="0.25"/>
    <row r="114957" customFormat="1" x14ac:dyDescent="0.25"/>
    <row r="114958" customFormat="1" x14ac:dyDescent="0.25"/>
    <row r="114959" customFormat="1" x14ac:dyDescent="0.25"/>
    <row r="114960" customFormat="1" x14ac:dyDescent="0.25"/>
    <row r="114961" customFormat="1" x14ac:dyDescent="0.25"/>
    <row r="114962" customFormat="1" x14ac:dyDescent="0.25"/>
    <row r="114963" customFormat="1" x14ac:dyDescent="0.25"/>
    <row r="114964" customFormat="1" x14ac:dyDescent="0.25"/>
    <row r="114965" customFormat="1" x14ac:dyDescent="0.25"/>
    <row r="114966" customFormat="1" x14ac:dyDescent="0.25"/>
    <row r="114967" customFormat="1" x14ac:dyDescent="0.25"/>
    <row r="114968" customFormat="1" x14ac:dyDescent="0.25"/>
    <row r="114969" customFormat="1" x14ac:dyDescent="0.25"/>
    <row r="114970" customFormat="1" x14ac:dyDescent="0.25"/>
    <row r="114971" customFormat="1" x14ac:dyDescent="0.25"/>
    <row r="114972" customFormat="1" x14ac:dyDescent="0.25"/>
    <row r="114973" customFormat="1" x14ac:dyDescent="0.25"/>
    <row r="114974" customFormat="1" x14ac:dyDescent="0.25"/>
    <row r="114975" customFormat="1" x14ac:dyDescent="0.25"/>
    <row r="114976" customFormat="1" x14ac:dyDescent="0.25"/>
    <row r="114977" customFormat="1" x14ac:dyDescent="0.25"/>
    <row r="114978" customFormat="1" x14ac:dyDescent="0.25"/>
    <row r="114979" customFormat="1" x14ac:dyDescent="0.25"/>
    <row r="114980" customFormat="1" x14ac:dyDescent="0.25"/>
    <row r="114981" customFormat="1" x14ac:dyDescent="0.25"/>
    <row r="114982" customFormat="1" x14ac:dyDescent="0.25"/>
    <row r="114983" customFormat="1" x14ac:dyDescent="0.25"/>
    <row r="114984" customFormat="1" x14ac:dyDescent="0.25"/>
    <row r="114985" customFormat="1" x14ac:dyDescent="0.25"/>
    <row r="114986" customFormat="1" x14ac:dyDescent="0.25"/>
    <row r="114987" customFormat="1" x14ac:dyDescent="0.25"/>
    <row r="114988" customFormat="1" x14ac:dyDescent="0.25"/>
    <row r="114989" customFormat="1" x14ac:dyDescent="0.25"/>
    <row r="114990" customFormat="1" x14ac:dyDescent="0.25"/>
    <row r="114991" customFormat="1" x14ac:dyDescent="0.25"/>
    <row r="114992" customFormat="1" x14ac:dyDescent="0.25"/>
    <row r="114993" customFormat="1" x14ac:dyDescent="0.25"/>
    <row r="114994" customFormat="1" x14ac:dyDescent="0.25"/>
    <row r="114995" customFormat="1" x14ac:dyDescent="0.25"/>
    <row r="114996" customFormat="1" x14ac:dyDescent="0.25"/>
    <row r="114997" customFormat="1" x14ac:dyDescent="0.25"/>
    <row r="114998" customFormat="1" x14ac:dyDescent="0.25"/>
    <row r="114999" customFormat="1" x14ac:dyDescent="0.25"/>
    <row r="115000" customFormat="1" x14ac:dyDescent="0.25"/>
    <row r="115001" customFormat="1" x14ac:dyDescent="0.25"/>
    <row r="115002" customFormat="1" x14ac:dyDescent="0.25"/>
    <row r="115003" customFormat="1" x14ac:dyDescent="0.25"/>
    <row r="115004" customFormat="1" x14ac:dyDescent="0.25"/>
    <row r="115005" customFormat="1" x14ac:dyDescent="0.25"/>
    <row r="115006" customFormat="1" x14ac:dyDescent="0.25"/>
    <row r="115007" customFormat="1" x14ac:dyDescent="0.25"/>
    <row r="115008" customFormat="1" x14ac:dyDescent="0.25"/>
    <row r="115009" customFormat="1" x14ac:dyDescent="0.25"/>
    <row r="115010" customFormat="1" x14ac:dyDescent="0.25"/>
    <row r="115011" customFormat="1" x14ac:dyDescent="0.25"/>
    <row r="115012" customFormat="1" x14ac:dyDescent="0.25"/>
    <row r="115013" customFormat="1" x14ac:dyDescent="0.25"/>
    <row r="115014" customFormat="1" x14ac:dyDescent="0.25"/>
    <row r="115015" customFormat="1" x14ac:dyDescent="0.25"/>
    <row r="115016" customFormat="1" x14ac:dyDescent="0.25"/>
    <row r="115017" customFormat="1" x14ac:dyDescent="0.25"/>
    <row r="115018" customFormat="1" x14ac:dyDescent="0.25"/>
    <row r="115019" customFormat="1" x14ac:dyDescent="0.25"/>
    <row r="115020" customFormat="1" x14ac:dyDescent="0.25"/>
    <row r="115021" customFormat="1" x14ac:dyDescent="0.25"/>
    <row r="115022" customFormat="1" x14ac:dyDescent="0.25"/>
    <row r="115023" customFormat="1" x14ac:dyDescent="0.25"/>
    <row r="115024" customFormat="1" x14ac:dyDescent="0.25"/>
    <row r="115025" customFormat="1" x14ac:dyDescent="0.25"/>
    <row r="115026" customFormat="1" x14ac:dyDescent="0.25"/>
    <row r="115027" customFormat="1" x14ac:dyDescent="0.25"/>
    <row r="115028" customFormat="1" x14ac:dyDescent="0.25"/>
    <row r="115029" customFormat="1" x14ac:dyDescent="0.25"/>
    <row r="115030" customFormat="1" x14ac:dyDescent="0.25"/>
    <row r="115031" customFormat="1" x14ac:dyDescent="0.25"/>
    <row r="115032" customFormat="1" x14ac:dyDescent="0.25"/>
    <row r="115033" customFormat="1" x14ac:dyDescent="0.25"/>
    <row r="115034" customFormat="1" x14ac:dyDescent="0.25"/>
    <row r="115035" customFormat="1" x14ac:dyDescent="0.25"/>
    <row r="115036" customFormat="1" x14ac:dyDescent="0.25"/>
    <row r="115037" customFormat="1" x14ac:dyDescent="0.25"/>
    <row r="115038" customFormat="1" x14ac:dyDescent="0.25"/>
    <row r="115039" customFormat="1" x14ac:dyDescent="0.25"/>
    <row r="115040" customFormat="1" x14ac:dyDescent="0.25"/>
    <row r="115041" customFormat="1" x14ac:dyDescent="0.25"/>
    <row r="115042" customFormat="1" x14ac:dyDescent="0.25"/>
    <row r="115043" customFormat="1" x14ac:dyDescent="0.25"/>
    <row r="115044" customFormat="1" x14ac:dyDescent="0.25"/>
    <row r="115045" customFormat="1" x14ac:dyDescent="0.25"/>
    <row r="115046" customFormat="1" x14ac:dyDescent="0.25"/>
    <row r="115047" customFormat="1" x14ac:dyDescent="0.25"/>
    <row r="115048" customFormat="1" x14ac:dyDescent="0.25"/>
    <row r="115049" customFormat="1" x14ac:dyDescent="0.25"/>
    <row r="115050" customFormat="1" x14ac:dyDescent="0.25"/>
    <row r="115051" customFormat="1" x14ac:dyDescent="0.25"/>
    <row r="115052" customFormat="1" x14ac:dyDescent="0.25"/>
    <row r="115053" customFormat="1" x14ac:dyDescent="0.25"/>
    <row r="115054" customFormat="1" x14ac:dyDescent="0.25"/>
    <row r="115055" customFormat="1" x14ac:dyDescent="0.25"/>
    <row r="115056" customFormat="1" x14ac:dyDescent="0.25"/>
    <row r="115057" customFormat="1" x14ac:dyDescent="0.25"/>
    <row r="115058" customFormat="1" x14ac:dyDescent="0.25"/>
    <row r="115059" customFormat="1" x14ac:dyDescent="0.25"/>
    <row r="115060" customFormat="1" x14ac:dyDescent="0.25"/>
    <row r="115061" customFormat="1" x14ac:dyDescent="0.25"/>
    <row r="115062" customFormat="1" x14ac:dyDescent="0.25"/>
    <row r="115063" customFormat="1" x14ac:dyDescent="0.25"/>
    <row r="115064" customFormat="1" x14ac:dyDescent="0.25"/>
    <row r="115065" customFormat="1" x14ac:dyDescent="0.25"/>
    <row r="115066" customFormat="1" x14ac:dyDescent="0.25"/>
    <row r="115067" customFormat="1" x14ac:dyDescent="0.25"/>
    <row r="115068" customFormat="1" x14ac:dyDescent="0.25"/>
    <row r="115069" customFormat="1" x14ac:dyDescent="0.25"/>
    <row r="115070" customFormat="1" x14ac:dyDescent="0.25"/>
    <row r="115071" customFormat="1" x14ac:dyDescent="0.25"/>
    <row r="115072" customFormat="1" x14ac:dyDescent="0.25"/>
    <row r="115073" customFormat="1" x14ac:dyDescent="0.25"/>
    <row r="115074" customFormat="1" x14ac:dyDescent="0.25"/>
    <row r="115075" customFormat="1" x14ac:dyDescent="0.25"/>
    <row r="115076" customFormat="1" x14ac:dyDescent="0.25"/>
    <row r="115077" customFormat="1" x14ac:dyDescent="0.25"/>
    <row r="115078" customFormat="1" x14ac:dyDescent="0.25"/>
    <row r="115079" customFormat="1" x14ac:dyDescent="0.25"/>
    <row r="115080" customFormat="1" x14ac:dyDescent="0.25"/>
    <row r="115081" customFormat="1" x14ac:dyDescent="0.25"/>
    <row r="115082" customFormat="1" x14ac:dyDescent="0.25"/>
    <row r="115083" customFormat="1" x14ac:dyDescent="0.25"/>
    <row r="115084" customFormat="1" x14ac:dyDescent="0.25"/>
    <row r="115085" customFormat="1" x14ac:dyDescent="0.25"/>
    <row r="115086" customFormat="1" x14ac:dyDescent="0.25"/>
    <row r="115087" customFormat="1" x14ac:dyDescent="0.25"/>
    <row r="115088" customFormat="1" x14ac:dyDescent="0.25"/>
    <row r="115089" customFormat="1" x14ac:dyDescent="0.25"/>
    <row r="115090" customFormat="1" x14ac:dyDescent="0.25"/>
    <row r="115091" customFormat="1" x14ac:dyDescent="0.25"/>
    <row r="115092" customFormat="1" x14ac:dyDescent="0.25"/>
    <row r="115093" customFormat="1" x14ac:dyDescent="0.25"/>
    <row r="115094" customFormat="1" x14ac:dyDescent="0.25"/>
    <row r="115095" customFormat="1" x14ac:dyDescent="0.25"/>
    <row r="115096" customFormat="1" x14ac:dyDescent="0.25"/>
    <row r="115097" customFormat="1" x14ac:dyDescent="0.25"/>
    <row r="115098" customFormat="1" x14ac:dyDescent="0.25"/>
    <row r="115099" customFormat="1" x14ac:dyDescent="0.25"/>
    <row r="115100" customFormat="1" x14ac:dyDescent="0.25"/>
    <row r="115101" customFormat="1" x14ac:dyDescent="0.25"/>
    <row r="115102" customFormat="1" x14ac:dyDescent="0.25"/>
    <row r="115103" customFormat="1" x14ac:dyDescent="0.25"/>
    <row r="115104" customFormat="1" x14ac:dyDescent="0.25"/>
    <row r="115105" customFormat="1" x14ac:dyDescent="0.25"/>
    <row r="115106" customFormat="1" x14ac:dyDescent="0.25"/>
    <row r="115107" customFormat="1" x14ac:dyDescent="0.25"/>
    <row r="115108" customFormat="1" x14ac:dyDescent="0.25"/>
    <row r="115109" customFormat="1" x14ac:dyDescent="0.25"/>
    <row r="115110" customFormat="1" x14ac:dyDescent="0.25"/>
    <row r="115111" customFormat="1" x14ac:dyDescent="0.25"/>
    <row r="115112" customFormat="1" x14ac:dyDescent="0.25"/>
    <row r="115113" customFormat="1" x14ac:dyDescent="0.25"/>
    <row r="115114" customFormat="1" x14ac:dyDescent="0.25"/>
    <row r="115115" customFormat="1" x14ac:dyDescent="0.25"/>
    <row r="115116" customFormat="1" x14ac:dyDescent="0.25"/>
    <row r="115117" customFormat="1" x14ac:dyDescent="0.25"/>
    <row r="115118" customFormat="1" x14ac:dyDescent="0.25"/>
    <row r="115119" customFormat="1" x14ac:dyDescent="0.25"/>
    <row r="115120" customFormat="1" x14ac:dyDescent="0.25"/>
    <row r="115121" customFormat="1" x14ac:dyDescent="0.25"/>
    <row r="115122" customFormat="1" x14ac:dyDescent="0.25"/>
    <row r="115123" customFormat="1" x14ac:dyDescent="0.25"/>
    <row r="115124" customFormat="1" x14ac:dyDescent="0.25"/>
    <row r="115125" customFormat="1" x14ac:dyDescent="0.25"/>
    <row r="115126" customFormat="1" x14ac:dyDescent="0.25"/>
    <row r="115127" customFormat="1" x14ac:dyDescent="0.25"/>
    <row r="115128" customFormat="1" x14ac:dyDescent="0.25"/>
    <row r="115129" customFormat="1" x14ac:dyDescent="0.25"/>
    <row r="115130" customFormat="1" x14ac:dyDescent="0.25"/>
    <row r="115131" customFormat="1" x14ac:dyDescent="0.25"/>
    <row r="115132" customFormat="1" x14ac:dyDescent="0.25"/>
    <row r="115133" customFormat="1" x14ac:dyDescent="0.25"/>
    <row r="115134" customFormat="1" x14ac:dyDescent="0.25"/>
    <row r="115135" customFormat="1" x14ac:dyDescent="0.25"/>
    <row r="115136" customFormat="1" x14ac:dyDescent="0.25"/>
    <row r="115137" customFormat="1" x14ac:dyDescent="0.25"/>
    <row r="115138" customFormat="1" x14ac:dyDescent="0.25"/>
    <row r="115139" customFormat="1" x14ac:dyDescent="0.25"/>
    <row r="115140" customFormat="1" x14ac:dyDescent="0.25"/>
    <row r="115141" customFormat="1" x14ac:dyDescent="0.25"/>
    <row r="115142" customFormat="1" x14ac:dyDescent="0.25"/>
    <row r="115143" customFormat="1" x14ac:dyDescent="0.25"/>
    <row r="115144" customFormat="1" x14ac:dyDescent="0.25"/>
    <row r="115145" customFormat="1" x14ac:dyDescent="0.25"/>
    <row r="115146" customFormat="1" x14ac:dyDescent="0.25"/>
    <row r="115147" customFormat="1" x14ac:dyDescent="0.25"/>
    <row r="115148" customFormat="1" x14ac:dyDescent="0.25"/>
    <row r="115149" customFormat="1" x14ac:dyDescent="0.25"/>
    <row r="115150" customFormat="1" x14ac:dyDescent="0.25"/>
    <row r="115151" customFormat="1" x14ac:dyDescent="0.25"/>
    <row r="115152" customFormat="1" x14ac:dyDescent="0.25"/>
    <row r="115153" customFormat="1" x14ac:dyDescent="0.25"/>
    <row r="115154" customFormat="1" x14ac:dyDescent="0.25"/>
    <row r="115155" customFormat="1" x14ac:dyDescent="0.25"/>
    <row r="115156" customFormat="1" x14ac:dyDescent="0.25"/>
    <row r="115157" customFormat="1" x14ac:dyDescent="0.25"/>
    <row r="115158" customFormat="1" x14ac:dyDescent="0.25"/>
    <row r="115159" customFormat="1" x14ac:dyDescent="0.25"/>
    <row r="115160" customFormat="1" x14ac:dyDescent="0.25"/>
    <row r="115161" customFormat="1" x14ac:dyDescent="0.25"/>
    <row r="115162" customFormat="1" x14ac:dyDescent="0.25"/>
    <row r="115163" customFormat="1" x14ac:dyDescent="0.25"/>
    <row r="115164" customFormat="1" x14ac:dyDescent="0.25"/>
    <row r="115165" customFormat="1" x14ac:dyDescent="0.25"/>
    <row r="115166" customFormat="1" x14ac:dyDescent="0.25"/>
    <row r="115167" customFormat="1" x14ac:dyDescent="0.25"/>
    <row r="115168" customFormat="1" x14ac:dyDescent="0.25"/>
    <row r="115169" customFormat="1" x14ac:dyDescent="0.25"/>
    <row r="115170" customFormat="1" x14ac:dyDescent="0.25"/>
    <row r="115171" customFormat="1" x14ac:dyDescent="0.25"/>
    <row r="115172" customFormat="1" x14ac:dyDescent="0.25"/>
    <row r="115173" customFormat="1" x14ac:dyDescent="0.25"/>
    <row r="115174" customFormat="1" x14ac:dyDescent="0.25"/>
    <row r="115175" customFormat="1" x14ac:dyDescent="0.25"/>
    <row r="115176" customFormat="1" x14ac:dyDescent="0.25"/>
    <row r="115177" customFormat="1" x14ac:dyDescent="0.25"/>
    <row r="115178" customFormat="1" x14ac:dyDescent="0.25"/>
    <row r="115179" customFormat="1" x14ac:dyDescent="0.25"/>
    <row r="115180" customFormat="1" x14ac:dyDescent="0.25"/>
    <row r="115181" customFormat="1" x14ac:dyDescent="0.25"/>
    <row r="115182" customFormat="1" x14ac:dyDescent="0.25"/>
    <row r="115183" customFormat="1" x14ac:dyDescent="0.25"/>
    <row r="115184" customFormat="1" x14ac:dyDescent="0.25"/>
    <row r="115185" customFormat="1" x14ac:dyDescent="0.25"/>
    <row r="115186" customFormat="1" x14ac:dyDescent="0.25"/>
    <row r="115187" customFormat="1" x14ac:dyDescent="0.25"/>
    <row r="115188" customFormat="1" x14ac:dyDescent="0.25"/>
    <row r="115189" customFormat="1" x14ac:dyDescent="0.25"/>
    <row r="115190" customFormat="1" x14ac:dyDescent="0.25"/>
    <row r="115191" customFormat="1" x14ac:dyDescent="0.25"/>
    <row r="115192" customFormat="1" x14ac:dyDescent="0.25"/>
    <row r="115193" customFormat="1" x14ac:dyDescent="0.25"/>
    <row r="115194" customFormat="1" x14ac:dyDescent="0.25"/>
    <row r="115195" customFormat="1" x14ac:dyDescent="0.25"/>
    <row r="115196" customFormat="1" x14ac:dyDescent="0.25"/>
    <row r="115197" customFormat="1" x14ac:dyDescent="0.25"/>
    <row r="115198" customFormat="1" x14ac:dyDescent="0.25"/>
    <row r="115199" customFormat="1" x14ac:dyDescent="0.25"/>
    <row r="115200" customFormat="1" x14ac:dyDescent="0.25"/>
    <row r="115201" customFormat="1" x14ac:dyDescent="0.25"/>
    <row r="115202" customFormat="1" x14ac:dyDescent="0.25"/>
    <row r="115203" customFormat="1" x14ac:dyDescent="0.25"/>
    <row r="115204" customFormat="1" x14ac:dyDescent="0.25"/>
    <row r="115205" customFormat="1" x14ac:dyDescent="0.25"/>
    <row r="115206" customFormat="1" x14ac:dyDescent="0.25"/>
    <row r="115207" customFormat="1" x14ac:dyDescent="0.25"/>
    <row r="115208" customFormat="1" x14ac:dyDescent="0.25"/>
    <row r="115209" customFormat="1" x14ac:dyDescent="0.25"/>
    <row r="115210" customFormat="1" x14ac:dyDescent="0.25"/>
    <row r="115211" customFormat="1" x14ac:dyDescent="0.25"/>
    <row r="115212" customFormat="1" x14ac:dyDescent="0.25"/>
    <row r="115213" customFormat="1" x14ac:dyDescent="0.25"/>
    <row r="115214" customFormat="1" x14ac:dyDescent="0.25"/>
    <row r="115215" customFormat="1" x14ac:dyDescent="0.25"/>
    <row r="115216" customFormat="1" x14ac:dyDescent="0.25"/>
    <row r="115217" customFormat="1" x14ac:dyDescent="0.25"/>
    <row r="115218" customFormat="1" x14ac:dyDescent="0.25"/>
    <row r="115219" customFormat="1" x14ac:dyDescent="0.25"/>
    <row r="115220" customFormat="1" x14ac:dyDescent="0.25"/>
    <row r="115221" customFormat="1" x14ac:dyDescent="0.25"/>
    <row r="115222" customFormat="1" x14ac:dyDescent="0.25"/>
    <row r="115223" customFormat="1" x14ac:dyDescent="0.25"/>
    <row r="115224" customFormat="1" x14ac:dyDescent="0.25"/>
    <row r="115225" customFormat="1" x14ac:dyDescent="0.25"/>
    <row r="115226" customFormat="1" x14ac:dyDescent="0.25"/>
    <row r="115227" customFormat="1" x14ac:dyDescent="0.25"/>
    <row r="115228" customFormat="1" x14ac:dyDescent="0.25"/>
    <row r="115229" customFormat="1" x14ac:dyDescent="0.25"/>
    <row r="115230" customFormat="1" x14ac:dyDescent="0.25"/>
    <row r="115231" customFormat="1" x14ac:dyDescent="0.25"/>
    <row r="115232" customFormat="1" x14ac:dyDescent="0.25"/>
    <row r="115233" customFormat="1" x14ac:dyDescent="0.25"/>
    <row r="115234" customFormat="1" x14ac:dyDescent="0.25"/>
    <row r="115235" customFormat="1" x14ac:dyDescent="0.25"/>
    <row r="115236" customFormat="1" x14ac:dyDescent="0.25"/>
    <row r="115237" customFormat="1" x14ac:dyDescent="0.25"/>
    <row r="115238" customFormat="1" x14ac:dyDescent="0.25"/>
    <row r="115239" customFormat="1" x14ac:dyDescent="0.25"/>
    <row r="115240" customFormat="1" x14ac:dyDescent="0.25"/>
    <row r="115241" customFormat="1" x14ac:dyDescent="0.25"/>
    <row r="115242" customFormat="1" x14ac:dyDescent="0.25"/>
    <row r="115243" customFormat="1" x14ac:dyDescent="0.25"/>
    <row r="115244" customFormat="1" x14ac:dyDescent="0.25"/>
    <row r="115245" customFormat="1" x14ac:dyDescent="0.25"/>
    <row r="115246" customFormat="1" x14ac:dyDescent="0.25"/>
    <row r="115247" customFormat="1" x14ac:dyDescent="0.25"/>
    <row r="115248" customFormat="1" x14ac:dyDescent="0.25"/>
    <row r="115249" customFormat="1" x14ac:dyDescent="0.25"/>
    <row r="115250" customFormat="1" x14ac:dyDescent="0.25"/>
    <row r="115251" customFormat="1" x14ac:dyDescent="0.25"/>
    <row r="115252" customFormat="1" x14ac:dyDescent="0.25"/>
    <row r="115253" customFormat="1" x14ac:dyDescent="0.25"/>
    <row r="115254" customFormat="1" x14ac:dyDescent="0.25"/>
    <row r="115255" customFormat="1" x14ac:dyDescent="0.25"/>
    <row r="115256" customFormat="1" x14ac:dyDescent="0.25"/>
    <row r="115257" customFormat="1" x14ac:dyDescent="0.25"/>
    <row r="115258" customFormat="1" x14ac:dyDescent="0.25"/>
    <row r="115259" customFormat="1" x14ac:dyDescent="0.25"/>
    <row r="115260" customFormat="1" x14ac:dyDescent="0.25"/>
    <row r="115261" customFormat="1" x14ac:dyDescent="0.25"/>
    <row r="115262" customFormat="1" x14ac:dyDescent="0.25"/>
    <row r="115263" customFormat="1" x14ac:dyDescent="0.25"/>
    <row r="115264" customFormat="1" x14ac:dyDescent="0.25"/>
    <row r="115265" customFormat="1" x14ac:dyDescent="0.25"/>
    <row r="115266" customFormat="1" x14ac:dyDescent="0.25"/>
    <row r="115267" customFormat="1" x14ac:dyDescent="0.25"/>
    <row r="115268" customFormat="1" x14ac:dyDescent="0.25"/>
    <row r="115269" customFormat="1" x14ac:dyDescent="0.25"/>
    <row r="115270" customFormat="1" x14ac:dyDescent="0.25"/>
    <row r="115271" customFormat="1" x14ac:dyDescent="0.25"/>
    <row r="115272" customFormat="1" x14ac:dyDescent="0.25"/>
    <row r="115273" customFormat="1" x14ac:dyDescent="0.25"/>
    <row r="115274" customFormat="1" x14ac:dyDescent="0.25"/>
    <row r="115275" customFormat="1" x14ac:dyDescent="0.25"/>
    <row r="115276" customFormat="1" x14ac:dyDescent="0.25"/>
    <row r="115277" customFormat="1" x14ac:dyDescent="0.25"/>
    <row r="115278" customFormat="1" x14ac:dyDescent="0.25"/>
    <row r="115279" customFormat="1" x14ac:dyDescent="0.25"/>
    <row r="115280" customFormat="1" x14ac:dyDescent="0.25"/>
    <row r="115281" customFormat="1" x14ac:dyDescent="0.25"/>
    <row r="115282" customFormat="1" x14ac:dyDescent="0.25"/>
    <row r="115283" customFormat="1" x14ac:dyDescent="0.25"/>
    <row r="115284" customFormat="1" x14ac:dyDescent="0.25"/>
    <row r="115285" customFormat="1" x14ac:dyDescent="0.25"/>
    <row r="115286" customFormat="1" x14ac:dyDescent="0.25"/>
    <row r="115287" customFormat="1" x14ac:dyDescent="0.25"/>
    <row r="115288" customFormat="1" x14ac:dyDescent="0.25"/>
    <row r="115289" customFormat="1" x14ac:dyDescent="0.25"/>
    <row r="115290" customFormat="1" x14ac:dyDescent="0.25"/>
    <row r="115291" customFormat="1" x14ac:dyDescent="0.25"/>
    <row r="115292" customFormat="1" x14ac:dyDescent="0.25"/>
    <row r="115293" customFormat="1" x14ac:dyDescent="0.25"/>
    <row r="115294" customFormat="1" x14ac:dyDescent="0.25"/>
    <row r="115295" customFormat="1" x14ac:dyDescent="0.25"/>
    <row r="115296" customFormat="1" x14ac:dyDescent="0.25"/>
    <row r="115297" customFormat="1" x14ac:dyDescent="0.25"/>
    <row r="115298" customFormat="1" x14ac:dyDescent="0.25"/>
    <row r="115299" customFormat="1" x14ac:dyDescent="0.25"/>
    <row r="115300" customFormat="1" x14ac:dyDescent="0.25"/>
    <row r="115301" customFormat="1" x14ac:dyDescent="0.25"/>
    <row r="115302" customFormat="1" x14ac:dyDescent="0.25"/>
    <row r="115303" customFormat="1" x14ac:dyDescent="0.25"/>
    <row r="115304" customFormat="1" x14ac:dyDescent="0.25"/>
    <row r="115305" customFormat="1" x14ac:dyDescent="0.25"/>
    <row r="115306" customFormat="1" x14ac:dyDescent="0.25"/>
    <row r="115307" customFormat="1" x14ac:dyDescent="0.25"/>
    <row r="115308" customFormat="1" x14ac:dyDescent="0.25"/>
    <row r="115309" customFormat="1" x14ac:dyDescent="0.25"/>
    <row r="115310" customFormat="1" x14ac:dyDescent="0.25"/>
    <row r="115311" customFormat="1" x14ac:dyDescent="0.25"/>
    <row r="115312" customFormat="1" x14ac:dyDescent="0.25"/>
    <row r="115313" customFormat="1" x14ac:dyDescent="0.25"/>
    <row r="115314" customFormat="1" x14ac:dyDescent="0.25"/>
    <row r="115315" customFormat="1" x14ac:dyDescent="0.25"/>
    <row r="115316" customFormat="1" x14ac:dyDescent="0.25"/>
    <row r="115317" customFormat="1" x14ac:dyDescent="0.25"/>
    <row r="115318" customFormat="1" x14ac:dyDescent="0.25"/>
    <row r="115319" customFormat="1" x14ac:dyDescent="0.25"/>
    <row r="115320" customFormat="1" x14ac:dyDescent="0.25"/>
    <row r="115321" customFormat="1" x14ac:dyDescent="0.25"/>
    <row r="115322" customFormat="1" x14ac:dyDescent="0.25"/>
    <row r="115323" customFormat="1" x14ac:dyDescent="0.25"/>
    <row r="115324" customFormat="1" x14ac:dyDescent="0.25"/>
    <row r="115325" customFormat="1" x14ac:dyDescent="0.25"/>
    <row r="115326" customFormat="1" x14ac:dyDescent="0.25"/>
    <row r="115327" customFormat="1" x14ac:dyDescent="0.25"/>
    <row r="115328" customFormat="1" x14ac:dyDescent="0.25"/>
    <row r="115329" customFormat="1" x14ac:dyDescent="0.25"/>
    <row r="115330" customFormat="1" x14ac:dyDescent="0.25"/>
    <row r="115331" customFormat="1" x14ac:dyDescent="0.25"/>
    <row r="115332" customFormat="1" x14ac:dyDescent="0.25"/>
    <row r="115333" customFormat="1" x14ac:dyDescent="0.25"/>
    <row r="115334" customFormat="1" x14ac:dyDescent="0.25"/>
    <row r="115335" customFormat="1" x14ac:dyDescent="0.25"/>
    <row r="115336" customFormat="1" x14ac:dyDescent="0.25"/>
    <row r="115337" customFormat="1" x14ac:dyDescent="0.25"/>
    <row r="115338" customFormat="1" x14ac:dyDescent="0.25"/>
    <row r="115339" customFormat="1" x14ac:dyDescent="0.25"/>
    <row r="115340" customFormat="1" x14ac:dyDescent="0.25"/>
    <row r="115341" customFormat="1" x14ac:dyDescent="0.25"/>
    <row r="115342" customFormat="1" x14ac:dyDescent="0.25"/>
    <row r="115343" customFormat="1" x14ac:dyDescent="0.25"/>
    <row r="115344" customFormat="1" x14ac:dyDescent="0.25"/>
    <row r="115345" customFormat="1" x14ac:dyDescent="0.25"/>
    <row r="115346" customFormat="1" x14ac:dyDescent="0.25"/>
    <row r="115347" customFormat="1" x14ac:dyDescent="0.25"/>
    <row r="115348" customFormat="1" x14ac:dyDescent="0.25"/>
    <row r="115349" customFormat="1" x14ac:dyDescent="0.25"/>
    <row r="115350" customFormat="1" x14ac:dyDescent="0.25"/>
    <row r="115351" customFormat="1" x14ac:dyDescent="0.25"/>
    <row r="115352" customFormat="1" x14ac:dyDescent="0.25"/>
    <row r="115353" customFormat="1" x14ac:dyDescent="0.25"/>
    <row r="115354" customFormat="1" x14ac:dyDescent="0.25"/>
    <row r="115355" customFormat="1" x14ac:dyDescent="0.25"/>
    <row r="115356" customFormat="1" x14ac:dyDescent="0.25"/>
    <row r="115357" customFormat="1" x14ac:dyDescent="0.25"/>
    <row r="115358" customFormat="1" x14ac:dyDescent="0.25"/>
    <row r="115359" customFormat="1" x14ac:dyDescent="0.25"/>
    <row r="115360" customFormat="1" x14ac:dyDescent="0.25"/>
    <row r="115361" customFormat="1" x14ac:dyDescent="0.25"/>
    <row r="115362" customFormat="1" x14ac:dyDescent="0.25"/>
    <row r="115363" customFormat="1" x14ac:dyDescent="0.25"/>
    <row r="115364" customFormat="1" x14ac:dyDescent="0.25"/>
    <row r="115365" customFormat="1" x14ac:dyDescent="0.25"/>
    <row r="115366" customFormat="1" x14ac:dyDescent="0.25"/>
    <row r="115367" customFormat="1" x14ac:dyDescent="0.25"/>
    <row r="115368" customFormat="1" x14ac:dyDescent="0.25"/>
    <row r="115369" customFormat="1" x14ac:dyDescent="0.25"/>
    <row r="115370" customFormat="1" x14ac:dyDescent="0.25"/>
    <row r="115371" customFormat="1" x14ac:dyDescent="0.25"/>
    <row r="115372" customFormat="1" x14ac:dyDescent="0.25"/>
    <row r="115373" customFormat="1" x14ac:dyDescent="0.25"/>
    <row r="115374" customFormat="1" x14ac:dyDescent="0.25"/>
    <row r="115375" customFormat="1" x14ac:dyDescent="0.25"/>
    <row r="115376" customFormat="1" x14ac:dyDescent="0.25"/>
    <row r="115377" customFormat="1" x14ac:dyDescent="0.25"/>
    <row r="115378" customFormat="1" x14ac:dyDescent="0.25"/>
    <row r="115379" customFormat="1" x14ac:dyDescent="0.25"/>
    <row r="115380" customFormat="1" x14ac:dyDescent="0.25"/>
    <row r="115381" customFormat="1" x14ac:dyDescent="0.25"/>
    <row r="115382" customFormat="1" x14ac:dyDescent="0.25"/>
    <row r="115383" customFormat="1" x14ac:dyDescent="0.25"/>
    <row r="115384" customFormat="1" x14ac:dyDescent="0.25"/>
    <row r="115385" customFormat="1" x14ac:dyDescent="0.25"/>
    <row r="115386" customFormat="1" x14ac:dyDescent="0.25"/>
    <row r="115387" customFormat="1" x14ac:dyDescent="0.25"/>
    <row r="115388" customFormat="1" x14ac:dyDescent="0.25"/>
    <row r="115389" customFormat="1" x14ac:dyDescent="0.25"/>
    <row r="115390" customFormat="1" x14ac:dyDescent="0.25"/>
    <row r="115391" customFormat="1" x14ac:dyDescent="0.25"/>
    <row r="115392" customFormat="1" x14ac:dyDescent="0.25"/>
    <row r="115393" customFormat="1" x14ac:dyDescent="0.25"/>
    <row r="115394" customFormat="1" x14ac:dyDescent="0.25"/>
    <row r="115395" customFormat="1" x14ac:dyDescent="0.25"/>
    <row r="115396" customFormat="1" x14ac:dyDescent="0.25"/>
    <row r="115397" customFormat="1" x14ac:dyDescent="0.25"/>
    <row r="115398" customFormat="1" x14ac:dyDescent="0.25"/>
    <row r="115399" customFormat="1" x14ac:dyDescent="0.25"/>
    <row r="115400" customFormat="1" x14ac:dyDescent="0.25"/>
    <row r="115401" customFormat="1" x14ac:dyDescent="0.25"/>
    <row r="115402" customFormat="1" x14ac:dyDescent="0.25"/>
    <row r="115403" customFormat="1" x14ac:dyDescent="0.25"/>
    <row r="115404" customFormat="1" x14ac:dyDescent="0.25"/>
    <row r="115405" customFormat="1" x14ac:dyDescent="0.25"/>
    <row r="115406" customFormat="1" x14ac:dyDescent="0.25"/>
    <row r="115407" customFormat="1" x14ac:dyDescent="0.25"/>
    <row r="115408" customFormat="1" x14ac:dyDescent="0.25"/>
    <row r="115409" customFormat="1" x14ac:dyDescent="0.25"/>
    <row r="115410" customFormat="1" x14ac:dyDescent="0.25"/>
    <row r="115411" customFormat="1" x14ac:dyDescent="0.25"/>
    <row r="115412" customFormat="1" x14ac:dyDescent="0.25"/>
    <row r="115413" customFormat="1" x14ac:dyDescent="0.25"/>
    <row r="115414" customFormat="1" x14ac:dyDescent="0.25"/>
    <row r="115415" customFormat="1" x14ac:dyDescent="0.25"/>
    <row r="115416" customFormat="1" x14ac:dyDescent="0.25"/>
    <row r="115417" customFormat="1" x14ac:dyDescent="0.25"/>
    <row r="115418" customFormat="1" x14ac:dyDescent="0.25"/>
    <row r="115419" customFormat="1" x14ac:dyDescent="0.25"/>
    <row r="115420" customFormat="1" x14ac:dyDescent="0.25"/>
    <row r="115421" customFormat="1" x14ac:dyDescent="0.25"/>
    <row r="115422" customFormat="1" x14ac:dyDescent="0.25"/>
    <row r="115423" customFormat="1" x14ac:dyDescent="0.25"/>
    <row r="115424" customFormat="1" x14ac:dyDescent="0.25"/>
    <row r="115425" customFormat="1" x14ac:dyDescent="0.25"/>
    <row r="115426" customFormat="1" x14ac:dyDescent="0.25"/>
    <row r="115427" customFormat="1" x14ac:dyDescent="0.25"/>
    <row r="115428" customFormat="1" x14ac:dyDescent="0.25"/>
    <row r="115429" customFormat="1" x14ac:dyDescent="0.25"/>
    <row r="115430" customFormat="1" x14ac:dyDescent="0.25"/>
    <row r="115431" customFormat="1" x14ac:dyDescent="0.25"/>
    <row r="115432" customFormat="1" x14ac:dyDescent="0.25"/>
    <row r="115433" customFormat="1" x14ac:dyDescent="0.25"/>
    <row r="115434" customFormat="1" x14ac:dyDescent="0.25"/>
    <row r="115435" customFormat="1" x14ac:dyDescent="0.25"/>
    <row r="115436" customFormat="1" x14ac:dyDescent="0.25"/>
    <row r="115437" customFormat="1" x14ac:dyDescent="0.25"/>
    <row r="115438" customFormat="1" x14ac:dyDescent="0.25"/>
    <row r="115439" customFormat="1" x14ac:dyDescent="0.25"/>
    <row r="115440" customFormat="1" x14ac:dyDescent="0.25"/>
    <row r="115441" customFormat="1" x14ac:dyDescent="0.25"/>
    <row r="115442" customFormat="1" x14ac:dyDescent="0.25"/>
    <row r="115443" customFormat="1" x14ac:dyDescent="0.25"/>
    <row r="115444" customFormat="1" x14ac:dyDescent="0.25"/>
    <row r="115445" customFormat="1" x14ac:dyDescent="0.25"/>
    <row r="115446" customFormat="1" x14ac:dyDescent="0.25"/>
    <row r="115447" customFormat="1" x14ac:dyDescent="0.25"/>
    <row r="115448" customFormat="1" x14ac:dyDescent="0.25"/>
    <row r="115449" customFormat="1" x14ac:dyDescent="0.25"/>
    <row r="115450" customFormat="1" x14ac:dyDescent="0.25"/>
    <row r="115451" customFormat="1" x14ac:dyDescent="0.25"/>
    <row r="115452" customFormat="1" x14ac:dyDescent="0.25"/>
    <row r="115453" customFormat="1" x14ac:dyDescent="0.25"/>
    <row r="115454" customFormat="1" x14ac:dyDescent="0.25"/>
    <row r="115455" customFormat="1" x14ac:dyDescent="0.25"/>
    <row r="115456" customFormat="1" x14ac:dyDescent="0.25"/>
    <row r="115457" customFormat="1" x14ac:dyDescent="0.25"/>
    <row r="115458" customFormat="1" x14ac:dyDescent="0.25"/>
    <row r="115459" customFormat="1" x14ac:dyDescent="0.25"/>
    <row r="115460" customFormat="1" x14ac:dyDescent="0.25"/>
    <row r="115461" customFormat="1" x14ac:dyDescent="0.25"/>
    <row r="115462" customFormat="1" x14ac:dyDescent="0.25"/>
    <row r="115463" customFormat="1" x14ac:dyDescent="0.25"/>
    <row r="115464" customFormat="1" x14ac:dyDescent="0.25"/>
    <row r="115465" customFormat="1" x14ac:dyDescent="0.25"/>
    <row r="115466" customFormat="1" x14ac:dyDescent="0.25"/>
    <row r="115467" customFormat="1" x14ac:dyDescent="0.25"/>
    <row r="115468" customFormat="1" x14ac:dyDescent="0.25"/>
    <row r="115469" customFormat="1" x14ac:dyDescent="0.25"/>
    <row r="115470" customFormat="1" x14ac:dyDescent="0.25"/>
    <row r="115471" customFormat="1" x14ac:dyDescent="0.25"/>
    <row r="115472" customFormat="1" x14ac:dyDescent="0.25"/>
    <row r="115473" customFormat="1" x14ac:dyDescent="0.25"/>
    <row r="115474" customFormat="1" x14ac:dyDescent="0.25"/>
    <row r="115475" customFormat="1" x14ac:dyDescent="0.25"/>
    <row r="115476" customFormat="1" x14ac:dyDescent="0.25"/>
    <row r="115477" customFormat="1" x14ac:dyDescent="0.25"/>
    <row r="115478" customFormat="1" x14ac:dyDescent="0.25"/>
    <row r="115479" customFormat="1" x14ac:dyDescent="0.25"/>
    <row r="115480" customFormat="1" x14ac:dyDescent="0.25"/>
    <row r="115481" customFormat="1" x14ac:dyDescent="0.25"/>
    <row r="115482" customFormat="1" x14ac:dyDescent="0.25"/>
    <row r="115483" customFormat="1" x14ac:dyDescent="0.25"/>
    <row r="115484" customFormat="1" x14ac:dyDescent="0.25"/>
    <row r="115485" customFormat="1" x14ac:dyDescent="0.25"/>
    <row r="115486" customFormat="1" x14ac:dyDescent="0.25"/>
    <row r="115487" customFormat="1" x14ac:dyDescent="0.25"/>
    <row r="115488" customFormat="1" x14ac:dyDescent="0.25"/>
    <row r="115489" customFormat="1" x14ac:dyDescent="0.25"/>
    <row r="115490" customFormat="1" x14ac:dyDescent="0.25"/>
    <row r="115491" customFormat="1" x14ac:dyDescent="0.25"/>
    <row r="115492" customFormat="1" x14ac:dyDescent="0.25"/>
    <row r="115493" customFormat="1" x14ac:dyDescent="0.25"/>
    <row r="115494" customFormat="1" x14ac:dyDescent="0.25"/>
    <row r="115495" customFormat="1" x14ac:dyDescent="0.25"/>
    <row r="115496" customFormat="1" x14ac:dyDescent="0.25"/>
    <row r="115497" customFormat="1" x14ac:dyDescent="0.25"/>
    <row r="115498" customFormat="1" x14ac:dyDescent="0.25"/>
    <row r="115499" customFormat="1" x14ac:dyDescent="0.25"/>
    <row r="115500" customFormat="1" x14ac:dyDescent="0.25"/>
    <row r="115501" customFormat="1" x14ac:dyDescent="0.25"/>
    <row r="115502" customFormat="1" x14ac:dyDescent="0.25"/>
    <row r="115503" customFormat="1" x14ac:dyDescent="0.25"/>
    <row r="115504" customFormat="1" x14ac:dyDescent="0.25"/>
    <row r="115505" customFormat="1" x14ac:dyDescent="0.25"/>
    <row r="115506" customFormat="1" x14ac:dyDescent="0.25"/>
    <row r="115507" customFormat="1" x14ac:dyDescent="0.25"/>
    <row r="115508" customFormat="1" x14ac:dyDescent="0.25"/>
    <row r="115509" customFormat="1" x14ac:dyDescent="0.25"/>
    <row r="115510" customFormat="1" x14ac:dyDescent="0.25"/>
    <row r="115511" customFormat="1" x14ac:dyDescent="0.25"/>
    <row r="115512" customFormat="1" x14ac:dyDescent="0.25"/>
    <row r="115513" customFormat="1" x14ac:dyDescent="0.25"/>
    <row r="115514" customFormat="1" x14ac:dyDescent="0.25"/>
    <row r="115515" customFormat="1" x14ac:dyDescent="0.25"/>
    <row r="115516" customFormat="1" x14ac:dyDescent="0.25"/>
    <row r="115517" customFormat="1" x14ac:dyDescent="0.25"/>
    <row r="115518" customFormat="1" x14ac:dyDescent="0.25"/>
    <row r="115519" customFormat="1" x14ac:dyDescent="0.25"/>
    <row r="115520" customFormat="1" x14ac:dyDescent="0.25"/>
    <row r="115521" customFormat="1" x14ac:dyDescent="0.25"/>
    <row r="115522" customFormat="1" x14ac:dyDescent="0.25"/>
    <row r="115523" customFormat="1" x14ac:dyDescent="0.25"/>
    <row r="115524" customFormat="1" x14ac:dyDescent="0.25"/>
    <row r="115525" customFormat="1" x14ac:dyDescent="0.25"/>
    <row r="115526" customFormat="1" x14ac:dyDescent="0.25"/>
    <row r="115527" customFormat="1" x14ac:dyDescent="0.25"/>
    <row r="115528" customFormat="1" x14ac:dyDescent="0.25"/>
    <row r="115529" customFormat="1" x14ac:dyDescent="0.25"/>
    <row r="115530" customFormat="1" x14ac:dyDescent="0.25"/>
    <row r="115531" customFormat="1" x14ac:dyDescent="0.25"/>
    <row r="115532" customFormat="1" x14ac:dyDescent="0.25"/>
    <row r="115533" customFormat="1" x14ac:dyDescent="0.25"/>
    <row r="115534" customFormat="1" x14ac:dyDescent="0.25"/>
    <row r="115535" customFormat="1" x14ac:dyDescent="0.25"/>
    <row r="115536" customFormat="1" x14ac:dyDescent="0.25"/>
    <row r="115537" customFormat="1" x14ac:dyDescent="0.25"/>
    <row r="115538" customFormat="1" x14ac:dyDescent="0.25"/>
    <row r="115539" customFormat="1" x14ac:dyDescent="0.25"/>
    <row r="115540" customFormat="1" x14ac:dyDescent="0.25"/>
    <row r="115541" customFormat="1" x14ac:dyDescent="0.25"/>
    <row r="115542" customFormat="1" x14ac:dyDescent="0.25"/>
    <row r="115543" customFormat="1" x14ac:dyDescent="0.25"/>
    <row r="115544" customFormat="1" x14ac:dyDescent="0.25"/>
    <row r="115545" customFormat="1" x14ac:dyDescent="0.25"/>
    <row r="115546" customFormat="1" x14ac:dyDescent="0.25"/>
    <row r="115547" customFormat="1" x14ac:dyDescent="0.25"/>
    <row r="115548" customFormat="1" x14ac:dyDescent="0.25"/>
    <row r="115549" customFormat="1" x14ac:dyDescent="0.25"/>
    <row r="115550" customFormat="1" x14ac:dyDescent="0.25"/>
    <row r="115551" customFormat="1" x14ac:dyDescent="0.25"/>
    <row r="115552" customFormat="1" x14ac:dyDescent="0.25"/>
    <row r="115553" customFormat="1" x14ac:dyDescent="0.25"/>
    <row r="115554" customFormat="1" x14ac:dyDescent="0.25"/>
    <row r="115555" customFormat="1" x14ac:dyDescent="0.25"/>
    <row r="115556" customFormat="1" x14ac:dyDescent="0.25"/>
    <row r="115557" customFormat="1" x14ac:dyDescent="0.25"/>
    <row r="115558" customFormat="1" x14ac:dyDescent="0.25"/>
    <row r="115559" customFormat="1" x14ac:dyDescent="0.25"/>
    <row r="115560" customFormat="1" x14ac:dyDescent="0.25"/>
    <row r="115561" customFormat="1" x14ac:dyDescent="0.25"/>
    <row r="115562" customFormat="1" x14ac:dyDescent="0.25"/>
    <row r="115563" customFormat="1" x14ac:dyDescent="0.25"/>
    <row r="115564" customFormat="1" x14ac:dyDescent="0.25"/>
    <row r="115565" customFormat="1" x14ac:dyDescent="0.25"/>
    <row r="115566" customFormat="1" x14ac:dyDescent="0.25"/>
    <row r="115567" customFormat="1" x14ac:dyDescent="0.25"/>
    <row r="115568" customFormat="1" x14ac:dyDescent="0.25"/>
    <row r="115569" customFormat="1" x14ac:dyDescent="0.25"/>
    <row r="115570" customFormat="1" x14ac:dyDescent="0.25"/>
    <row r="115571" customFormat="1" x14ac:dyDescent="0.25"/>
    <row r="115572" customFormat="1" x14ac:dyDescent="0.25"/>
    <row r="115573" customFormat="1" x14ac:dyDescent="0.25"/>
    <row r="115574" customFormat="1" x14ac:dyDescent="0.25"/>
    <row r="115575" customFormat="1" x14ac:dyDescent="0.25"/>
    <row r="115576" customFormat="1" x14ac:dyDescent="0.25"/>
    <row r="115577" customFormat="1" x14ac:dyDescent="0.25"/>
    <row r="115578" customFormat="1" x14ac:dyDescent="0.25"/>
    <row r="115579" customFormat="1" x14ac:dyDescent="0.25"/>
    <row r="115580" customFormat="1" x14ac:dyDescent="0.25"/>
    <row r="115581" customFormat="1" x14ac:dyDescent="0.25"/>
    <row r="115582" customFormat="1" x14ac:dyDescent="0.25"/>
    <row r="115583" customFormat="1" x14ac:dyDescent="0.25"/>
    <row r="115584" customFormat="1" x14ac:dyDescent="0.25"/>
    <row r="115585" customFormat="1" x14ac:dyDescent="0.25"/>
    <row r="115586" customFormat="1" x14ac:dyDescent="0.25"/>
    <row r="115587" customFormat="1" x14ac:dyDescent="0.25"/>
    <row r="115588" customFormat="1" x14ac:dyDescent="0.25"/>
    <row r="115589" customFormat="1" x14ac:dyDescent="0.25"/>
    <row r="115590" customFormat="1" x14ac:dyDescent="0.25"/>
    <row r="115591" customFormat="1" x14ac:dyDescent="0.25"/>
    <row r="115592" customFormat="1" x14ac:dyDescent="0.25"/>
    <row r="115593" customFormat="1" x14ac:dyDescent="0.25"/>
    <row r="115594" customFormat="1" x14ac:dyDescent="0.25"/>
    <row r="115595" customFormat="1" x14ac:dyDescent="0.25"/>
    <row r="115596" customFormat="1" x14ac:dyDescent="0.25"/>
    <row r="115597" customFormat="1" x14ac:dyDescent="0.25"/>
    <row r="115598" customFormat="1" x14ac:dyDescent="0.25"/>
    <row r="115599" customFormat="1" x14ac:dyDescent="0.25"/>
    <row r="115600" customFormat="1" x14ac:dyDescent="0.25"/>
    <row r="115601" customFormat="1" x14ac:dyDescent="0.25"/>
    <row r="115602" customFormat="1" x14ac:dyDescent="0.25"/>
    <row r="115603" customFormat="1" x14ac:dyDescent="0.25"/>
    <row r="115604" customFormat="1" x14ac:dyDescent="0.25"/>
    <row r="115605" customFormat="1" x14ac:dyDescent="0.25"/>
    <row r="115606" customFormat="1" x14ac:dyDescent="0.25"/>
    <row r="115607" customFormat="1" x14ac:dyDescent="0.25"/>
    <row r="115608" customFormat="1" x14ac:dyDescent="0.25"/>
    <row r="115609" customFormat="1" x14ac:dyDescent="0.25"/>
    <row r="115610" customFormat="1" x14ac:dyDescent="0.25"/>
    <row r="115611" customFormat="1" x14ac:dyDescent="0.25"/>
    <row r="115612" customFormat="1" x14ac:dyDescent="0.25"/>
    <row r="115613" customFormat="1" x14ac:dyDescent="0.25"/>
    <row r="115614" customFormat="1" x14ac:dyDescent="0.25"/>
    <row r="115615" customFormat="1" x14ac:dyDescent="0.25"/>
    <row r="115616" customFormat="1" x14ac:dyDescent="0.25"/>
    <row r="115617" customFormat="1" x14ac:dyDescent="0.25"/>
    <row r="115618" customFormat="1" x14ac:dyDescent="0.25"/>
    <row r="115619" customFormat="1" x14ac:dyDescent="0.25"/>
    <row r="115620" customFormat="1" x14ac:dyDescent="0.25"/>
    <row r="115621" customFormat="1" x14ac:dyDescent="0.25"/>
    <row r="115622" customFormat="1" x14ac:dyDescent="0.25"/>
    <row r="115623" customFormat="1" x14ac:dyDescent="0.25"/>
    <row r="115624" customFormat="1" x14ac:dyDescent="0.25"/>
    <row r="115625" customFormat="1" x14ac:dyDescent="0.25"/>
    <row r="115626" customFormat="1" x14ac:dyDescent="0.25"/>
    <row r="115627" customFormat="1" x14ac:dyDescent="0.25"/>
    <row r="115628" customFormat="1" x14ac:dyDescent="0.25"/>
    <row r="115629" customFormat="1" x14ac:dyDescent="0.25"/>
    <row r="115630" customFormat="1" x14ac:dyDescent="0.25"/>
    <row r="115631" customFormat="1" x14ac:dyDescent="0.25"/>
    <row r="115632" customFormat="1" x14ac:dyDescent="0.25"/>
    <row r="115633" customFormat="1" x14ac:dyDescent="0.25"/>
    <row r="115634" customFormat="1" x14ac:dyDescent="0.25"/>
    <row r="115635" customFormat="1" x14ac:dyDescent="0.25"/>
    <row r="115636" customFormat="1" x14ac:dyDescent="0.25"/>
    <row r="115637" customFormat="1" x14ac:dyDescent="0.25"/>
    <row r="115638" customFormat="1" x14ac:dyDescent="0.25"/>
    <row r="115639" customFormat="1" x14ac:dyDescent="0.25"/>
    <row r="115640" customFormat="1" x14ac:dyDescent="0.25"/>
    <row r="115641" customFormat="1" x14ac:dyDescent="0.25"/>
    <row r="115642" customFormat="1" x14ac:dyDescent="0.25"/>
    <row r="115643" customFormat="1" x14ac:dyDescent="0.25"/>
    <row r="115644" customFormat="1" x14ac:dyDescent="0.25"/>
    <row r="115645" customFormat="1" x14ac:dyDescent="0.25"/>
    <row r="115646" customFormat="1" x14ac:dyDescent="0.25"/>
    <row r="115647" customFormat="1" x14ac:dyDescent="0.25"/>
    <row r="115648" customFormat="1" x14ac:dyDescent="0.25"/>
    <row r="115649" customFormat="1" x14ac:dyDescent="0.25"/>
    <row r="115650" customFormat="1" x14ac:dyDescent="0.25"/>
    <row r="115651" customFormat="1" x14ac:dyDescent="0.25"/>
    <row r="115652" customFormat="1" x14ac:dyDescent="0.25"/>
    <row r="115653" customFormat="1" x14ac:dyDescent="0.25"/>
    <row r="115654" customFormat="1" x14ac:dyDescent="0.25"/>
    <row r="115655" customFormat="1" x14ac:dyDescent="0.25"/>
    <row r="115656" customFormat="1" x14ac:dyDescent="0.25"/>
    <row r="115657" customFormat="1" x14ac:dyDescent="0.25"/>
    <row r="115658" customFormat="1" x14ac:dyDescent="0.25"/>
    <row r="115659" customFormat="1" x14ac:dyDescent="0.25"/>
    <row r="115660" customFormat="1" x14ac:dyDescent="0.25"/>
    <row r="115661" customFormat="1" x14ac:dyDescent="0.25"/>
    <row r="115662" customFormat="1" x14ac:dyDescent="0.25"/>
    <row r="115663" customFormat="1" x14ac:dyDescent="0.25"/>
    <row r="115664" customFormat="1" x14ac:dyDescent="0.25"/>
    <row r="115665" customFormat="1" x14ac:dyDescent="0.25"/>
    <row r="115666" customFormat="1" x14ac:dyDescent="0.25"/>
    <row r="115667" customFormat="1" x14ac:dyDescent="0.25"/>
    <row r="115668" customFormat="1" x14ac:dyDescent="0.25"/>
    <row r="115669" customFormat="1" x14ac:dyDescent="0.25"/>
    <row r="115670" customFormat="1" x14ac:dyDescent="0.25"/>
    <row r="115671" customFormat="1" x14ac:dyDescent="0.25"/>
    <row r="115672" customFormat="1" x14ac:dyDescent="0.25"/>
    <row r="115673" customFormat="1" x14ac:dyDescent="0.25"/>
    <row r="115674" customFormat="1" x14ac:dyDescent="0.25"/>
    <row r="115675" customFormat="1" x14ac:dyDescent="0.25"/>
    <row r="115676" customFormat="1" x14ac:dyDescent="0.25"/>
    <row r="115677" customFormat="1" x14ac:dyDescent="0.25"/>
    <row r="115678" customFormat="1" x14ac:dyDescent="0.25"/>
    <row r="115679" customFormat="1" x14ac:dyDescent="0.25"/>
    <row r="115680" customFormat="1" x14ac:dyDescent="0.25"/>
    <row r="115681" customFormat="1" x14ac:dyDescent="0.25"/>
    <row r="115682" customFormat="1" x14ac:dyDescent="0.25"/>
    <row r="115683" customFormat="1" x14ac:dyDescent="0.25"/>
    <row r="115684" customFormat="1" x14ac:dyDescent="0.25"/>
    <row r="115685" customFormat="1" x14ac:dyDescent="0.25"/>
    <row r="115686" customFormat="1" x14ac:dyDescent="0.25"/>
    <row r="115687" customFormat="1" x14ac:dyDescent="0.25"/>
    <row r="115688" customFormat="1" x14ac:dyDescent="0.25"/>
    <row r="115689" customFormat="1" x14ac:dyDescent="0.25"/>
    <row r="115690" customFormat="1" x14ac:dyDescent="0.25"/>
    <row r="115691" customFormat="1" x14ac:dyDescent="0.25"/>
    <row r="115692" customFormat="1" x14ac:dyDescent="0.25"/>
    <row r="115693" customFormat="1" x14ac:dyDescent="0.25"/>
    <row r="115694" customFormat="1" x14ac:dyDescent="0.25"/>
    <row r="115695" customFormat="1" x14ac:dyDescent="0.25"/>
    <row r="115696" customFormat="1" x14ac:dyDescent="0.25"/>
    <row r="115697" customFormat="1" x14ac:dyDescent="0.25"/>
    <row r="115698" customFormat="1" x14ac:dyDescent="0.25"/>
    <row r="115699" customFormat="1" x14ac:dyDescent="0.25"/>
    <row r="115700" customFormat="1" x14ac:dyDescent="0.25"/>
    <row r="115701" customFormat="1" x14ac:dyDescent="0.25"/>
    <row r="115702" customFormat="1" x14ac:dyDescent="0.25"/>
    <row r="115703" customFormat="1" x14ac:dyDescent="0.25"/>
    <row r="115704" customFormat="1" x14ac:dyDescent="0.25"/>
    <row r="115705" customFormat="1" x14ac:dyDescent="0.25"/>
    <row r="115706" customFormat="1" x14ac:dyDescent="0.25"/>
    <row r="115707" customFormat="1" x14ac:dyDescent="0.25"/>
    <row r="115708" customFormat="1" x14ac:dyDescent="0.25"/>
    <row r="115709" customFormat="1" x14ac:dyDescent="0.25"/>
    <row r="115710" customFormat="1" x14ac:dyDescent="0.25"/>
    <row r="115711" customFormat="1" x14ac:dyDescent="0.25"/>
    <row r="115712" customFormat="1" x14ac:dyDescent="0.25"/>
    <row r="115713" customFormat="1" x14ac:dyDescent="0.25"/>
    <row r="115714" customFormat="1" x14ac:dyDescent="0.25"/>
    <row r="115715" customFormat="1" x14ac:dyDescent="0.25"/>
    <row r="115716" customFormat="1" x14ac:dyDescent="0.25"/>
    <row r="115717" customFormat="1" x14ac:dyDescent="0.25"/>
    <row r="115718" customFormat="1" x14ac:dyDescent="0.25"/>
    <row r="115719" customFormat="1" x14ac:dyDescent="0.25"/>
    <row r="115720" customFormat="1" x14ac:dyDescent="0.25"/>
    <row r="115721" customFormat="1" x14ac:dyDescent="0.25"/>
    <row r="115722" customFormat="1" x14ac:dyDescent="0.25"/>
    <row r="115723" customFormat="1" x14ac:dyDescent="0.25"/>
    <row r="115724" customFormat="1" x14ac:dyDescent="0.25"/>
    <row r="115725" customFormat="1" x14ac:dyDescent="0.25"/>
    <row r="115726" customFormat="1" x14ac:dyDescent="0.25"/>
    <row r="115727" customFormat="1" x14ac:dyDescent="0.25"/>
    <row r="115728" customFormat="1" x14ac:dyDescent="0.25"/>
    <row r="115729" customFormat="1" x14ac:dyDescent="0.25"/>
    <row r="115730" customFormat="1" x14ac:dyDescent="0.25"/>
    <row r="115731" customFormat="1" x14ac:dyDescent="0.25"/>
    <row r="115732" customFormat="1" x14ac:dyDescent="0.25"/>
    <row r="115733" customFormat="1" x14ac:dyDescent="0.25"/>
    <row r="115734" customFormat="1" x14ac:dyDescent="0.25"/>
    <row r="115735" customFormat="1" x14ac:dyDescent="0.25"/>
    <row r="115736" customFormat="1" x14ac:dyDescent="0.25"/>
    <row r="115737" customFormat="1" x14ac:dyDescent="0.25"/>
    <row r="115738" customFormat="1" x14ac:dyDescent="0.25"/>
    <row r="115739" customFormat="1" x14ac:dyDescent="0.25"/>
    <row r="115740" customFormat="1" x14ac:dyDescent="0.25"/>
    <row r="115741" customFormat="1" x14ac:dyDescent="0.25"/>
    <row r="115742" customFormat="1" x14ac:dyDescent="0.25"/>
    <row r="115743" customFormat="1" x14ac:dyDescent="0.25"/>
    <row r="115744" customFormat="1" x14ac:dyDescent="0.25"/>
    <row r="115745" customFormat="1" x14ac:dyDescent="0.25"/>
    <row r="115746" customFormat="1" x14ac:dyDescent="0.25"/>
    <row r="115747" customFormat="1" x14ac:dyDescent="0.25"/>
    <row r="115748" customFormat="1" x14ac:dyDescent="0.25"/>
    <row r="115749" customFormat="1" x14ac:dyDescent="0.25"/>
    <row r="115750" customFormat="1" x14ac:dyDescent="0.25"/>
    <row r="115751" customFormat="1" x14ac:dyDescent="0.25"/>
    <row r="115752" customFormat="1" x14ac:dyDescent="0.25"/>
    <row r="115753" customFormat="1" x14ac:dyDescent="0.25"/>
    <row r="115754" customFormat="1" x14ac:dyDescent="0.25"/>
    <row r="115755" customFormat="1" x14ac:dyDescent="0.25"/>
    <row r="115756" customFormat="1" x14ac:dyDescent="0.25"/>
    <row r="115757" customFormat="1" x14ac:dyDescent="0.25"/>
    <row r="115758" customFormat="1" x14ac:dyDescent="0.25"/>
    <row r="115759" customFormat="1" x14ac:dyDescent="0.25"/>
    <row r="115760" customFormat="1" x14ac:dyDescent="0.25"/>
    <row r="115761" customFormat="1" x14ac:dyDescent="0.25"/>
    <row r="115762" customFormat="1" x14ac:dyDescent="0.25"/>
    <row r="115763" customFormat="1" x14ac:dyDescent="0.25"/>
    <row r="115764" customFormat="1" x14ac:dyDescent="0.25"/>
    <row r="115765" customFormat="1" x14ac:dyDescent="0.25"/>
    <row r="115766" customFormat="1" x14ac:dyDescent="0.25"/>
    <row r="115767" customFormat="1" x14ac:dyDescent="0.25"/>
    <row r="115768" customFormat="1" x14ac:dyDescent="0.25"/>
    <row r="115769" customFormat="1" x14ac:dyDescent="0.25"/>
    <row r="115770" customFormat="1" x14ac:dyDescent="0.25"/>
    <row r="115771" customFormat="1" x14ac:dyDescent="0.25"/>
    <row r="115772" customFormat="1" x14ac:dyDescent="0.25"/>
    <row r="115773" customFormat="1" x14ac:dyDescent="0.25"/>
    <row r="115774" customFormat="1" x14ac:dyDescent="0.25"/>
    <row r="115775" customFormat="1" x14ac:dyDescent="0.25"/>
    <row r="115776" customFormat="1" x14ac:dyDescent="0.25"/>
    <row r="115777" customFormat="1" x14ac:dyDescent="0.25"/>
    <row r="115778" customFormat="1" x14ac:dyDescent="0.25"/>
    <row r="115779" customFormat="1" x14ac:dyDescent="0.25"/>
    <row r="115780" customFormat="1" x14ac:dyDescent="0.25"/>
    <row r="115781" customFormat="1" x14ac:dyDescent="0.25"/>
    <row r="115782" customFormat="1" x14ac:dyDescent="0.25"/>
    <row r="115783" customFormat="1" x14ac:dyDescent="0.25"/>
    <row r="115784" customFormat="1" x14ac:dyDescent="0.25"/>
    <row r="115785" customFormat="1" x14ac:dyDescent="0.25"/>
    <row r="115786" customFormat="1" x14ac:dyDescent="0.25"/>
    <row r="115787" customFormat="1" x14ac:dyDescent="0.25"/>
    <row r="115788" customFormat="1" x14ac:dyDescent="0.25"/>
    <row r="115789" customFormat="1" x14ac:dyDescent="0.25"/>
    <row r="115790" customFormat="1" x14ac:dyDescent="0.25"/>
    <row r="115791" customFormat="1" x14ac:dyDescent="0.25"/>
    <row r="115792" customFormat="1" x14ac:dyDescent="0.25"/>
    <row r="115793" customFormat="1" x14ac:dyDescent="0.25"/>
    <row r="115794" customFormat="1" x14ac:dyDescent="0.25"/>
    <row r="115795" customFormat="1" x14ac:dyDescent="0.25"/>
    <row r="115796" customFormat="1" x14ac:dyDescent="0.25"/>
    <row r="115797" customFormat="1" x14ac:dyDescent="0.25"/>
    <row r="115798" customFormat="1" x14ac:dyDescent="0.25"/>
    <row r="115799" customFormat="1" x14ac:dyDescent="0.25"/>
    <row r="115800" customFormat="1" x14ac:dyDescent="0.25"/>
    <row r="115801" customFormat="1" x14ac:dyDescent="0.25"/>
    <row r="115802" customFormat="1" x14ac:dyDescent="0.25"/>
    <row r="115803" customFormat="1" x14ac:dyDescent="0.25"/>
    <row r="115804" customFormat="1" x14ac:dyDescent="0.25"/>
    <row r="115805" customFormat="1" x14ac:dyDescent="0.25"/>
    <row r="115806" customFormat="1" x14ac:dyDescent="0.25"/>
    <row r="115807" customFormat="1" x14ac:dyDescent="0.25"/>
    <row r="115808" customFormat="1" x14ac:dyDescent="0.25"/>
    <row r="115809" customFormat="1" x14ac:dyDescent="0.25"/>
    <row r="115810" customFormat="1" x14ac:dyDescent="0.25"/>
    <row r="115811" customFormat="1" x14ac:dyDescent="0.25"/>
    <row r="115812" customFormat="1" x14ac:dyDescent="0.25"/>
    <row r="115813" customFormat="1" x14ac:dyDescent="0.25"/>
    <row r="115814" customFormat="1" x14ac:dyDescent="0.25"/>
    <row r="115815" customFormat="1" x14ac:dyDescent="0.25"/>
    <row r="115816" customFormat="1" x14ac:dyDescent="0.25"/>
    <row r="115817" customFormat="1" x14ac:dyDescent="0.25"/>
    <row r="115818" customFormat="1" x14ac:dyDescent="0.25"/>
    <row r="115819" customFormat="1" x14ac:dyDescent="0.25"/>
    <row r="115820" customFormat="1" x14ac:dyDescent="0.25"/>
    <row r="115821" customFormat="1" x14ac:dyDescent="0.25"/>
    <row r="115822" customFormat="1" x14ac:dyDescent="0.25"/>
    <row r="115823" customFormat="1" x14ac:dyDescent="0.25"/>
    <row r="115824" customFormat="1" x14ac:dyDescent="0.25"/>
    <row r="115825" customFormat="1" x14ac:dyDescent="0.25"/>
    <row r="115826" customFormat="1" x14ac:dyDescent="0.25"/>
    <row r="115827" customFormat="1" x14ac:dyDescent="0.25"/>
    <row r="115828" customFormat="1" x14ac:dyDescent="0.25"/>
    <row r="115829" customFormat="1" x14ac:dyDescent="0.25"/>
    <row r="115830" customFormat="1" x14ac:dyDescent="0.25"/>
    <row r="115831" customFormat="1" x14ac:dyDescent="0.25"/>
    <row r="115832" customFormat="1" x14ac:dyDescent="0.25"/>
    <row r="115833" customFormat="1" x14ac:dyDescent="0.25"/>
    <row r="115834" customFormat="1" x14ac:dyDescent="0.25"/>
    <row r="115835" customFormat="1" x14ac:dyDescent="0.25"/>
    <row r="115836" customFormat="1" x14ac:dyDescent="0.25"/>
    <row r="115837" customFormat="1" x14ac:dyDescent="0.25"/>
    <row r="115838" customFormat="1" x14ac:dyDescent="0.25"/>
    <row r="115839" customFormat="1" x14ac:dyDescent="0.25"/>
    <row r="115840" customFormat="1" x14ac:dyDescent="0.25"/>
    <row r="115841" customFormat="1" x14ac:dyDescent="0.25"/>
    <row r="115842" customFormat="1" x14ac:dyDescent="0.25"/>
    <row r="115843" customFormat="1" x14ac:dyDescent="0.25"/>
    <row r="115844" customFormat="1" x14ac:dyDescent="0.25"/>
    <row r="115845" customFormat="1" x14ac:dyDescent="0.25"/>
    <row r="115846" customFormat="1" x14ac:dyDescent="0.25"/>
    <row r="115847" customFormat="1" x14ac:dyDescent="0.25"/>
    <row r="115848" customFormat="1" x14ac:dyDescent="0.25"/>
    <row r="115849" customFormat="1" x14ac:dyDescent="0.25"/>
    <row r="115850" customFormat="1" x14ac:dyDescent="0.25"/>
    <row r="115851" customFormat="1" x14ac:dyDescent="0.25"/>
    <row r="115852" customFormat="1" x14ac:dyDescent="0.25"/>
    <row r="115853" customFormat="1" x14ac:dyDescent="0.25"/>
    <row r="115854" customFormat="1" x14ac:dyDescent="0.25"/>
    <row r="115855" customFormat="1" x14ac:dyDescent="0.25"/>
    <row r="115856" customFormat="1" x14ac:dyDescent="0.25"/>
    <row r="115857" customFormat="1" x14ac:dyDescent="0.25"/>
    <row r="115858" customFormat="1" x14ac:dyDescent="0.25"/>
    <row r="115859" customFormat="1" x14ac:dyDescent="0.25"/>
    <row r="115860" customFormat="1" x14ac:dyDescent="0.25"/>
    <row r="115861" customFormat="1" x14ac:dyDescent="0.25"/>
    <row r="115862" customFormat="1" x14ac:dyDescent="0.25"/>
    <row r="115863" customFormat="1" x14ac:dyDescent="0.25"/>
    <row r="115864" customFormat="1" x14ac:dyDescent="0.25"/>
    <row r="115865" customFormat="1" x14ac:dyDescent="0.25"/>
    <row r="115866" customFormat="1" x14ac:dyDescent="0.25"/>
    <row r="115867" customFormat="1" x14ac:dyDescent="0.25"/>
    <row r="115868" customFormat="1" x14ac:dyDescent="0.25"/>
    <row r="115869" customFormat="1" x14ac:dyDescent="0.25"/>
    <row r="115870" customFormat="1" x14ac:dyDescent="0.25"/>
    <row r="115871" customFormat="1" x14ac:dyDescent="0.25"/>
    <row r="115872" customFormat="1" x14ac:dyDescent="0.25"/>
    <row r="115873" customFormat="1" x14ac:dyDescent="0.25"/>
    <row r="115874" customFormat="1" x14ac:dyDescent="0.25"/>
    <row r="115875" customFormat="1" x14ac:dyDescent="0.25"/>
    <row r="115876" customFormat="1" x14ac:dyDescent="0.25"/>
    <row r="115877" customFormat="1" x14ac:dyDescent="0.25"/>
    <row r="115878" customFormat="1" x14ac:dyDescent="0.25"/>
    <row r="115879" customFormat="1" x14ac:dyDescent="0.25"/>
    <row r="115880" customFormat="1" x14ac:dyDescent="0.25"/>
    <row r="115881" customFormat="1" x14ac:dyDescent="0.25"/>
    <row r="115882" customFormat="1" x14ac:dyDescent="0.25"/>
    <row r="115883" customFormat="1" x14ac:dyDescent="0.25"/>
    <row r="115884" customFormat="1" x14ac:dyDescent="0.25"/>
    <row r="115885" customFormat="1" x14ac:dyDescent="0.25"/>
    <row r="115886" customFormat="1" x14ac:dyDescent="0.25"/>
    <row r="115887" customFormat="1" x14ac:dyDescent="0.25"/>
    <row r="115888" customFormat="1" x14ac:dyDescent="0.25"/>
    <row r="115889" customFormat="1" x14ac:dyDescent="0.25"/>
    <row r="115890" customFormat="1" x14ac:dyDescent="0.25"/>
    <row r="115891" customFormat="1" x14ac:dyDescent="0.25"/>
    <row r="115892" customFormat="1" x14ac:dyDescent="0.25"/>
    <row r="115893" customFormat="1" x14ac:dyDescent="0.25"/>
    <row r="115894" customFormat="1" x14ac:dyDescent="0.25"/>
    <row r="115895" customFormat="1" x14ac:dyDescent="0.25"/>
    <row r="115896" customFormat="1" x14ac:dyDescent="0.25"/>
    <row r="115897" customFormat="1" x14ac:dyDescent="0.25"/>
    <row r="115898" customFormat="1" x14ac:dyDescent="0.25"/>
    <row r="115899" customFormat="1" x14ac:dyDescent="0.25"/>
    <row r="115900" customFormat="1" x14ac:dyDescent="0.25"/>
    <row r="115901" customFormat="1" x14ac:dyDescent="0.25"/>
    <row r="115902" customFormat="1" x14ac:dyDescent="0.25"/>
    <row r="115903" customFormat="1" x14ac:dyDescent="0.25"/>
    <row r="115904" customFormat="1" x14ac:dyDescent="0.25"/>
    <row r="115905" customFormat="1" x14ac:dyDescent="0.25"/>
    <row r="115906" customFormat="1" x14ac:dyDescent="0.25"/>
    <row r="115907" customFormat="1" x14ac:dyDescent="0.25"/>
    <row r="115908" customFormat="1" x14ac:dyDescent="0.25"/>
    <row r="115909" customFormat="1" x14ac:dyDescent="0.25"/>
    <row r="115910" customFormat="1" x14ac:dyDescent="0.25"/>
    <row r="115911" customFormat="1" x14ac:dyDescent="0.25"/>
    <row r="115912" customFormat="1" x14ac:dyDescent="0.25"/>
    <row r="115913" customFormat="1" x14ac:dyDescent="0.25"/>
    <row r="115914" customFormat="1" x14ac:dyDescent="0.25"/>
    <row r="115915" customFormat="1" x14ac:dyDescent="0.25"/>
    <row r="115916" customFormat="1" x14ac:dyDescent="0.25"/>
    <row r="115917" customFormat="1" x14ac:dyDescent="0.25"/>
    <row r="115918" customFormat="1" x14ac:dyDescent="0.25"/>
    <row r="115919" customFormat="1" x14ac:dyDescent="0.25"/>
    <row r="115920" customFormat="1" x14ac:dyDescent="0.25"/>
    <row r="115921" customFormat="1" x14ac:dyDescent="0.25"/>
    <row r="115922" customFormat="1" x14ac:dyDescent="0.25"/>
    <row r="115923" customFormat="1" x14ac:dyDescent="0.25"/>
    <row r="115924" customFormat="1" x14ac:dyDescent="0.25"/>
    <row r="115925" customFormat="1" x14ac:dyDescent="0.25"/>
    <row r="115926" customFormat="1" x14ac:dyDescent="0.25"/>
    <row r="115927" customFormat="1" x14ac:dyDescent="0.25"/>
    <row r="115928" customFormat="1" x14ac:dyDescent="0.25"/>
    <row r="115929" customFormat="1" x14ac:dyDescent="0.25"/>
    <row r="115930" customFormat="1" x14ac:dyDescent="0.25"/>
    <row r="115931" customFormat="1" x14ac:dyDescent="0.25"/>
    <row r="115932" customFormat="1" x14ac:dyDescent="0.25"/>
    <row r="115933" customFormat="1" x14ac:dyDescent="0.25"/>
    <row r="115934" customFormat="1" x14ac:dyDescent="0.25"/>
    <row r="115935" customFormat="1" x14ac:dyDescent="0.25"/>
    <row r="115936" customFormat="1" x14ac:dyDescent="0.25"/>
    <row r="115937" customFormat="1" x14ac:dyDescent="0.25"/>
    <row r="115938" customFormat="1" x14ac:dyDescent="0.25"/>
    <row r="115939" customFormat="1" x14ac:dyDescent="0.25"/>
    <row r="115940" customFormat="1" x14ac:dyDescent="0.25"/>
    <row r="115941" customFormat="1" x14ac:dyDescent="0.25"/>
    <row r="115942" customFormat="1" x14ac:dyDescent="0.25"/>
    <row r="115943" customFormat="1" x14ac:dyDescent="0.25"/>
    <row r="115944" customFormat="1" x14ac:dyDescent="0.25"/>
    <row r="115945" customFormat="1" x14ac:dyDescent="0.25"/>
    <row r="115946" customFormat="1" x14ac:dyDescent="0.25"/>
    <row r="115947" customFormat="1" x14ac:dyDescent="0.25"/>
    <row r="115948" customFormat="1" x14ac:dyDescent="0.25"/>
    <row r="115949" customFormat="1" x14ac:dyDescent="0.25"/>
    <row r="115950" customFormat="1" x14ac:dyDescent="0.25"/>
    <row r="115951" customFormat="1" x14ac:dyDescent="0.25"/>
    <row r="115952" customFormat="1" x14ac:dyDescent="0.25"/>
    <row r="115953" customFormat="1" x14ac:dyDescent="0.25"/>
    <row r="115954" customFormat="1" x14ac:dyDescent="0.25"/>
    <row r="115955" customFormat="1" x14ac:dyDescent="0.25"/>
    <row r="115956" customFormat="1" x14ac:dyDescent="0.25"/>
    <row r="115957" customFormat="1" x14ac:dyDescent="0.25"/>
    <row r="115958" customFormat="1" x14ac:dyDescent="0.25"/>
    <row r="115959" customFormat="1" x14ac:dyDescent="0.25"/>
    <row r="115960" customFormat="1" x14ac:dyDescent="0.25"/>
    <row r="115961" customFormat="1" x14ac:dyDescent="0.25"/>
    <row r="115962" customFormat="1" x14ac:dyDescent="0.25"/>
    <row r="115963" customFormat="1" x14ac:dyDescent="0.25"/>
    <row r="115964" customFormat="1" x14ac:dyDescent="0.25"/>
    <row r="115965" customFormat="1" x14ac:dyDescent="0.25"/>
    <row r="115966" customFormat="1" x14ac:dyDescent="0.25"/>
    <row r="115967" customFormat="1" x14ac:dyDescent="0.25"/>
    <row r="115968" customFormat="1" x14ac:dyDescent="0.25"/>
    <row r="115969" customFormat="1" x14ac:dyDescent="0.25"/>
    <row r="115970" customFormat="1" x14ac:dyDescent="0.25"/>
    <row r="115971" customFormat="1" x14ac:dyDescent="0.25"/>
    <row r="115972" customFormat="1" x14ac:dyDescent="0.25"/>
    <row r="115973" customFormat="1" x14ac:dyDescent="0.25"/>
    <row r="115974" customFormat="1" x14ac:dyDescent="0.25"/>
    <row r="115975" customFormat="1" x14ac:dyDescent="0.25"/>
    <row r="115976" customFormat="1" x14ac:dyDescent="0.25"/>
    <row r="115977" customFormat="1" x14ac:dyDescent="0.25"/>
    <row r="115978" customFormat="1" x14ac:dyDescent="0.25"/>
    <row r="115979" customFormat="1" x14ac:dyDescent="0.25"/>
    <row r="115980" customFormat="1" x14ac:dyDescent="0.25"/>
    <row r="115981" customFormat="1" x14ac:dyDescent="0.25"/>
    <row r="115982" customFormat="1" x14ac:dyDescent="0.25"/>
    <row r="115983" customFormat="1" x14ac:dyDescent="0.25"/>
    <row r="115984" customFormat="1" x14ac:dyDescent="0.25"/>
    <row r="115985" customFormat="1" x14ac:dyDescent="0.25"/>
    <row r="115986" customFormat="1" x14ac:dyDescent="0.25"/>
    <row r="115987" customFormat="1" x14ac:dyDescent="0.25"/>
    <row r="115988" customFormat="1" x14ac:dyDescent="0.25"/>
    <row r="115989" customFormat="1" x14ac:dyDescent="0.25"/>
    <row r="115990" customFormat="1" x14ac:dyDescent="0.25"/>
    <row r="115991" customFormat="1" x14ac:dyDescent="0.25"/>
    <row r="115992" customFormat="1" x14ac:dyDescent="0.25"/>
    <row r="115993" customFormat="1" x14ac:dyDescent="0.25"/>
    <row r="115994" customFormat="1" x14ac:dyDescent="0.25"/>
    <row r="115995" customFormat="1" x14ac:dyDescent="0.25"/>
    <row r="115996" customFormat="1" x14ac:dyDescent="0.25"/>
    <row r="115997" customFormat="1" x14ac:dyDescent="0.25"/>
    <row r="115998" customFormat="1" x14ac:dyDescent="0.25"/>
    <row r="115999" customFormat="1" x14ac:dyDescent="0.25"/>
    <row r="116000" customFormat="1" x14ac:dyDescent="0.25"/>
    <row r="116001" customFormat="1" x14ac:dyDescent="0.25"/>
    <row r="116002" customFormat="1" x14ac:dyDescent="0.25"/>
    <row r="116003" customFormat="1" x14ac:dyDescent="0.25"/>
    <row r="116004" customFormat="1" x14ac:dyDescent="0.25"/>
    <row r="116005" customFormat="1" x14ac:dyDescent="0.25"/>
    <row r="116006" customFormat="1" x14ac:dyDescent="0.25"/>
    <row r="116007" customFormat="1" x14ac:dyDescent="0.25"/>
    <row r="116008" customFormat="1" x14ac:dyDescent="0.25"/>
    <row r="116009" customFormat="1" x14ac:dyDescent="0.25"/>
    <row r="116010" customFormat="1" x14ac:dyDescent="0.25"/>
    <row r="116011" customFormat="1" x14ac:dyDescent="0.25"/>
    <row r="116012" customFormat="1" x14ac:dyDescent="0.25"/>
    <row r="116013" customFormat="1" x14ac:dyDescent="0.25"/>
    <row r="116014" customFormat="1" x14ac:dyDescent="0.25"/>
    <row r="116015" customFormat="1" x14ac:dyDescent="0.25"/>
    <row r="116016" customFormat="1" x14ac:dyDescent="0.25"/>
    <row r="116017" customFormat="1" x14ac:dyDescent="0.25"/>
    <row r="116018" customFormat="1" x14ac:dyDescent="0.25"/>
    <row r="116019" customFormat="1" x14ac:dyDescent="0.25"/>
    <row r="116020" customFormat="1" x14ac:dyDescent="0.25"/>
    <row r="116021" customFormat="1" x14ac:dyDescent="0.25"/>
    <row r="116022" customFormat="1" x14ac:dyDescent="0.25"/>
    <row r="116023" customFormat="1" x14ac:dyDescent="0.25"/>
    <row r="116024" customFormat="1" x14ac:dyDescent="0.25"/>
    <row r="116025" customFormat="1" x14ac:dyDescent="0.25"/>
    <row r="116026" customFormat="1" x14ac:dyDescent="0.25"/>
    <row r="116027" customFormat="1" x14ac:dyDescent="0.25"/>
    <row r="116028" customFormat="1" x14ac:dyDescent="0.25"/>
    <row r="116029" customFormat="1" x14ac:dyDescent="0.25"/>
    <row r="116030" customFormat="1" x14ac:dyDescent="0.25"/>
    <row r="116031" customFormat="1" x14ac:dyDescent="0.25"/>
    <row r="116032" customFormat="1" x14ac:dyDescent="0.25"/>
    <row r="116033" customFormat="1" x14ac:dyDescent="0.25"/>
    <row r="116034" customFormat="1" x14ac:dyDescent="0.25"/>
    <row r="116035" customFormat="1" x14ac:dyDescent="0.25"/>
    <row r="116036" customFormat="1" x14ac:dyDescent="0.25"/>
    <row r="116037" customFormat="1" x14ac:dyDescent="0.25"/>
    <row r="116038" customFormat="1" x14ac:dyDescent="0.25"/>
    <row r="116039" customFormat="1" x14ac:dyDescent="0.25"/>
    <row r="116040" customFormat="1" x14ac:dyDescent="0.25"/>
    <row r="116041" customFormat="1" x14ac:dyDescent="0.25"/>
    <row r="116042" customFormat="1" x14ac:dyDescent="0.25"/>
    <row r="116043" customFormat="1" x14ac:dyDescent="0.25"/>
    <row r="116044" customFormat="1" x14ac:dyDescent="0.25"/>
    <row r="116045" customFormat="1" x14ac:dyDescent="0.25"/>
    <row r="116046" customFormat="1" x14ac:dyDescent="0.25"/>
    <row r="116047" customFormat="1" x14ac:dyDescent="0.25"/>
    <row r="116048" customFormat="1" x14ac:dyDescent="0.25"/>
    <row r="116049" customFormat="1" x14ac:dyDescent="0.25"/>
    <row r="116050" customFormat="1" x14ac:dyDescent="0.25"/>
    <row r="116051" customFormat="1" x14ac:dyDescent="0.25"/>
    <row r="116052" customFormat="1" x14ac:dyDescent="0.25"/>
    <row r="116053" customFormat="1" x14ac:dyDescent="0.25"/>
    <row r="116054" customFormat="1" x14ac:dyDescent="0.25"/>
    <row r="116055" customFormat="1" x14ac:dyDescent="0.25"/>
    <row r="116056" customFormat="1" x14ac:dyDescent="0.25"/>
    <row r="116057" customFormat="1" x14ac:dyDescent="0.25"/>
    <row r="116058" customFormat="1" x14ac:dyDescent="0.25"/>
    <row r="116059" customFormat="1" x14ac:dyDescent="0.25"/>
    <row r="116060" customFormat="1" x14ac:dyDescent="0.25"/>
    <row r="116061" customFormat="1" x14ac:dyDescent="0.25"/>
    <row r="116062" customFormat="1" x14ac:dyDescent="0.25"/>
    <row r="116063" customFormat="1" x14ac:dyDescent="0.25"/>
    <row r="116064" customFormat="1" x14ac:dyDescent="0.25"/>
    <row r="116065" customFormat="1" x14ac:dyDescent="0.25"/>
    <row r="116066" customFormat="1" x14ac:dyDescent="0.25"/>
    <row r="116067" customFormat="1" x14ac:dyDescent="0.25"/>
    <row r="116068" customFormat="1" x14ac:dyDescent="0.25"/>
    <row r="116069" customFormat="1" x14ac:dyDescent="0.25"/>
    <row r="116070" customFormat="1" x14ac:dyDescent="0.25"/>
    <row r="116071" customFormat="1" x14ac:dyDescent="0.25"/>
    <row r="116072" customFormat="1" x14ac:dyDescent="0.25"/>
    <row r="116073" customFormat="1" x14ac:dyDescent="0.25"/>
    <row r="116074" customFormat="1" x14ac:dyDescent="0.25"/>
    <row r="116075" customFormat="1" x14ac:dyDescent="0.25"/>
    <row r="116076" customFormat="1" x14ac:dyDescent="0.25"/>
    <row r="116077" customFormat="1" x14ac:dyDescent="0.25"/>
    <row r="116078" customFormat="1" x14ac:dyDescent="0.25"/>
    <row r="116079" customFormat="1" x14ac:dyDescent="0.25"/>
    <row r="116080" customFormat="1" x14ac:dyDescent="0.25"/>
    <row r="116081" customFormat="1" x14ac:dyDescent="0.25"/>
    <row r="116082" customFormat="1" x14ac:dyDescent="0.25"/>
    <row r="116083" customFormat="1" x14ac:dyDescent="0.25"/>
    <row r="116084" customFormat="1" x14ac:dyDescent="0.25"/>
    <row r="116085" customFormat="1" x14ac:dyDescent="0.25"/>
    <row r="116086" customFormat="1" x14ac:dyDescent="0.25"/>
    <row r="116087" customFormat="1" x14ac:dyDescent="0.25"/>
    <row r="116088" customFormat="1" x14ac:dyDescent="0.25"/>
    <row r="116089" customFormat="1" x14ac:dyDescent="0.25"/>
    <row r="116090" customFormat="1" x14ac:dyDescent="0.25"/>
    <row r="116091" customFormat="1" x14ac:dyDescent="0.25"/>
    <row r="116092" customFormat="1" x14ac:dyDescent="0.25"/>
    <row r="116093" customFormat="1" x14ac:dyDescent="0.25"/>
    <row r="116094" customFormat="1" x14ac:dyDescent="0.25"/>
    <row r="116095" customFormat="1" x14ac:dyDescent="0.25"/>
    <row r="116096" customFormat="1" x14ac:dyDescent="0.25"/>
    <row r="116097" customFormat="1" x14ac:dyDescent="0.25"/>
    <row r="116098" customFormat="1" x14ac:dyDescent="0.25"/>
    <row r="116099" customFormat="1" x14ac:dyDescent="0.25"/>
    <row r="116100" customFormat="1" x14ac:dyDescent="0.25"/>
    <row r="116101" customFormat="1" x14ac:dyDescent="0.25"/>
    <row r="116102" customFormat="1" x14ac:dyDescent="0.25"/>
    <row r="116103" customFormat="1" x14ac:dyDescent="0.25"/>
    <row r="116104" customFormat="1" x14ac:dyDescent="0.25"/>
    <row r="116105" customFormat="1" x14ac:dyDescent="0.25"/>
    <row r="116106" customFormat="1" x14ac:dyDescent="0.25"/>
    <row r="116107" customFormat="1" x14ac:dyDescent="0.25"/>
    <row r="116108" customFormat="1" x14ac:dyDescent="0.25"/>
    <row r="116109" customFormat="1" x14ac:dyDescent="0.25"/>
    <row r="116110" customFormat="1" x14ac:dyDescent="0.25"/>
    <row r="116111" customFormat="1" x14ac:dyDescent="0.25"/>
    <row r="116112" customFormat="1" x14ac:dyDescent="0.25"/>
    <row r="116113" customFormat="1" x14ac:dyDescent="0.25"/>
    <row r="116114" customFormat="1" x14ac:dyDescent="0.25"/>
    <row r="116115" customFormat="1" x14ac:dyDescent="0.25"/>
    <row r="116116" customFormat="1" x14ac:dyDescent="0.25"/>
    <row r="116117" customFormat="1" x14ac:dyDescent="0.25"/>
    <row r="116118" customFormat="1" x14ac:dyDescent="0.25"/>
    <row r="116119" customFormat="1" x14ac:dyDescent="0.25"/>
    <row r="116120" customFormat="1" x14ac:dyDescent="0.25"/>
    <row r="116121" customFormat="1" x14ac:dyDescent="0.25"/>
    <row r="116122" customFormat="1" x14ac:dyDescent="0.25"/>
    <row r="116123" customFormat="1" x14ac:dyDescent="0.25"/>
    <row r="116124" customFormat="1" x14ac:dyDescent="0.25"/>
    <row r="116125" customFormat="1" x14ac:dyDescent="0.25"/>
    <row r="116126" customFormat="1" x14ac:dyDescent="0.25"/>
    <row r="116127" customFormat="1" x14ac:dyDescent="0.25"/>
    <row r="116128" customFormat="1" x14ac:dyDescent="0.25"/>
    <row r="116129" customFormat="1" x14ac:dyDescent="0.25"/>
    <row r="116130" customFormat="1" x14ac:dyDescent="0.25"/>
    <row r="116131" customFormat="1" x14ac:dyDescent="0.25"/>
    <row r="116132" customFormat="1" x14ac:dyDescent="0.25"/>
    <row r="116133" customFormat="1" x14ac:dyDescent="0.25"/>
    <row r="116134" customFormat="1" x14ac:dyDescent="0.25"/>
    <row r="116135" customFormat="1" x14ac:dyDescent="0.25"/>
    <row r="116136" customFormat="1" x14ac:dyDescent="0.25"/>
    <row r="116137" customFormat="1" x14ac:dyDescent="0.25"/>
    <row r="116138" customFormat="1" x14ac:dyDescent="0.25"/>
    <row r="116139" customFormat="1" x14ac:dyDescent="0.25"/>
    <row r="116140" customFormat="1" x14ac:dyDescent="0.25"/>
    <row r="116141" customFormat="1" x14ac:dyDescent="0.25"/>
    <row r="116142" customFormat="1" x14ac:dyDescent="0.25"/>
    <row r="116143" customFormat="1" x14ac:dyDescent="0.25"/>
    <row r="116144" customFormat="1" x14ac:dyDescent="0.25"/>
    <row r="116145" customFormat="1" x14ac:dyDescent="0.25"/>
    <row r="116146" customFormat="1" x14ac:dyDescent="0.25"/>
    <row r="116147" customFormat="1" x14ac:dyDescent="0.25"/>
    <row r="116148" customFormat="1" x14ac:dyDescent="0.25"/>
    <row r="116149" customFormat="1" x14ac:dyDescent="0.25"/>
    <row r="116150" customFormat="1" x14ac:dyDescent="0.25"/>
    <row r="116151" customFormat="1" x14ac:dyDescent="0.25"/>
    <row r="116152" customFormat="1" x14ac:dyDescent="0.25"/>
    <row r="116153" customFormat="1" x14ac:dyDescent="0.25"/>
    <row r="116154" customFormat="1" x14ac:dyDescent="0.25"/>
    <row r="116155" customFormat="1" x14ac:dyDescent="0.25"/>
    <row r="116156" customFormat="1" x14ac:dyDescent="0.25"/>
    <row r="116157" customFormat="1" x14ac:dyDescent="0.25"/>
    <row r="116158" customFormat="1" x14ac:dyDescent="0.25"/>
    <row r="116159" customFormat="1" x14ac:dyDescent="0.25"/>
    <row r="116160" customFormat="1" x14ac:dyDescent="0.25"/>
    <row r="116161" customFormat="1" x14ac:dyDescent="0.25"/>
    <row r="116162" customFormat="1" x14ac:dyDescent="0.25"/>
    <row r="116163" customFormat="1" x14ac:dyDescent="0.25"/>
    <row r="116164" customFormat="1" x14ac:dyDescent="0.25"/>
    <row r="116165" customFormat="1" x14ac:dyDescent="0.25"/>
    <row r="116166" customFormat="1" x14ac:dyDescent="0.25"/>
    <row r="116167" customFormat="1" x14ac:dyDescent="0.25"/>
    <row r="116168" customFormat="1" x14ac:dyDescent="0.25"/>
    <row r="116169" customFormat="1" x14ac:dyDescent="0.25"/>
    <row r="116170" customFormat="1" x14ac:dyDescent="0.25"/>
    <row r="116171" customFormat="1" x14ac:dyDescent="0.25"/>
    <row r="116172" customFormat="1" x14ac:dyDescent="0.25"/>
    <row r="116173" customFormat="1" x14ac:dyDescent="0.25"/>
    <row r="116174" customFormat="1" x14ac:dyDescent="0.25"/>
    <row r="116175" customFormat="1" x14ac:dyDescent="0.25"/>
    <row r="116176" customFormat="1" x14ac:dyDescent="0.25"/>
    <row r="116177" customFormat="1" x14ac:dyDescent="0.25"/>
    <row r="116178" customFormat="1" x14ac:dyDescent="0.25"/>
    <row r="116179" customFormat="1" x14ac:dyDescent="0.25"/>
    <row r="116180" customFormat="1" x14ac:dyDescent="0.25"/>
    <row r="116181" customFormat="1" x14ac:dyDescent="0.25"/>
    <row r="116182" customFormat="1" x14ac:dyDescent="0.25"/>
    <row r="116183" customFormat="1" x14ac:dyDescent="0.25"/>
    <row r="116184" customFormat="1" x14ac:dyDescent="0.25"/>
    <row r="116185" customFormat="1" x14ac:dyDescent="0.25"/>
    <row r="116186" customFormat="1" x14ac:dyDescent="0.25"/>
    <row r="116187" customFormat="1" x14ac:dyDescent="0.25"/>
    <row r="116188" customFormat="1" x14ac:dyDescent="0.25"/>
    <row r="116189" customFormat="1" x14ac:dyDescent="0.25"/>
    <row r="116190" customFormat="1" x14ac:dyDescent="0.25"/>
    <row r="116191" customFormat="1" x14ac:dyDescent="0.25"/>
    <row r="116192" customFormat="1" x14ac:dyDescent="0.25"/>
    <row r="116193" customFormat="1" x14ac:dyDescent="0.25"/>
    <row r="116194" customFormat="1" x14ac:dyDescent="0.25"/>
    <row r="116195" customFormat="1" x14ac:dyDescent="0.25"/>
    <row r="116196" customFormat="1" x14ac:dyDescent="0.25"/>
    <row r="116197" customFormat="1" x14ac:dyDescent="0.25"/>
    <row r="116198" customFormat="1" x14ac:dyDescent="0.25"/>
    <row r="116199" customFormat="1" x14ac:dyDescent="0.25"/>
    <row r="116200" customFormat="1" x14ac:dyDescent="0.25"/>
    <row r="116201" customFormat="1" x14ac:dyDescent="0.25"/>
    <row r="116202" customFormat="1" x14ac:dyDescent="0.25"/>
    <row r="116203" customFormat="1" x14ac:dyDescent="0.25"/>
    <row r="116204" customFormat="1" x14ac:dyDescent="0.25"/>
    <row r="116205" customFormat="1" x14ac:dyDescent="0.25"/>
    <row r="116206" customFormat="1" x14ac:dyDescent="0.25"/>
    <row r="116207" customFormat="1" x14ac:dyDescent="0.25"/>
    <row r="116208" customFormat="1" x14ac:dyDescent="0.25"/>
    <row r="116209" customFormat="1" x14ac:dyDescent="0.25"/>
    <row r="116210" customFormat="1" x14ac:dyDescent="0.25"/>
    <row r="116211" customFormat="1" x14ac:dyDescent="0.25"/>
    <row r="116212" customFormat="1" x14ac:dyDescent="0.25"/>
    <row r="116213" customFormat="1" x14ac:dyDescent="0.25"/>
    <row r="116214" customFormat="1" x14ac:dyDescent="0.25"/>
    <row r="116215" customFormat="1" x14ac:dyDescent="0.25"/>
    <row r="116216" customFormat="1" x14ac:dyDescent="0.25"/>
    <row r="116217" customFormat="1" x14ac:dyDescent="0.25"/>
    <row r="116218" customFormat="1" x14ac:dyDescent="0.25"/>
    <row r="116219" customFormat="1" x14ac:dyDescent="0.25"/>
    <row r="116220" customFormat="1" x14ac:dyDescent="0.25"/>
    <row r="116221" customFormat="1" x14ac:dyDescent="0.25"/>
    <row r="116222" customFormat="1" x14ac:dyDescent="0.25"/>
    <row r="116223" customFormat="1" x14ac:dyDescent="0.25"/>
    <row r="116224" customFormat="1" x14ac:dyDescent="0.25"/>
    <row r="116225" customFormat="1" x14ac:dyDescent="0.25"/>
    <row r="116226" customFormat="1" x14ac:dyDescent="0.25"/>
    <row r="116227" customFormat="1" x14ac:dyDescent="0.25"/>
    <row r="116228" customFormat="1" x14ac:dyDescent="0.25"/>
    <row r="116229" customFormat="1" x14ac:dyDescent="0.25"/>
    <row r="116230" customFormat="1" x14ac:dyDescent="0.25"/>
    <row r="116231" customFormat="1" x14ac:dyDescent="0.25"/>
    <row r="116232" customFormat="1" x14ac:dyDescent="0.25"/>
    <row r="116233" customFormat="1" x14ac:dyDescent="0.25"/>
    <row r="116234" customFormat="1" x14ac:dyDescent="0.25"/>
    <row r="116235" customFormat="1" x14ac:dyDescent="0.25"/>
    <row r="116236" customFormat="1" x14ac:dyDescent="0.25"/>
    <row r="116237" customFormat="1" x14ac:dyDescent="0.25"/>
    <row r="116238" customFormat="1" x14ac:dyDescent="0.25"/>
    <row r="116239" customFormat="1" x14ac:dyDescent="0.25"/>
    <row r="116240" customFormat="1" x14ac:dyDescent="0.25"/>
    <row r="116241" customFormat="1" x14ac:dyDescent="0.25"/>
    <row r="116242" customFormat="1" x14ac:dyDescent="0.25"/>
    <row r="116243" customFormat="1" x14ac:dyDescent="0.25"/>
    <row r="116244" customFormat="1" x14ac:dyDescent="0.25"/>
    <row r="116245" customFormat="1" x14ac:dyDescent="0.25"/>
    <row r="116246" customFormat="1" x14ac:dyDescent="0.25"/>
    <row r="116247" customFormat="1" x14ac:dyDescent="0.25"/>
    <row r="116248" customFormat="1" x14ac:dyDescent="0.25"/>
    <row r="116249" customFormat="1" x14ac:dyDescent="0.25"/>
    <row r="116250" customFormat="1" x14ac:dyDescent="0.25"/>
    <row r="116251" customFormat="1" x14ac:dyDescent="0.25"/>
    <row r="116252" customFormat="1" x14ac:dyDescent="0.25"/>
    <row r="116253" customFormat="1" x14ac:dyDescent="0.25"/>
    <row r="116254" customFormat="1" x14ac:dyDescent="0.25"/>
    <row r="116255" customFormat="1" x14ac:dyDescent="0.25"/>
    <row r="116256" customFormat="1" x14ac:dyDescent="0.25"/>
    <row r="116257" customFormat="1" x14ac:dyDescent="0.25"/>
    <row r="116258" customFormat="1" x14ac:dyDescent="0.25"/>
    <row r="116259" customFormat="1" x14ac:dyDescent="0.25"/>
    <row r="116260" customFormat="1" x14ac:dyDescent="0.25"/>
    <row r="116261" customFormat="1" x14ac:dyDescent="0.25"/>
    <row r="116262" customFormat="1" x14ac:dyDescent="0.25"/>
    <row r="116263" customFormat="1" x14ac:dyDescent="0.25"/>
    <row r="116264" customFormat="1" x14ac:dyDescent="0.25"/>
    <row r="116265" customFormat="1" x14ac:dyDescent="0.25"/>
    <row r="116266" customFormat="1" x14ac:dyDescent="0.25"/>
    <row r="116267" customFormat="1" x14ac:dyDescent="0.25"/>
    <row r="116268" customFormat="1" x14ac:dyDescent="0.25"/>
    <row r="116269" customFormat="1" x14ac:dyDescent="0.25"/>
    <row r="116270" customFormat="1" x14ac:dyDescent="0.25"/>
    <row r="116271" customFormat="1" x14ac:dyDescent="0.25"/>
    <row r="116272" customFormat="1" x14ac:dyDescent="0.25"/>
    <row r="116273" customFormat="1" x14ac:dyDescent="0.25"/>
    <row r="116274" customFormat="1" x14ac:dyDescent="0.25"/>
    <row r="116275" customFormat="1" x14ac:dyDescent="0.25"/>
    <row r="116276" customFormat="1" x14ac:dyDescent="0.25"/>
    <row r="116277" customFormat="1" x14ac:dyDescent="0.25"/>
    <row r="116278" customFormat="1" x14ac:dyDescent="0.25"/>
    <row r="116279" customFormat="1" x14ac:dyDescent="0.25"/>
    <row r="116280" customFormat="1" x14ac:dyDescent="0.25"/>
    <row r="116281" customFormat="1" x14ac:dyDescent="0.25"/>
    <row r="116282" customFormat="1" x14ac:dyDescent="0.25"/>
    <row r="116283" customFormat="1" x14ac:dyDescent="0.25"/>
    <row r="116284" customFormat="1" x14ac:dyDescent="0.25"/>
    <row r="116285" customFormat="1" x14ac:dyDescent="0.25"/>
    <row r="116286" customFormat="1" x14ac:dyDescent="0.25"/>
    <row r="116287" customFormat="1" x14ac:dyDescent="0.25"/>
    <row r="116288" customFormat="1" x14ac:dyDescent="0.25"/>
    <row r="116289" customFormat="1" x14ac:dyDescent="0.25"/>
    <row r="116290" customFormat="1" x14ac:dyDescent="0.25"/>
    <row r="116291" customFormat="1" x14ac:dyDescent="0.25"/>
    <row r="116292" customFormat="1" x14ac:dyDescent="0.25"/>
    <row r="116293" customFormat="1" x14ac:dyDescent="0.25"/>
    <row r="116294" customFormat="1" x14ac:dyDescent="0.25"/>
    <row r="116295" customFormat="1" x14ac:dyDescent="0.25"/>
    <row r="116296" customFormat="1" x14ac:dyDescent="0.25"/>
    <row r="116297" customFormat="1" x14ac:dyDescent="0.25"/>
    <row r="116298" customFormat="1" x14ac:dyDescent="0.25"/>
    <row r="116299" customFormat="1" x14ac:dyDescent="0.25"/>
    <row r="116300" customFormat="1" x14ac:dyDescent="0.25"/>
    <row r="116301" customFormat="1" x14ac:dyDescent="0.25"/>
    <row r="116302" customFormat="1" x14ac:dyDescent="0.25"/>
    <row r="116303" customFormat="1" x14ac:dyDescent="0.25"/>
    <row r="116304" customFormat="1" x14ac:dyDescent="0.25"/>
    <row r="116305" customFormat="1" x14ac:dyDescent="0.25"/>
    <row r="116306" customFormat="1" x14ac:dyDescent="0.25"/>
    <row r="116307" customFormat="1" x14ac:dyDescent="0.25"/>
    <row r="116308" customFormat="1" x14ac:dyDescent="0.25"/>
    <row r="116309" customFormat="1" x14ac:dyDescent="0.25"/>
    <row r="116310" customFormat="1" x14ac:dyDescent="0.25"/>
    <row r="116311" customFormat="1" x14ac:dyDescent="0.25"/>
    <row r="116312" customFormat="1" x14ac:dyDescent="0.25"/>
    <row r="116313" customFormat="1" x14ac:dyDescent="0.25"/>
    <row r="116314" customFormat="1" x14ac:dyDescent="0.25"/>
    <row r="116315" customFormat="1" x14ac:dyDescent="0.25"/>
    <row r="116316" customFormat="1" x14ac:dyDescent="0.25"/>
    <row r="116317" customFormat="1" x14ac:dyDescent="0.25"/>
    <row r="116318" customFormat="1" x14ac:dyDescent="0.25"/>
    <row r="116319" customFormat="1" x14ac:dyDescent="0.25"/>
    <row r="116320" customFormat="1" x14ac:dyDescent="0.25"/>
    <row r="116321" customFormat="1" x14ac:dyDescent="0.25"/>
    <row r="116322" customFormat="1" x14ac:dyDescent="0.25"/>
    <row r="116323" customFormat="1" x14ac:dyDescent="0.25"/>
    <row r="116324" customFormat="1" x14ac:dyDescent="0.25"/>
    <row r="116325" customFormat="1" x14ac:dyDescent="0.25"/>
    <row r="116326" customFormat="1" x14ac:dyDescent="0.25"/>
    <row r="116327" customFormat="1" x14ac:dyDescent="0.25"/>
    <row r="116328" customFormat="1" x14ac:dyDescent="0.25"/>
    <row r="116329" customFormat="1" x14ac:dyDescent="0.25"/>
    <row r="116330" customFormat="1" x14ac:dyDescent="0.25"/>
    <row r="116331" customFormat="1" x14ac:dyDescent="0.25"/>
    <row r="116332" customFormat="1" x14ac:dyDescent="0.25"/>
    <row r="116333" customFormat="1" x14ac:dyDescent="0.25"/>
    <row r="116334" customFormat="1" x14ac:dyDescent="0.25"/>
    <row r="116335" customFormat="1" x14ac:dyDescent="0.25"/>
    <row r="116336" customFormat="1" x14ac:dyDescent="0.25"/>
    <row r="116337" customFormat="1" x14ac:dyDescent="0.25"/>
    <row r="116338" customFormat="1" x14ac:dyDescent="0.25"/>
    <row r="116339" customFormat="1" x14ac:dyDescent="0.25"/>
    <row r="116340" customFormat="1" x14ac:dyDescent="0.25"/>
    <row r="116341" customFormat="1" x14ac:dyDescent="0.25"/>
    <row r="116342" customFormat="1" x14ac:dyDescent="0.25"/>
    <row r="116343" customFormat="1" x14ac:dyDescent="0.25"/>
    <row r="116344" customFormat="1" x14ac:dyDescent="0.25"/>
    <row r="116345" customFormat="1" x14ac:dyDescent="0.25"/>
    <row r="116346" customFormat="1" x14ac:dyDescent="0.25"/>
    <row r="116347" customFormat="1" x14ac:dyDescent="0.25"/>
    <row r="116348" customFormat="1" x14ac:dyDescent="0.25"/>
    <row r="116349" customFormat="1" x14ac:dyDescent="0.25"/>
    <row r="116350" customFormat="1" x14ac:dyDescent="0.25"/>
    <row r="116351" customFormat="1" x14ac:dyDescent="0.25"/>
    <row r="116352" customFormat="1" x14ac:dyDescent="0.25"/>
    <row r="116353" customFormat="1" x14ac:dyDescent="0.25"/>
    <row r="116354" customFormat="1" x14ac:dyDescent="0.25"/>
    <row r="116355" customFormat="1" x14ac:dyDescent="0.25"/>
    <row r="116356" customFormat="1" x14ac:dyDescent="0.25"/>
    <row r="116357" customFormat="1" x14ac:dyDescent="0.25"/>
    <row r="116358" customFormat="1" x14ac:dyDescent="0.25"/>
    <row r="116359" customFormat="1" x14ac:dyDescent="0.25"/>
    <row r="116360" customFormat="1" x14ac:dyDescent="0.25"/>
    <row r="116361" customFormat="1" x14ac:dyDescent="0.25"/>
    <row r="116362" customFormat="1" x14ac:dyDescent="0.25"/>
    <row r="116363" customFormat="1" x14ac:dyDescent="0.25"/>
    <row r="116364" customFormat="1" x14ac:dyDescent="0.25"/>
    <row r="116365" customFormat="1" x14ac:dyDescent="0.25"/>
    <row r="116366" customFormat="1" x14ac:dyDescent="0.25"/>
    <row r="116367" customFormat="1" x14ac:dyDescent="0.25"/>
    <row r="116368" customFormat="1" x14ac:dyDescent="0.25"/>
    <row r="116369" customFormat="1" x14ac:dyDescent="0.25"/>
    <row r="116370" customFormat="1" x14ac:dyDescent="0.25"/>
    <row r="116371" customFormat="1" x14ac:dyDescent="0.25"/>
    <row r="116372" customFormat="1" x14ac:dyDescent="0.25"/>
    <row r="116373" customFormat="1" x14ac:dyDescent="0.25"/>
    <row r="116374" customFormat="1" x14ac:dyDescent="0.25"/>
    <row r="116375" customFormat="1" x14ac:dyDescent="0.25"/>
    <row r="116376" customFormat="1" x14ac:dyDescent="0.25"/>
    <row r="116377" customFormat="1" x14ac:dyDescent="0.25"/>
    <row r="116378" customFormat="1" x14ac:dyDescent="0.25"/>
    <row r="116379" customFormat="1" x14ac:dyDescent="0.25"/>
    <row r="116380" customFormat="1" x14ac:dyDescent="0.25"/>
    <row r="116381" customFormat="1" x14ac:dyDescent="0.25"/>
    <row r="116382" customFormat="1" x14ac:dyDescent="0.25"/>
    <row r="116383" customFormat="1" x14ac:dyDescent="0.25"/>
    <row r="116384" customFormat="1" x14ac:dyDescent="0.25"/>
    <row r="116385" customFormat="1" x14ac:dyDescent="0.25"/>
    <row r="116386" customFormat="1" x14ac:dyDescent="0.25"/>
    <row r="116387" customFormat="1" x14ac:dyDescent="0.25"/>
    <row r="116388" customFormat="1" x14ac:dyDescent="0.25"/>
    <row r="116389" customFormat="1" x14ac:dyDescent="0.25"/>
    <row r="116390" customFormat="1" x14ac:dyDescent="0.25"/>
    <row r="116391" customFormat="1" x14ac:dyDescent="0.25"/>
    <row r="116392" customFormat="1" x14ac:dyDescent="0.25"/>
    <row r="116393" customFormat="1" x14ac:dyDescent="0.25"/>
    <row r="116394" customFormat="1" x14ac:dyDescent="0.25"/>
    <row r="116395" customFormat="1" x14ac:dyDescent="0.25"/>
    <row r="116396" customFormat="1" x14ac:dyDescent="0.25"/>
    <row r="116397" customFormat="1" x14ac:dyDescent="0.25"/>
    <row r="116398" customFormat="1" x14ac:dyDescent="0.25"/>
    <row r="116399" customFormat="1" x14ac:dyDescent="0.25"/>
    <row r="116400" customFormat="1" x14ac:dyDescent="0.25"/>
    <row r="116401" customFormat="1" x14ac:dyDescent="0.25"/>
    <row r="116402" customFormat="1" x14ac:dyDescent="0.25"/>
    <row r="116403" customFormat="1" x14ac:dyDescent="0.25"/>
    <row r="116404" customFormat="1" x14ac:dyDescent="0.25"/>
    <row r="116405" customFormat="1" x14ac:dyDescent="0.25"/>
    <row r="116406" customFormat="1" x14ac:dyDescent="0.25"/>
    <row r="116407" customFormat="1" x14ac:dyDescent="0.25"/>
    <row r="116408" customFormat="1" x14ac:dyDescent="0.25"/>
    <row r="116409" customFormat="1" x14ac:dyDescent="0.25"/>
    <row r="116410" customFormat="1" x14ac:dyDescent="0.25"/>
    <row r="116411" customFormat="1" x14ac:dyDescent="0.25"/>
    <row r="116412" customFormat="1" x14ac:dyDescent="0.25"/>
    <row r="116413" customFormat="1" x14ac:dyDescent="0.25"/>
    <row r="116414" customFormat="1" x14ac:dyDescent="0.25"/>
    <row r="116415" customFormat="1" x14ac:dyDescent="0.25"/>
    <row r="116416" customFormat="1" x14ac:dyDescent="0.25"/>
    <row r="116417" customFormat="1" x14ac:dyDescent="0.25"/>
    <row r="116418" customFormat="1" x14ac:dyDescent="0.25"/>
    <row r="116419" customFormat="1" x14ac:dyDescent="0.25"/>
    <row r="116420" customFormat="1" x14ac:dyDescent="0.25"/>
    <row r="116421" customFormat="1" x14ac:dyDescent="0.25"/>
    <row r="116422" customFormat="1" x14ac:dyDescent="0.25"/>
    <row r="116423" customFormat="1" x14ac:dyDescent="0.25"/>
    <row r="116424" customFormat="1" x14ac:dyDescent="0.25"/>
    <row r="116425" customFormat="1" x14ac:dyDescent="0.25"/>
    <row r="116426" customFormat="1" x14ac:dyDescent="0.25"/>
    <row r="116427" customFormat="1" x14ac:dyDescent="0.25"/>
    <row r="116428" customFormat="1" x14ac:dyDescent="0.25"/>
    <row r="116429" customFormat="1" x14ac:dyDescent="0.25"/>
    <row r="116430" customFormat="1" x14ac:dyDescent="0.25"/>
    <row r="116431" customFormat="1" x14ac:dyDescent="0.25"/>
    <row r="116432" customFormat="1" x14ac:dyDescent="0.25"/>
    <row r="116433" customFormat="1" x14ac:dyDescent="0.25"/>
    <row r="116434" customFormat="1" x14ac:dyDescent="0.25"/>
    <row r="116435" customFormat="1" x14ac:dyDescent="0.25"/>
    <row r="116436" customFormat="1" x14ac:dyDescent="0.25"/>
    <row r="116437" customFormat="1" x14ac:dyDescent="0.25"/>
    <row r="116438" customFormat="1" x14ac:dyDescent="0.25"/>
    <row r="116439" customFormat="1" x14ac:dyDescent="0.25"/>
    <row r="116440" customFormat="1" x14ac:dyDescent="0.25"/>
    <row r="116441" customFormat="1" x14ac:dyDescent="0.25"/>
    <row r="116442" customFormat="1" x14ac:dyDescent="0.25"/>
    <row r="116443" customFormat="1" x14ac:dyDescent="0.25"/>
    <row r="116444" customFormat="1" x14ac:dyDescent="0.25"/>
    <row r="116445" customFormat="1" x14ac:dyDescent="0.25"/>
    <row r="116446" customFormat="1" x14ac:dyDescent="0.25"/>
    <row r="116447" customFormat="1" x14ac:dyDescent="0.25"/>
    <row r="116448" customFormat="1" x14ac:dyDescent="0.25"/>
    <row r="116449" customFormat="1" x14ac:dyDescent="0.25"/>
    <row r="116450" customFormat="1" x14ac:dyDescent="0.25"/>
    <row r="116451" customFormat="1" x14ac:dyDescent="0.25"/>
    <row r="116452" customFormat="1" x14ac:dyDescent="0.25"/>
    <row r="116453" customFormat="1" x14ac:dyDescent="0.25"/>
    <row r="116454" customFormat="1" x14ac:dyDescent="0.25"/>
    <row r="116455" customFormat="1" x14ac:dyDescent="0.25"/>
    <row r="116456" customFormat="1" x14ac:dyDescent="0.25"/>
    <row r="116457" customFormat="1" x14ac:dyDescent="0.25"/>
    <row r="116458" customFormat="1" x14ac:dyDescent="0.25"/>
    <row r="116459" customFormat="1" x14ac:dyDescent="0.25"/>
    <row r="116460" customFormat="1" x14ac:dyDescent="0.25"/>
    <row r="116461" customFormat="1" x14ac:dyDescent="0.25"/>
    <row r="116462" customFormat="1" x14ac:dyDescent="0.25"/>
    <row r="116463" customFormat="1" x14ac:dyDescent="0.25"/>
    <row r="116464" customFormat="1" x14ac:dyDescent="0.25"/>
    <row r="116465" customFormat="1" x14ac:dyDescent="0.25"/>
    <row r="116466" customFormat="1" x14ac:dyDescent="0.25"/>
    <row r="116467" customFormat="1" x14ac:dyDescent="0.25"/>
    <row r="116468" customFormat="1" x14ac:dyDescent="0.25"/>
    <row r="116469" customFormat="1" x14ac:dyDescent="0.25"/>
    <row r="116470" customFormat="1" x14ac:dyDescent="0.25"/>
    <row r="116471" customFormat="1" x14ac:dyDescent="0.25"/>
    <row r="116472" customFormat="1" x14ac:dyDescent="0.25"/>
    <row r="116473" customFormat="1" x14ac:dyDescent="0.25"/>
    <row r="116474" customFormat="1" x14ac:dyDescent="0.25"/>
    <row r="116475" customFormat="1" x14ac:dyDescent="0.25"/>
    <row r="116476" customFormat="1" x14ac:dyDescent="0.25"/>
    <row r="116477" customFormat="1" x14ac:dyDescent="0.25"/>
    <row r="116478" customFormat="1" x14ac:dyDescent="0.25"/>
    <row r="116479" customFormat="1" x14ac:dyDescent="0.25"/>
    <row r="116480" customFormat="1" x14ac:dyDescent="0.25"/>
    <row r="116481" customFormat="1" x14ac:dyDescent="0.25"/>
    <row r="116482" customFormat="1" x14ac:dyDescent="0.25"/>
    <row r="116483" customFormat="1" x14ac:dyDescent="0.25"/>
    <row r="116484" customFormat="1" x14ac:dyDescent="0.25"/>
    <row r="116485" customFormat="1" x14ac:dyDescent="0.25"/>
    <row r="116486" customFormat="1" x14ac:dyDescent="0.25"/>
    <row r="116487" customFormat="1" x14ac:dyDescent="0.25"/>
    <row r="116488" customFormat="1" x14ac:dyDescent="0.25"/>
    <row r="116489" customFormat="1" x14ac:dyDescent="0.25"/>
    <row r="116490" customFormat="1" x14ac:dyDescent="0.25"/>
    <row r="116491" customFormat="1" x14ac:dyDescent="0.25"/>
    <row r="116492" customFormat="1" x14ac:dyDescent="0.25"/>
    <row r="116493" customFormat="1" x14ac:dyDescent="0.25"/>
    <row r="116494" customFormat="1" x14ac:dyDescent="0.25"/>
    <row r="116495" customFormat="1" x14ac:dyDescent="0.25"/>
    <row r="116496" customFormat="1" x14ac:dyDescent="0.25"/>
    <row r="116497" customFormat="1" x14ac:dyDescent="0.25"/>
    <row r="116498" customFormat="1" x14ac:dyDescent="0.25"/>
    <row r="116499" customFormat="1" x14ac:dyDescent="0.25"/>
    <row r="116500" customFormat="1" x14ac:dyDescent="0.25"/>
    <row r="116501" customFormat="1" x14ac:dyDescent="0.25"/>
    <row r="116502" customFormat="1" x14ac:dyDescent="0.25"/>
    <row r="116503" customFormat="1" x14ac:dyDescent="0.25"/>
    <row r="116504" customFormat="1" x14ac:dyDescent="0.25"/>
    <row r="116505" customFormat="1" x14ac:dyDescent="0.25"/>
    <row r="116506" customFormat="1" x14ac:dyDescent="0.25"/>
    <row r="116507" customFormat="1" x14ac:dyDescent="0.25"/>
    <row r="116508" customFormat="1" x14ac:dyDescent="0.25"/>
    <row r="116509" customFormat="1" x14ac:dyDescent="0.25"/>
    <row r="116510" customFormat="1" x14ac:dyDescent="0.25"/>
    <row r="116511" customFormat="1" x14ac:dyDescent="0.25"/>
    <row r="116512" customFormat="1" x14ac:dyDescent="0.25"/>
    <row r="116513" customFormat="1" x14ac:dyDescent="0.25"/>
    <row r="116514" customFormat="1" x14ac:dyDescent="0.25"/>
    <row r="116515" customFormat="1" x14ac:dyDescent="0.25"/>
    <row r="116516" customFormat="1" x14ac:dyDescent="0.25"/>
    <row r="116517" customFormat="1" x14ac:dyDescent="0.25"/>
    <row r="116518" customFormat="1" x14ac:dyDescent="0.25"/>
    <row r="116519" customFormat="1" x14ac:dyDescent="0.25"/>
    <row r="116520" customFormat="1" x14ac:dyDescent="0.25"/>
    <row r="116521" customFormat="1" x14ac:dyDescent="0.25"/>
    <row r="116522" customFormat="1" x14ac:dyDescent="0.25"/>
    <row r="116523" customFormat="1" x14ac:dyDescent="0.25"/>
    <row r="116524" customFormat="1" x14ac:dyDescent="0.25"/>
    <row r="116525" customFormat="1" x14ac:dyDescent="0.25"/>
    <row r="116526" customFormat="1" x14ac:dyDescent="0.25"/>
    <row r="116527" customFormat="1" x14ac:dyDescent="0.25"/>
    <row r="116528" customFormat="1" x14ac:dyDescent="0.25"/>
    <row r="116529" customFormat="1" x14ac:dyDescent="0.25"/>
    <row r="116530" customFormat="1" x14ac:dyDescent="0.25"/>
    <row r="116531" customFormat="1" x14ac:dyDescent="0.25"/>
    <row r="116532" customFormat="1" x14ac:dyDescent="0.25"/>
    <row r="116533" customFormat="1" x14ac:dyDescent="0.25"/>
    <row r="116534" customFormat="1" x14ac:dyDescent="0.25"/>
    <row r="116535" customFormat="1" x14ac:dyDescent="0.25"/>
    <row r="116536" customFormat="1" x14ac:dyDescent="0.25"/>
    <row r="116537" customFormat="1" x14ac:dyDescent="0.25"/>
    <row r="116538" customFormat="1" x14ac:dyDescent="0.25"/>
    <row r="116539" customFormat="1" x14ac:dyDescent="0.25"/>
    <row r="116540" customFormat="1" x14ac:dyDescent="0.25"/>
    <row r="116541" customFormat="1" x14ac:dyDescent="0.25"/>
    <row r="116542" customFormat="1" x14ac:dyDescent="0.25"/>
    <row r="116543" customFormat="1" x14ac:dyDescent="0.25"/>
    <row r="116544" customFormat="1" x14ac:dyDescent="0.25"/>
    <row r="116545" customFormat="1" x14ac:dyDescent="0.25"/>
    <row r="116546" customFormat="1" x14ac:dyDescent="0.25"/>
    <row r="116547" customFormat="1" x14ac:dyDescent="0.25"/>
    <row r="116548" customFormat="1" x14ac:dyDescent="0.25"/>
    <row r="116549" customFormat="1" x14ac:dyDescent="0.25"/>
    <row r="116550" customFormat="1" x14ac:dyDescent="0.25"/>
    <row r="116551" customFormat="1" x14ac:dyDescent="0.25"/>
    <row r="116552" customFormat="1" x14ac:dyDescent="0.25"/>
    <row r="116553" customFormat="1" x14ac:dyDescent="0.25"/>
    <row r="116554" customFormat="1" x14ac:dyDescent="0.25"/>
    <row r="116555" customFormat="1" x14ac:dyDescent="0.25"/>
    <row r="116556" customFormat="1" x14ac:dyDescent="0.25"/>
    <row r="116557" customFormat="1" x14ac:dyDescent="0.25"/>
    <row r="116558" customFormat="1" x14ac:dyDescent="0.25"/>
    <row r="116559" customFormat="1" x14ac:dyDescent="0.25"/>
    <row r="116560" customFormat="1" x14ac:dyDescent="0.25"/>
    <row r="116561" customFormat="1" x14ac:dyDescent="0.25"/>
    <row r="116562" customFormat="1" x14ac:dyDescent="0.25"/>
    <row r="116563" customFormat="1" x14ac:dyDescent="0.25"/>
    <row r="116564" customFormat="1" x14ac:dyDescent="0.25"/>
    <row r="116565" customFormat="1" x14ac:dyDescent="0.25"/>
    <row r="116566" customFormat="1" x14ac:dyDescent="0.25"/>
    <row r="116567" customFormat="1" x14ac:dyDescent="0.25"/>
    <row r="116568" customFormat="1" x14ac:dyDescent="0.25"/>
    <row r="116569" customFormat="1" x14ac:dyDescent="0.25"/>
    <row r="116570" customFormat="1" x14ac:dyDescent="0.25"/>
    <row r="116571" customFormat="1" x14ac:dyDescent="0.25"/>
    <row r="116572" customFormat="1" x14ac:dyDescent="0.25"/>
    <row r="116573" customFormat="1" x14ac:dyDescent="0.25"/>
    <row r="116574" customFormat="1" x14ac:dyDescent="0.25"/>
    <row r="116575" customFormat="1" x14ac:dyDescent="0.25"/>
    <row r="116576" customFormat="1" x14ac:dyDescent="0.25"/>
    <row r="116577" customFormat="1" x14ac:dyDescent="0.25"/>
    <row r="116578" customFormat="1" x14ac:dyDescent="0.25"/>
    <row r="116579" customFormat="1" x14ac:dyDescent="0.25"/>
    <row r="116580" customFormat="1" x14ac:dyDescent="0.25"/>
    <row r="116581" customFormat="1" x14ac:dyDescent="0.25"/>
    <row r="116582" customFormat="1" x14ac:dyDescent="0.25"/>
    <row r="116583" customFormat="1" x14ac:dyDescent="0.25"/>
    <row r="116584" customFormat="1" x14ac:dyDescent="0.25"/>
    <row r="116585" customFormat="1" x14ac:dyDescent="0.25"/>
    <row r="116586" customFormat="1" x14ac:dyDescent="0.25"/>
    <row r="116587" customFormat="1" x14ac:dyDescent="0.25"/>
    <row r="116588" customFormat="1" x14ac:dyDescent="0.25"/>
    <row r="116589" customFormat="1" x14ac:dyDescent="0.25"/>
    <row r="116590" customFormat="1" x14ac:dyDescent="0.25"/>
    <row r="116591" customFormat="1" x14ac:dyDescent="0.25"/>
    <row r="116592" customFormat="1" x14ac:dyDescent="0.25"/>
    <row r="116593" customFormat="1" x14ac:dyDescent="0.25"/>
    <row r="116594" customFormat="1" x14ac:dyDescent="0.25"/>
    <row r="116595" customFormat="1" x14ac:dyDescent="0.25"/>
    <row r="116596" customFormat="1" x14ac:dyDescent="0.25"/>
    <row r="116597" customFormat="1" x14ac:dyDescent="0.25"/>
    <row r="116598" customFormat="1" x14ac:dyDescent="0.25"/>
    <row r="116599" customFormat="1" x14ac:dyDescent="0.25"/>
    <row r="116600" customFormat="1" x14ac:dyDescent="0.25"/>
    <row r="116601" customFormat="1" x14ac:dyDescent="0.25"/>
    <row r="116602" customFormat="1" x14ac:dyDescent="0.25"/>
    <row r="116603" customFormat="1" x14ac:dyDescent="0.25"/>
    <row r="116604" customFormat="1" x14ac:dyDescent="0.25"/>
    <row r="116605" customFormat="1" x14ac:dyDescent="0.25"/>
    <row r="116606" customFormat="1" x14ac:dyDescent="0.25"/>
    <row r="116607" customFormat="1" x14ac:dyDescent="0.25"/>
    <row r="116608" customFormat="1" x14ac:dyDescent="0.25"/>
    <row r="116609" customFormat="1" x14ac:dyDescent="0.25"/>
    <row r="116610" customFormat="1" x14ac:dyDescent="0.25"/>
    <row r="116611" customFormat="1" x14ac:dyDescent="0.25"/>
    <row r="116612" customFormat="1" x14ac:dyDescent="0.25"/>
    <row r="116613" customFormat="1" x14ac:dyDescent="0.25"/>
    <row r="116614" customFormat="1" x14ac:dyDescent="0.25"/>
    <row r="116615" customFormat="1" x14ac:dyDescent="0.25"/>
    <row r="116616" customFormat="1" x14ac:dyDescent="0.25"/>
    <row r="116617" customFormat="1" x14ac:dyDescent="0.25"/>
    <row r="116618" customFormat="1" x14ac:dyDescent="0.25"/>
    <row r="116619" customFormat="1" x14ac:dyDescent="0.25"/>
    <row r="116620" customFormat="1" x14ac:dyDescent="0.25"/>
    <row r="116621" customFormat="1" x14ac:dyDescent="0.25"/>
    <row r="116622" customFormat="1" x14ac:dyDescent="0.25"/>
    <row r="116623" customFormat="1" x14ac:dyDescent="0.25"/>
    <row r="116624" customFormat="1" x14ac:dyDescent="0.25"/>
    <row r="116625" customFormat="1" x14ac:dyDescent="0.25"/>
    <row r="116626" customFormat="1" x14ac:dyDescent="0.25"/>
    <row r="116627" customFormat="1" x14ac:dyDescent="0.25"/>
    <row r="116628" customFormat="1" x14ac:dyDescent="0.25"/>
    <row r="116629" customFormat="1" x14ac:dyDescent="0.25"/>
    <row r="116630" customFormat="1" x14ac:dyDescent="0.25"/>
    <row r="116631" customFormat="1" x14ac:dyDescent="0.25"/>
    <row r="116632" customFormat="1" x14ac:dyDescent="0.25"/>
    <row r="116633" customFormat="1" x14ac:dyDescent="0.25"/>
    <row r="116634" customFormat="1" x14ac:dyDescent="0.25"/>
    <row r="116635" customFormat="1" x14ac:dyDescent="0.25"/>
    <row r="116636" customFormat="1" x14ac:dyDescent="0.25"/>
    <row r="116637" customFormat="1" x14ac:dyDescent="0.25"/>
    <row r="116638" customFormat="1" x14ac:dyDescent="0.25"/>
    <row r="116639" customFormat="1" x14ac:dyDescent="0.25"/>
    <row r="116640" customFormat="1" x14ac:dyDescent="0.25"/>
    <row r="116641" customFormat="1" x14ac:dyDescent="0.25"/>
    <row r="116642" customFormat="1" x14ac:dyDescent="0.25"/>
    <row r="116643" customFormat="1" x14ac:dyDescent="0.25"/>
    <row r="116644" customFormat="1" x14ac:dyDescent="0.25"/>
    <row r="116645" customFormat="1" x14ac:dyDescent="0.25"/>
    <row r="116646" customFormat="1" x14ac:dyDescent="0.25"/>
    <row r="116647" customFormat="1" x14ac:dyDescent="0.25"/>
    <row r="116648" customFormat="1" x14ac:dyDescent="0.25"/>
    <row r="116649" customFormat="1" x14ac:dyDescent="0.25"/>
    <row r="116650" customFormat="1" x14ac:dyDescent="0.25"/>
    <row r="116651" customFormat="1" x14ac:dyDescent="0.25"/>
    <row r="116652" customFormat="1" x14ac:dyDescent="0.25"/>
    <row r="116653" customFormat="1" x14ac:dyDescent="0.25"/>
    <row r="116654" customFormat="1" x14ac:dyDescent="0.25"/>
    <row r="116655" customFormat="1" x14ac:dyDescent="0.25"/>
    <row r="116656" customFormat="1" x14ac:dyDescent="0.25"/>
    <row r="116657" customFormat="1" x14ac:dyDescent="0.25"/>
    <row r="116658" customFormat="1" x14ac:dyDescent="0.25"/>
    <row r="116659" customFormat="1" x14ac:dyDescent="0.25"/>
    <row r="116660" customFormat="1" x14ac:dyDescent="0.25"/>
    <row r="116661" customFormat="1" x14ac:dyDescent="0.25"/>
    <row r="116662" customFormat="1" x14ac:dyDescent="0.25"/>
    <row r="116663" customFormat="1" x14ac:dyDescent="0.25"/>
    <row r="116664" customFormat="1" x14ac:dyDescent="0.25"/>
    <row r="116665" customFormat="1" x14ac:dyDescent="0.25"/>
    <row r="116666" customFormat="1" x14ac:dyDescent="0.25"/>
    <row r="116667" customFormat="1" x14ac:dyDescent="0.25"/>
    <row r="116668" customFormat="1" x14ac:dyDescent="0.25"/>
    <row r="116669" customFormat="1" x14ac:dyDescent="0.25"/>
    <row r="116670" customFormat="1" x14ac:dyDescent="0.25"/>
    <row r="116671" customFormat="1" x14ac:dyDescent="0.25"/>
    <row r="116672" customFormat="1" x14ac:dyDescent="0.25"/>
    <row r="116673" customFormat="1" x14ac:dyDescent="0.25"/>
    <row r="116674" customFormat="1" x14ac:dyDescent="0.25"/>
    <row r="116675" customFormat="1" x14ac:dyDescent="0.25"/>
    <row r="116676" customFormat="1" x14ac:dyDescent="0.25"/>
    <row r="116677" customFormat="1" x14ac:dyDescent="0.25"/>
    <row r="116678" customFormat="1" x14ac:dyDescent="0.25"/>
    <row r="116679" customFormat="1" x14ac:dyDescent="0.25"/>
    <row r="116680" customFormat="1" x14ac:dyDescent="0.25"/>
    <row r="116681" customFormat="1" x14ac:dyDescent="0.25"/>
    <row r="116682" customFormat="1" x14ac:dyDescent="0.25"/>
    <row r="116683" customFormat="1" x14ac:dyDescent="0.25"/>
    <row r="116684" customFormat="1" x14ac:dyDescent="0.25"/>
    <row r="116685" customFormat="1" x14ac:dyDescent="0.25"/>
    <row r="116686" customFormat="1" x14ac:dyDescent="0.25"/>
    <row r="116687" customFormat="1" x14ac:dyDescent="0.25"/>
    <row r="116688" customFormat="1" x14ac:dyDescent="0.25"/>
    <row r="116689" customFormat="1" x14ac:dyDescent="0.25"/>
    <row r="116690" customFormat="1" x14ac:dyDescent="0.25"/>
    <row r="116691" customFormat="1" x14ac:dyDescent="0.25"/>
    <row r="116692" customFormat="1" x14ac:dyDescent="0.25"/>
    <row r="116693" customFormat="1" x14ac:dyDescent="0.25"/>
    <row r="116694" customFormat="1" x14ac:dyDescent="0.25"/>
    <row r="116695" customFormat="1" x14ac:dyDescent="0.25"/>
    <row r="116696" customFormat="1" x14ac:dyDescent="0.25"/>
    <row r="116697" customFormat="1" x14ac:dyDescent="0.25"/>
    <row r="116698" customFormat="1" x14ac:dyDescent="0.25"/>
    <row r="116699" customFormat="1" x14ac:dyDescent="0.25"/>
    <row r="116700" customFormat="1" x14ac:dyDescent="0.25"/>
    <row r="116701" customFormat="1" x14ac:dyDescent="0.25"/>
    <row r="116702" customFormat="1" x14ac:dyDescent="0.25"/>
    <row r="116703" customFormat="1" x14ac:dyDescent="0.25"/>
    <row r="116704" customFormat="1" x14ac:dyDescent="0.25"/>
    <row r="116705" customFormat="1" x14ac:dyDescent="0.25"/>
    <row r="116706" customFormat="1" x14ac:dyDescent="0.25"/>
    <row r="116707" customFormat="1" x14ac:dyDescent="0.25"/>
    <row r="116708" customFormat="1" x14ac:dyDescent="0.25"/>
    <row r="116709" customFormat="1" x14ac:dyDescent="0.25"/>
    <row r="116710" customFormat="1" x14ac:dyDescent="0.25"/>
    <row r="116711" customFormat="1" x14ac:dyDescent="0.25"/>
    <row r="116712" customFormat="1" x14ac:dyDescent="0.25"/>
    <row r="116713" customFormat="1" x14ac:dyDescent="0.25"/>
    <row r="116714" customFormat="1" x14ac:dyDescent="0.25"/>
    <row r="116715" customFormat="1" x14ac:dyDescent="0.25"/>
    <row r="116716" customFormat="1" x14ac:dyDescent="0.25"/>
    <row r="116717" customFormat="1" x14ac:dyDescent="0.25"/>
    <row r="116718" customFormat="1" x14ac:dyDescent="0.25"/>
    <row r="116719" customFormat="1" x14ac:dyDescent="0.25"/>
    <row r="116720" customFormat="1" x14ac:dyDescent="0.25"/>
    <row r="116721" customFormat="1" x14ac:dyDescent="0.25"/>
    <row r="116722" customFormat="1" x14ac:dyDescent="0.25"/>
    <row r="116723" customFormat="1" x14ac:dyDescent="0.25"/>
    <row r="116724" customFormat="1" x14ac:dyDescent="0.25"/>
    <row r="116725" customFormat="1" x14ac:dyDescent="0.25"/>
    <row r="116726" customFormat="1" x14ac:dyDescent="0.25"/>
    <row r="116727" customFormat="1" x14ac:dyDescent="0.25"/>
    <row r="116728" customFormat="1" x14ac:dyDescent="0.25"/>
    <row r="116729" customFormat="1" x14ac:dyDescent="0.25"/>
    <row r="116730" customFormat="1" x14ac:dyDescent="0.25"/>
    <row r="116731" customFormat="1" x14ac:dyDescent="0.25"/>
    <row r="116732" customFormat="1" x14ac:dyDescent="0.25"/>
    <row r="116733" customFormat="1" x14ac:dyDescent="0.25"/>
    <row r="116734" customFormat="1" x14ac:dyDescent="0.25"/>
    <row r="116735" customFormat="1" x14ac:dyDescent="0.25"/>
    <row r="116736" customFormat="1" x14ac:dyDescent="0.25"/>
    <row r="116737" customFormat="1" x14ac:dyDescent="0.25"/>
    <row r="116738" customFormat="1" x14ac:dyDescent="0.25"/>
    <row r="116739" customFormat="1" x14ac:dyDescent="0.25"/>
    <row r="116740" customFormat="1" x14ac:dyDescent="0.25"/>
    <row r="116741" customFormat="1" x14ac:dyDescent="0.25"/>
    <row r="116742" customFormat="1" x14ac:dyDescent="0.25"/>
    <row r="116743" customFormat="1" x14ac:dyDescent="0.25"/>
    <row r="116744" customFormat="1" x14ac:dyDescent="0.25"/>
    <row r="116745" customFormat="1" x14ac:dyDescent="0.25"/>
    <row r="116746" customFormat="1" x14ac:dyDescent="0.25"/>
    <row r="116747" customFormat="1" x14ac:dyDescent="0.25"/>
    <row r="116748" customFormat="1" x14ac:dyDescent="0.25"/>
    <row r="116749" customFormat="1" x14ac:dyDescent="0.25"/>
    <row r="116750" customFormat="1" x14ac:dyDescent="0.25"/>
    <row r="116751" customFormat="1" x14ac:dyDescent="0.25"/>
    <row r="116752" customFormat="1" x14ac:dyDescent="0.25"/>
    <row r="116753" customFormat="1" x14ac:dyDescent="0.25"/>
    <row r="116754" customFormat="1" x14ac:dyDescent="0.25"/>
    <row r="116755" customFormat="1" x14ac:dyDescent="0.25"/>
    <row r="116756" customFormat="1" x14ac:dyDescent="0.25"/>
    <row r="116757" customFormat="1" x14ac:dyDescent="0.25"/>
    <row r="116758" customFormat="1" x14ac:dyDescent="0.25"/>
    <row r="116759" customFormat="1" x14ac:dyDescent="0.25"/>
    <row r="116760" customFormat="1" x14ac:dyDescent="0.25"/>
    <row r="116761" customFormat="1" x14ac:dyDescent="0.25"/>
    <row r="116762" customFormat="1" x14ac:dyDescent="0.25"/>
    <row r="116763" customFormat="1" x14ac:dyDescent="0.25"/>
    <row r="116764" customFormat="1" x14ac:dyDescent="0.25"/>
    <row r="116765" customFormat="1" x14ac:dyDescent="0.25"/>
    <row r="116766" customFormat="1" x14ac:dyDescent="0.25"/>
    <row r="116767" customFormat="1" x14ac:dyDescent="0.25"/>
    <row r="116768" customFormat="1" x14ac:dyDescent="0.25"/>
    <row r="116769" customFormat="1" x14ac:dyDescent="0.25"/>
    <row r="116770" customFormat="1" x14ac:dyDescent="0.25"/>
    <row r="116771" customFormat="1" x14ac:dyDescent="0.25"/>
    <row r="116772" customFormat="1" x14ac:dyDescent="0.25"/>
    <row r="116773" customFormat="1" x14ac:dyDescent="0.25"/>
    <row r="116774" customFormat="1" x14ac:dyDescent="0.25"/>
    <row r="116775" customFormat="1" x14ac:dyDescent="0.25"/>
    <row r="116776" customFormat="1" x14ac:dyDescent="0.25"/>
    <row r="116777" customFormat="1" x14ac:dyDescent="0.25"/>
    <row r="116778" customFormat="1" x14ac:dyDescent="0.25"/>
    <row r="116779" customFormat="1" x14ac:dyDescent="0.25"/>
    <row r="116780" customFormat="1" x14ac:dyDescent="0.25"/>
    <row r="116781" customFormat="1" x14ac:dyDescent="0.25"/>
    <row r="116782" customFormat="1" x14ac:dyDescent="0.25"/>
    <row r="116783" customFormat="1" x14ac:dyDescent="0.25"/>
    <row r="116784" customFormat="1" x14ac:dyDescent="0.25"/>
    <row r="116785" customFormat="1" x14ac:dyDescent="0.25"/>
    <row r="116786" customFormat="1" x14ac:dyDescent="0.25"/>
    <row r="116787" customFormat="1" x14ac:dyDescent="0.25"/>
    <row r="116788" customFormat="1" x14ac:dyDescent="0.25"/>
    <row r="116789" customFormat="1" x14ac:dyDescent="0.25"/>
    <row r="116790" customFormat="1" x14ac:dyDescent="0.25"/>
    <row r="116791" customFormat="1" x14ac:dyDescent="0.25"/>
    <row r="116792" customFormat="1" x14ac:dyDescent="0.25"/>
    <row r="116793" customFormat="1" x14ac:dyDescent="0.25"/>
    <row r="116794" customFormat="1" x14ac:dyDescent="0.25"/>
    <row r="116795" customFormat="1" x14ac:dyDescent="0.25"/>
    <row r="116796" customFormat="1" x14ac:dyDescent="0.25"/>
    <row r="116797" customFormat="1" x14ac:dyDescent="0.25"/>
    <row r="116798" customFormat="1" x14ac:dyDescent="0.25"/>
    <row r="116799" customFormat="1" x14ac:dyDescent="0.25"/>
    <row r="116800" customFormat="1" x14ac:dyDescent="0.25"/>
    <row r="116801" customFormat="1" x14ac:dyDescent="0.25"/>
    <row r="116802" customFormat="1" x14ac:dyDescent="0.25"/>
    <row r="116803" customFormat="1" x14ac:dyDescent="0.25"/>
    <row r="116804" customFormat="1" x14ac:dyDescent="0.25"/>
    <row r="116805" customFormat="1" x14ac:dyDescent="0.25"/>
    <row r="116806" customFormat="1" x14ac:dyDescent="0.25"/>
    <row r="116807" customFormat="1" x14ac:dyDescent="0.25"/>
    <row r="116808" customFormat="1" x14ac:dyDescent="0.25"/>
    <row r="116809" customFormat="1" x14ac:dyDescent="0.25"/>
    <row r="116810" customFormat="1" x14ac:dyDescent="0.25"/>
    <row r="116811" customFormat="1" x14ac:dyDescent="0.25"/>
    <row r="116812" customFormat="1" x14ac:dyDescent="0.25"/>
    <row r="116813" customFormat="1" x14ac:dyDescent="0.25"/>
    <row r="116814" customFormat="1" x14ac:dyDescent="0.25"/>
    <row r="116815" customFormat="1" x14ac:dyDescent="0.25"/>
    <row r="116816" customFormat="1" x14ac:dyDescent="0.25"/>
    <row r="116817" customFormat="1" x14ac:dyDescent="0.25"/>
    <row r="116818" customFormat="1" x14ac:dyDescent="0.25"/>
    <row r="116819" customFormat="1" x14ac:dyDescent="0.25"/>
    <row r="116820" customFormat="1" x14ac:dyDescent="0.25"/>
    <row r="116821" customFormat="1" x14ac:dyDescent="0.25"/>
    <row r="116822" customFormat="1" x14ac:dyDescent="0.25"/>
    <row r="116823" customFormat="1" x14ac:dyDescent="0.25"/>
    <row r="116824" customFormat="1" x14ac:dyDescent="0.25"/>
    <row r="116825" customFormat="1" x14ac:dyDescent="0.25"/>
    <row r="116826" customFormat="1" x14ac:dyDescent="0.25"/>
    <row r="116827" customFormat="1" x14ac:dyDescent="0.25"/>
    <row r="116828" customFormat="1" x14ac:dyDescent="0.25"/>
    <row r="116829" customFormat="1" x14ac:dyDescent="0.25"/>
    <row r="116830" customFormat="1" x14ac:dyDescent="0.25"/>
    <row r="116831" customFormat="1" x14ac:dyDescent="0.25"/>
    <row r="116832" customFormat="1" x14ac:dyDescent="0.25"/>
    <row r="116833" customFormat="1" x14ac:dyDescent="0.25"/>
    <row r="116834" customFormat="1" x14ac:dyDescent="0.25"/>
    <row r="116835" customFormat="1" x14ac:dyDescent="0.25"/>
    <row r="116836" customFormat="1" x14ac:dyDescent="0.25"/>
    <row r="116837" customFormat="1" x14ac:dyDescent="0.25"/>
    <row r="116838" customFormat="1" x14ac:dyDescent="0.25"/>
    <row r="116839" customFormat="1" x14ac:dyDescent="0.25"/>
    <row r="116840" customFormat="1" x14ac:dyDescent="0.25"/>
    <row r="116841" customFormat="1" x14ac:dyDescent="0.25"/>
    <row r="116842" customFormat="1" x14ac:dyDescent="0.25"/>
    <row r="116843" customFormat="1" x14ac:dyDescent="0.25"/>
    <row r="116844" customFormat="1" x14ac:dyDescent="0.25"/>
    <row r="116845" customFormat="1" x14ac:dyDescent="0.25"/>
    <row r="116846" customFormat="1" x14ac:dyDescent="0.25"/>
    <row r="116847" customFormat="1" x14ac:dyDescent="0.25"/>
    <row r="116848" customFormat="1" x14ac:dyDescent="0.25"/>
    <row r="116849" customFormat="1" x14ac:dyDescent="0.25"/>
    <row r="116850" customFormat="1" x14ac:dyDescent="0.25"/>
    <row r="116851" customFormat="1" x14ac:dyDescent="0.25"/>
    <row r="116852" customFormat="1" x14ac:dyDescent="0.25"/>
    <row r="116853" customFormat="1" x14ac:dyDescent="0.25"/>
    <row r="116854" customFormat="1" x14ac:dyDescent="0.25"/>
    <row r="116855" customFormat="1" x14ac:dyDescent="0.25"/>
    <row r="116856" customFormat="1" x14ac:dyDescent="0.25"/>
    <row r="116857" customFormat="1" x14ac:dyDescent="0.25"/>
    <row r="116858" customFormat="1" x14ac:dyDescent="0.25"/>
    <row r="116859" customFormat="1" x14ac:dyDescent="0.25"/>
    <row r="116860" customFormat="1" x14ac:dyDescent="0.25"/>
    <row r="116861" customFormat="1" x14ac:dyDescent="0.25"/>
    <row r="116862" customFormat="1" x14ac:dyDescent="0.25"/>
    <row r="116863" customFormat="1" x14ac:dyDescent="0.25"/>
    <row r="116864" customFormat="1" x14ac:dyDescent="0.25"/>
    <row r="116865" customFormat="1" x14ac:dyDescent="0.25"/>
    <row r="116866" customFormat="1" x14ac:dyDescent="0.25"/>
    <row r="116867" customFormat="1" x14ac:dyDescent="0.25"/>
    <row r="116868" customFormat="1" x14ac:dyDescent="0.25"/>
    <row r="116869" customFormat="1" x14ac:dyDescent="0.25"/>
    <row r="116870" customFormat="1" x14ac:dyDescent="0.25"/>
    <row r="116871" customFormat="1" x14ac:dyDescent="0.25"/>
    <row r="116872" customFormat="1" x14ac:dyDescent="0.25"/>
    <row r="116873" customFormat="1" x14ac:dyDescent="0.25"/>
    <row r="116874" customFormat="1" x14ac:dyDescent="0.25"/>
    <row r="116875" customFormat="1" x14ac:dyDescent="0.25"/>
    <row r="116876" customFormat="1" x14ac:dyDescent="0.25"/>
    <row r="116877" customFormat="1" x14ac:dyDescent="0.25"/>
    <row r="116878" customFormat="1" x14ac:dyDescent="0.25"/>
    <row r="116879" customFormat="1" x14ac:dyDescent="0.25"/>
    <row r="116880" customFormat="1" x14ac:dyDescent="0.25"/>
    <row r="116881" customFormat="1" x14ac:dyDescent="0.25"/>
    <row r="116882" customFormat="1" x14ac:dyDescent="0.25"/>
    <row r="116883" customFormat="1" x14ac:dyDescent="0.25"/>
    <row r="116884" customFormat="1" x14ac:dyDescent="0.25"/>
    <row r="116885" customFormat="1" x14ac:dyDescent="0.25"/>
    <row r="116886" customFormat="1" x14ac:dyDescent="0.25"/>
    <row r="116887" customFormat="1" x14ac:dyDescent="0.25"/>
    <row r="116888" customFormat="1" x14ac:dyDescent="0.25"/>
    <row r="116889" customFormat="1" x14ac:dyDescent="0.25"/>
    <row r="116890" customFormat="1" x14ac:dyDescent="0.25"/>
    <row r="116891" customFormat="1" x14ac:dyDescent="0.25"/>
    <row r="116892" customFormat="1" x14ac:dyDescent="0.25"/>
    <row r="116893" customFormat="1" x14ac:dyDescent="0.25"/>
    <row r="116894" customFormat="1" x14ac:dyDescent="0.25"/>
    <row r="116895" customFormat="1" x14ac:dyDescent="0.25"/>
    <row r="116896" customFormat="1" x14ac:dyDescent="0.25"/>
    <row r="116897" customFormat="1" x14ac:dyDescent="0.25"/>
    <row r="116898" customFormat="1" x14ac:dyDescent="0.25"/>
    <row r="116899" customFormat="1" x14ac:dyDescent="0.25"/>
    <row r="116900" customFormat="1" x14ac:dyDescent="0.25"/>
    <row r="116901" customFormat="1" x14ac:dyDescent="0.25"/>
    <row r="116902" customFormat="1" x14ac:dyDescent="0.25"/>
    <row r="116903" customFormat="1" x14ac:dyDescent="0.25"/>
    <row r="116904" customFormat="1" x14ac:dyDescent="0.25"/>
    <row r="116905" customFormat="1" x14ac:dyDescent="0.25"/>
    <row r="116906" customFormat="1" x14ac:dyDescent="0.25"/>
    <row r="116907" customFormat="1" x14ac:dyDescent="0.25"/>
    <row r="116908" customFormat="1" x14ac:dyDescent="0.25"/>
    <row r="116909" customFormat="1" x14ac:dyDescent="0.25"/>
    <row r="116910" customFormat="1" x14ac:dyDescent="0.25"/>
    <row r="116911" customFormat="1" x14ac:dyDescent="0.25"/>
    <row r="116912" customFormat="1" x14ac:dyDescent="0.25"/>
    <row r="116913" customFormat="1" x14ac:dyDescent="0.25"/>
    <row r="116914" customFormat="1" x14ac:dyDescent="0.25"/>
    <row r="116915" customFormat="1" x14ac:dyDescent="0.25"/>
    <row r="116916" customFormat="1" x14ac:dyDescent="0.25"/>
    <row r="116917" customFormat="1" x14ac:dyDescent="0.25"/>
    <row r="116918" customFormat="1" x14ac:dyDescent="0.25"/>
    <row r="116919" customFormat="1" x14ac:dyDescent="0.25"/>
    <row r="116920" customFormat="1" x14ac:dyDescent="0.25"/>
    <row r="116921" customFormat="1" x14ac:dyDescent="0.25"/>
    <row r="116922" customFormat="1" x14ac:dyDescent="0.25"/>
    <row r="116923" customFormat="1" x14ac:dyDescent="0.25"/>
    <row r="116924" customFormat="1" x14ac:dyDescent="0.25"/>
    <row r="116925" customFormat="1" x14ac:dyDescent="0.25"/>
    <row r="116926" customFormat="1" x14ac:dyDescent="0.25"/>
    <row r="116927" customFormat="1" x14ac:dyDescent="0.25"/>
    <row r="116928" customFormat="1" x14ac:dyDescent="0.25"/>
    <row r="116929" customFormat="1" x14ac:dyDescent="0.25"/>
    <row r="116930" customFormat="1" x14ac:dyDescent="0.25"/>
    <row r="116931" customFormat="1" x14ac:dyDescent="0.25"/>
    <row r="116932" customFormat="1" x14ac:dyDescent="0.25"/>
    <row r="116933" customFormat="1" x14ac:dyDescent="0.25"/>
    <row r="116934" customFormat="1" x14ac:dyDescent="0.25"/>
    <row r="116935" customFormat="1" x14ac:dyDescent="0.25"/>
    <row r="116936" customFormat="1" x14ac:dyDescent="0.25"/>
    <row r="116937" customFormat="1" x14ac:dyDescent="0.25"/>
    <row r="116938" customFormat="1" x14ac:dyDescent="0.25"/>
    <row r="116939" customFormat="1" x14ac:dyDescent="0.25"/>
    <row r="116940" customFormat="1" x14ac:dyDescent="0.25"/>
    <row r="116941" customFormat="1" x14ac:dyDescent="0.25"/>
    <row r="116942" customFormat="1" x14ac:dyDescent="0.25"/>
    <row r="116943" customFormat="1" x14ac:dyDescent="0.25"/>
    <row r="116944" customFormat="1" x14ac:dyDescent="0.25"/>
    <row r="116945" customFormat="1" x14ac:dyDescent="0.25"/>
    <row r="116946" customFormat="1" x14ac:dyDescent="0.25"/>
    <row r="116947" customFormat="1" x14ac:dyDescent="0.25"/>
    <row r="116948" customFormat="1" x14ac:dyDescent="0.25"/>
    <row r="116949" customFormat="1" x14ac:dyDescent="0.25"/>
    <row r="116950" customFormat="1" x14ac:dyDescent="0.25"/>
    <row r="116951" customFormat="1" x14ac:dyDescent="0.25"/>
    <row r="116952" customFormat="1" x14ac:dyDescent="0.25"/>
    <row r="116953" customFormat="1" x14ac:dyDescent="0.25"/>
    <row r="116954" customFormat="1" x14ac:dyDescent="0.25"/>
    <row r="116955" customFormat="1" x14ac:dyDescent="0.25"/>
    <row r="116956" customFormat="1" x14ac:dyDescent="0.25"/>
    <row r="116957" customFormat="1" x14ac:dyDescent="0.25"/>
    <row r="116958" customFormat="1" x14ac:dyDescent="0.25"/>
    <row r="116959" customFormat="1" x14ac:dyDescent="0.25"/>
    <row r="116960" customFormat="1" x14ac:dyDescent="0.25"/>
    <row r="116961" customFormat="1" x14ac:dyDescent="0.25"/>
    <row r="116962" customFormat="1" x14ac:dyDescent="0.25"/>
    <row r="116963" customFormat="1" x14ac:dyDescent="0.25"/>
    <row r="116964" customFormat="1" x14ac:dyDescent="0.25"/>
    <row r="116965" customFormat="1" x14ac:dyDescent="0.25"/>
    <row r="116966" customFormat="1" x14ac:dyDescent="0.25"/>
    <row r="116967" customFormat="1" x14ac:dyDescent="0.25"/>
    <row r="116968" customFormat="1" x14ac:dyDescent="0.25"/>
    <row r="116969" customFormat="1" x14ac:dyDescent="0.25"/>
    <row r="116970" customFormat="1" x14ac:dyDescent="0.25"/>
    <row r="116971" customFormat="1" x14ac:dyDescent="0.25"/>
    <row r="116972" customFormat="1" x14ac:dyDescent="0.25"/>
    <row r="116973" customFormat="1" x14ac:dyDescent="0.25"/>
    <row r="116974" customFormat="1" x14ac:dyDescent="0.25"/>
    <row r="116975" customFormat="1" x14ac:dyDescent="0.25"/>
    <row r="116976" customFormat="1" x14ac:dyDescent="0.25"/>
    <row r="116977" customFormat="1" x14ac:dyDescent="0.25"/>
    <row r="116978" customFormat="1" x14ac:dyDescent="0.25"/>
    <row r="116979" customFormat="1" x14ac:dyDescent="0.25"/>
    <row r="116980" customFormat="1" x14ac:dyDescent="0.25"/>
    <row r="116981" customFormat="1" x14ac:dyDescent="0.25"/>
    <row r="116982" customFormat="1" x14ac:dyDescent="0.25"/>
    <row r="116983" customFormat="1" x14ac:dyDescent="0.25"/>
    <row r="116984" customFormat="1" x14ac:dyDescent="0.25"/>
    <row r="116985" customFormat="1" x14ac:dyDescent="0.25"/>
    <row r="116986" customFormat="1" x14ac:dyDescent="0.25"/>
    <row r="116987" customFormat="1" x14ac:dyDescent="0.25"/>
    <row r="116988" customFormat="1" x14ac:dyDescent="0.25"/>
    <row r="116989" customFormat="1" x14ac:dyDescent="0.25"/>
    <row r="116990" customFormat="1" x14ac:dyDescent="0.25"/>
    <row r="116991" customFormat="1" x14ac:dyDescent="0.25"/>
    <row r="116992" customFormat="1" x14ac:dyDescent="0.25"/>
    <row r="116993" customFormat="1" x14ac:dyDescent="0.25"/>
    <row r="116994" customFormat="1" x14ac:dyDescent="0.25"/>
    <row r="116995" customFormat="1" x14ac:dyDescent="0.25"/>
    <row r="116996" customFormat="1" x14ac:dyDescent="0.25"/>
    <row r="116997" customFormat="1" x14ac:dyDescent="0.25"/>
    <row r="116998" customFormat="1" x14ac:dyDescent="0.25"/>
    <row r="116999" customFormat="1" x14ac:dyDescent="0.25"/>
    <row r="117000" customFormat="1" x14ac:dyDescent="0.25"/>
    <row r="117001" customFormat="1" x14ac:dyDescent="0.25"/>
    <row r="117002" customFormat="1" x14ac:dyDescent="0.25"/>
    <row r="117003" customFormat="1" x14ac:dyDescent="0.25"/>
    <row r="117004" customFormat="1" x14ac:dyDescent="0.25"/>
    <row r="117005" customFormat="1" x14ac:dyDescent="0.25"/>
    <row r="117006" customFormat="1" x14ac:dyDescent="0.25"/>
    <row r="117007" customFormat="1" x14ac:dyDescent="0.25"/>
    <row r="117008" customFormat="1" x14ac:dyDescent="0.25"/>
    <row r="117009" customFormat="1" x14ac:dyDescent="0.25"/>
    <row r="117010" customFormat="1" x14ac:dyDescent="0.25"/>
    <row r="117011" customFormat="1" x14ac:dyDescent="0.25"/>
    <row r="117012" customFormat="1" x14ac:dyDescent="0.25"/>
    <row r="117013" customFormat="1" x14ac:dyDescent="0.25"/>
    <row r="117014" customFormat="1" x14ac:dyDescent="0.25"/>
    <row r="117015" customFormat="1" x14ac:dyDescent="0.25"/>
    <row r="117016" customFormat="1" x14ac:dyDescent="0.25"/>
    <row r="117017" customFormat="1" x14ac:dyDescent="0.25"/>
    <row r="117018" customFormat="1" x14ac:dyDescent="0.25"/>
    <row r="117019" customFormat="1" x14ac:dyDescent="0.25"/>
    <row r="117020" customFormat="1" x14ac:dyDescent="0.25"/>
    <row r="117021" customFormat="1" x14ac:dyDescent="0.25"/>
    <row r="117022" customFormat="1" x14ac:dyDescent="0.25"/>
    <row r="117023" customFormat="1" x14ac:dyDescent="0.25"/>
    <row r="117024" customFormat="1" x14ac:dyDescent="0.25"/>
    <row r="117025" customFormat="1" x14ac:dyDescent="0.25"/>
    <row r="117026" customFormat="1" x14ac:dyDescent="0.25"/>
    <row r="117027" customFormat="1" x14ac:dyDescent="0.25"/>
    <row r="117028" customFormat="1" x14ac:dyDescent="0.25"/>
    <row r="117029" customFormat="1" x14ac:dyDescent="0.25"/>
    <row r="117030" customFormat="1" x14ac:dyDescent="0.25"/>
    <row r="117031" customFormat="1" x14ac:dyDescent="0.25"/>
    <row r="117032" customFormat="1" x14ac:dyDescent="0.25"/>
    <row r="117033" customFormat="1" x14ac:dyDescent="0.25"/>
    <row r="117034" customFormat="1" x14ac:dyDescent="0.25"/>
    <row r="117035" customFormat="1" x14ac:dyDescent="0.25"/>
    <row r="117036" customFormat="1" x14ac:dyDescent="0.25"/>
    <row r="117037" customFormat="1" x14ac:dyDescent="0.25"/>
    <row r="117038" customFormat="1" x14ac:dyDescent="0.25"/>
    <row r="117039" customFormat="1" x14ac:dyDescent="0.25"/>
    <row r="117040" customFormat="1" x14ac:dyDescent="0.25"/>
    <row r="117041" customFormat="1" x14ac:dyDescent="0.25"/>
    <row r="117042" customFormat="1" x14ac:dyDescent="0.25"/>
    <row r="117043" customFormat="1" x14ac:dyDescent="0.25"/>
    <row r="117044" customFormat="1" x14ac:dyDescent="0.25"/>
    <row r="117045" customFormat="1" x14ac:dyDescent="0.25"/>
    <row r="117046" customFormat="1" x14ac:dyDescent="0.25"/>
    <row r="117047" customFormat="1" x14ac:dyDescent="0.25"/>
    <row r="117048" customFormat="1" x14ac:dyDescent="0.25"/>
    <row r="117049" customFormat="1" x14ac:dyDescent="0.25"/>
    <row r="117050" customFormat="1" x14ac:dyDescent="0.25"/>
    <row r="117051" customFormat="1" x14ac:dyDescent="0.25"/>
    <row r="117052" customFormat="1" x14ac:dyDescent="0.25"/>
    <row r="117053" customFormat="1" x14ac:dyDescent="0.25"/>
    <row r="117054" customFormat="1" x14ac:dyDescent="0.25"/>
    <row r="117055" customFormat="1" x14ac:dyDescent="0.25"/>
    <row r="117056" customFormat="1" x14ac:dyDescent="0.25"/>
    <row r="117057" customFormat="1" x14ac:dyDescent="0.25"/>
    <row r="117058" customFormat="1" x14ac:dyDescent="0.25"/>
    <row r="117059" customFormat="1" x14ac:dyDescent="0.25"/>
    <row r="117060" customFormat="1" x14ac:dyDescent="0.25"/>
    <row r="117061" customFormat="1" x14ac:dyDescent="0.25"/>
    <row r="117062" customFormat="1" x14ac:dyDescent="0.25"/>
    <row r="117063" customFormat="1" x14ac:dyDescent="0.25"/>
    <row r="117064" customFormat="1" x14ac:dyDescent="0.25"/>
    <row r="117065" customFormat="1" x14ac:dyDescent="0.25"/>
    <row r="117066" customFormat="1" x14ac:dyDescent="0.25"/>
    <row r="117067" customFormat="1" x14ac:dyDescent="0.25"/>
    <row r="117068" customFormat="1" x14ac:dyDescent="0.25"/>
    <row r="117069" customFormat="1" x14ac:dyDescent="0.25"/>
    <row r="117070" customFormat="1" x14ac:dyDescent="0.25"/>
    <row r="117071" customFormat="1" x14ac:dyDescent="0.25"/>
    <row r="117072" customFormat="1" x14ac:dyDescent="0.25"/>
    <row r="117073" customFormat="1" x14ac:dyDescent="0.25"/>
    <row r="117074" customFormat="1" x14ac:dyDescent="0.25"/>
    <row r="117075" customFormat="1" x14ac:dyDescent="0.25"/>
    <row r="117076" customFormat="1" x14ac:dyDescent="0.25"/>
    <row r="117077" customFormat="1" x14ac:dyDescent="0.25"/>
    <row r="117078" customFormat="1" x14ac:dyDescent="0.25"/>
    <row r="117079" customFormat="1" x14ac:dyDescent="0.25"/>
    <row r="117080" customFormat="1" x14ac:dyDescent="0.25"/>
    <row r="117081" customFormat="1" x14ac:dyDescent="0.25"/>
    <row r="117082" customFormat="1" x14ac:dyDescent="0.25"/>
    <row r="117083" customFormat="1" x14ac:dyDescent="0.25"/>
    <row r="117084" customFormat="1" x14ac:dyDescent="0.25"/>
    <row r="117085" customFormat="1" x14ac:dyDescent="0.25"/>
    <row r="117086" customFormat="1" x14ac:dyDescent="0.25"/>
    <row r="117087" customFormat="1" x14ac:dyDescent="0.25"/>
    <row r="117088" customFormat="1" x14ac:dyDescent="0.25"/>
    <row r="117089" customFormat="1" x14ac:dyDescent="0.25"/>
    <row r="117090" customFormat="1" x14ac:dyDescent="0.25"/>
    <row r="117091" customFormat="1" x14ac:dyDescent="0.25"/>
    <row r="117092" customFormat="1" x14ac:dyDescent="0.25"/>
    <row r="117093" customFormat="1" x14ac:dyDescent="0.25"/>
    <row r="117094" customFormat="1" x14ac:dyDescent="0.25"/>
    <row r="117095" customFormat="1" x14ac:dyDescent="0.25"/>
    <row r="117096" customFormat="1" x14ac:dyDescent="0.25"/>
    <row r="117097" customFormat="1" x14ac:dyDescent="0.25"/>
    <row r="117098" customFormat="1" x14ac:dyDescent="0.25"/>
    <row r="117099" customFormat="1" x14ac:dyDescent="0.25"/>
    <row r="117100" customFormat="1" x14ac:dyDescent="0.25"/>
    <row r="117101" customFormat="1" x14ac:dyDescent="0.25"/>
    <row r="117102" customFormat="1" x14ac:dyDescent="0.25"/>
    <row r="117103" customFormat="1" x14ac:dyDescent="0.25"/>
    <row r="117104" customFormat="1" x14ac:dyDescent="0.25"/>
    <row r="117105" customFormat="1" x14ac:dyDescent="0.25"/>
    <row r="117106" customFormat="1" x14ac:dyDescent="0.25"/>
    <row r="117107" customFormat="1" x14ac:dyDescent="0.25"/>
    <row r="117108" customFormat="1" x14ac:dyDescent="0.25"/>
    <row r="117109" customFormat="1" x14ac:dyDescent="0.25"/>
    <row r="117110" customFormat="1" x14ac:dyDescent="0.25"/>
    <row r="117111" customFormat="1" x14ac:dyDescent="0.25"/>
    <row r="117112" customFormat="1" x14ac:dyDescent="0.25"/>
    <row r="117113" customFormat="1" x14ac:dyDescent="0.25"/>
    <row r="117114" customFormat="1" x14ac:dyDescent="0.25"/>
    <row r="117115" customFormat="1" x14ac:dyDescent="0.25"/>
    <row r="117116" customFormat="1" x14ac:dyDescent="0.25"/>
    <row r="117117" customFormat="1" x14ac:dyDescent="0.25"/>
    <row r="117118" customFormat="1" x14ac:dyDescent="0.25"/>
    <row r="117119" customFormat="1" x14ac:dyDescent="0.25"/>
    <row r="117120" customFormat="1" x14ac:dyDescent="0.25"/>
    <row r="117121" customFormat="1" x14ac:dyDescent="0.25"/>
    <row r="117122" customFormat="1" x14ac:dyDescent="0.25"/>
    <row r="117123" customFormat="1" x14ac:dyDescent="0.25"/>
    <row r="117124" customFormat="1" x14ac:dyDescent="0.25"/>
    <row r="117125" customFormat="1" x14ac:dyDescent="0.25"/>
    <row r="117126" customFormat="1" x14ac:dyDescent="0.25"/>
    <row r="117127" customFormat="1" x14ac:dyDescent="0.25"/>
    <row r="117128" customFormat="1" x14ac:dyDescent="0.25"/>
    <row r="117129" customFormat="1" x14ac:dyDescent="0.25"/>
    <row r="117130" customFormat="1" x14ac:dyDescent="0.25"/>
    <row r="117131" customFormat="1" x14ac:dyDescent="0.25"/>
    <row r="117132" customFormat="1" x14ac:dyDescent="0.25"/>
    <row r="117133" customFormat="1" x14ac:dyDescent="0.25"/>
    <row r="117134" customFormat="1" x14ac:dyDescent="0.25"/>
    <row r="117135" customFormat="1" x14ac:dyDescent="0.25"/>
    <row r="117136" customFormat="1" x14ac:dyDescent="0.25"/>
    <row r="117137" customFormat="1" x14ac:dyDescent="0.25"/>
    <row r="117138" customFormat="1" x14ac:dyDescent="0.25"/>
    <row r="117139" customFormat="1" x14ac:dyDescent="0.25"/>
    <row r="117140" customFormat="1" x14ac:dyDescent="0.25"/>
    <row r="117141" customFormat="1" x14ac:dyDescent="0.25"/>
    <row r="117142" customFormat="1" x14ac:dyDescent="0.25"/>
    <row r="117143" customFormat="1" x14ac:dyDescent="0.25"/>
    <row r="117144" customFormat="1" x14ac:dyDescent="0.25"/>
    <row r="117145" customFormat="1" x14ac:dyDescent="0.25"/>
    <row r="117146" customFormat="1" x14ac:dyDescent="0.25"/>
    <row r="117147" customFormat="1" x14ac:dyDescent="0.25"/>
    <row r="117148" customFormat="1" x14ac:dyDescent="0.25"/>
    <row r="117149" customFormat="1" x14ac:dyDescent="0.25"/>
    <row r="117150" customFormat="1" x14ac:dyDescent="0.25"/>
    <row r="117151" customFormat="1" x14ac:dyDescent="0.25"/>
    <row r="117152" customFormat="1" x14ac:dyDescent="0.25"/>
    <row r="117153" customFormat="1" x14ac:dyDescent="0.25"/>
    <row r="117154" customFormat="1" x14ac:dyDescent="0.25"/>
    <row r="117155" customFormat="1" x14ac:dyDescent="0.25"/>
    <row r="117156" customFormat="1" x14ac:dyDescent="0.25"/>
    <row r="117157" customFormat="1" x14ac:dyDescent="0.25"/>
    <row r="117158" customFormat="1" x14ac:dyDescent="0.25"/>
    <row r="117159" customFormat="1" x14ac:dyDescent="0.25"/>
    <row r="117160" customFormat="1" x14ac:dyDescent="0.25"/>
    <row r="117161" customFormat="1" x14ac:dyDescent="0.25"/>
    <row r="117162" customFormat="1" x14ac:dyDescent="0.25"/>
    <row r="117163" customFormat="1" x14ac:dyDescent="0.25"/>
    <row r="117164" customFormat="1" x14ac:dyDescent="0.25"/>
    <row r="117165" customFormat="1" x14ac:dyDescent="0.25"/>
    <row r="117166" customFormat="1" x14ac:dyDescent="0.25"/>
    <row r="117167" customFormat="1" x14ac:dyDescent="0.25"/>
    <row r="117168" customFormat="1" x14ac:dyDescent="0.25"/>
    <row r="117169" customFormat="1" x14ac:dyDescent="0.25"/>
    <row r="117170" customFormat="1" x14ac:dyDescent="0.25"/>
    <row r="117171" customFormat="1" x14ac:dyDescent="0.25"/>
    <row r="117172" customFormat="1" x14ac:dyDescent="0.25"/>
    <row r="117173" customFormat="1" x14ac:dyDescent="0.25"/>
    <row r="117174" customFormat="1" x14ac:dyDescent="0.25"/>
    <row r="117175" customFormat="1" x14ac:dyDescent="0.25"/>
    <row r="117176" customFormat="1" x14ac:dyDescent="0.25"/>
    <row r="117177" customFormat="1" x14ac:dyDescent="0.25"/>
    <row r="117178" customFormat="1" x14ac:dyDescent="0.25"/>
    <row r="117179" customFormat="1" x14ac:dyDescent="0.25"/>
    <row r="117180" customFormat="1" x14ac:dyDescent="0.25"/>
    <row r="117181" customFormat="1" x14ac:dyDescent="0.25"/>
    <row r="117182" customFormat="1" x14ac:dyDescent="0.25"/>
    <row r="117183" customFormat="1" x14ac:dyDescent="0.25"/>
    <row r="117184" customFormat="1" x14ac:dyDescent="0.25"/>
    <row r="117185" customFormat="1" x14ac:dyDescent="0.25"/>
    <row r="117186" customFormat="1" x14ac:dyDescent="0.25"/>
    <row r="117187" customFormat="1" x14ac:dyDescent="0.25"/>
    <row r="117188" customFormat="1" x14ac:dyDescent="0.25"/>
    <row r="117189" customFormat="1" x14ac:dyDescent="0.25"/>
    <row r="117190" customFormat="1" x14ac:dyDescent="0.25"/>
    <row r="117191" customFormat="1" x14ac:dyDescent="0.25"/>
    <row r="117192" customFormat="1" x14ac:dyDescent="0.25"/>
    <row r="117193" customFormat="1" x14ac:dyDescent="0.25"/>
    <row r="117194" customFormat="1" x14ac:dyDescent="0.25"/>
    <row r="117195" customFormat="1" x14ac:dyDescent="0.25"/>
    <row r="117196" customFormat="1" x14ac:dyDescent="0.25"/>
    <row r="117197" customFormat="1" x14ac:dyDescent="0.25"/>
    <row r="117198" customFormat="1" x14ac:dyDescent="0.25"/>
    <row r="117199" customFormat="1" x14ac:dyDescent="0.25"/>
    <row r="117200" customFormat="1" x14ac:dyDescent="0.25"/>
    <row r="117201" customFormat="1" x14ac:dyDescent="0.25"/>
    <row r="117202" customFormat="1" x14ac:dyDescent="0.25"/>
    <row r="117203" customFormat="1" x14ac:dyDescent="0.25"/>
    <row r="117204" customFormat="1" x14ac:dyDescent="0.25"/>
    <row r="117205" customFormat="1" x14ac:dyDescent="0.25"/>
    <row r="117206" customFormat="1" x14ac:dyDescent="0.25"/>
    <row r="117207" customFormat="1" x14ac:dyDescent="0.25"/>
    <row r="117208" customFormat="1" x14ac:dyDescent="0.25"/>
    <row r="117209" customFormat="1" x14ac:dyDescent="0.25"/>
    <row r="117210" customFormat="1" x14ac:dyDescent="0.25"/>
    <row r="117211" customFormat="1" x14ac:dyDescent="0.25"/>
    <row r="117212" customFormat="1" x14ac:dyDescent="0.25"/>
    <row r="117213" customFormat="1" x14ac:dyDescent="0.25"/>
    <row r="117214" customFormat="1" x14ac:dyDescent="0.25"/>
    <row r="117215" customFormat="1" x14ac:dyDescent="0.25"/>
    <row r="117216" customFormat="1" x14ac:dyDescent="0.25"/>
    <row r="117217" customFormat="1" x14ac:dyDescent="0.25"/>
    <row r="117218" customFormat="1" x14ac:dyDescent="0.25"/>
    <row r="117219" customFormat="1" x14ac:dyDescent="0.25"/>
    <row r="117220" customFormat="1" x14ac:dyDescent="0.25"/>
    <row r="117221" customFormat="1" x14ac:dyDescent="0.25"/>
    <row r="117222" customFormat="1" x14ac:dyDescent="0.25"/>
    <row r="117223" customFormat="1" x14ac:dyDescent="0.25"/>
    <row r="117224" customFormat="1" x14ac:dyDescent="0.25"/>
    <row r="117225" customFormat="1" x14ac:dyDescent="0.25"/>
    <row r="117226" customFormat="1" x14ac:dyDescent="0.25"/>
    <row r="117227" customFormat="1" x14ac:dyDescent="0.25"/>
    <row r="117228" customFormat="1" x14ac:dyDescent="0.25"/>
    <row r="117229" customFormat="1" x14ac:dyDescent="0.25"/>
    <row r="117230" customFormat="1" x14ac:dyDescent="0.25"/>
    <row r="117231" customFormat="1" x14ac:dyDescent="0.25"/>
    <row r="117232" customFormat="1" x14ac:dyDescent="0.25"/>
    <row r="117233" customFormat="1" x14ac:dyDescent="0.25"/>
    <row r="117234" customFormat="1" x14ac:dyDescent="0.25"/>
    <row r="117235" customFormat="1" x14ac:dyDescent="0.25"/>
    <row r="117236" customFormat="1" x14ac:dyDescent="0.25"/>
    <row r="117237" customFormat="1" x14ac:dyDescent="0.25"/>
    <row r="117238" customFormat="1" x14ac:dyDescent="0.25"/>
    <row r="117239" customFormat="1" x14ac:dyDescent="0.25"/>
    <row r="117240" customFormat="1" x14ac:dyDescent="0.25"/>
    <row r="117241" customFormat="1" x14ac:dyDescent="0.25"/>
    <row r="117242" customFormat="1" x14ac:dyDescent="0.25"/>
    <row r="117243" customFormat="1" x14ac:dyDescent="0.25"/>
    <row r="117244" customFormat="1" x14ac:dyDescent="0.25"/>
    <row r="117245" customFormat="1" x14ac:dyDescent="0.25"/>
    <row r="117246" customFormat="1" x14ac:dyDescent="0.25"/>
    <row r="117247" customFormat="1" x14ac:dyDescent="0.25"/>
    <row r="117248" customFormat="1" x14ac:dyDescent="0.25"/>
    <row r="117249" customFormat="1" x14ac:dyDescent="0.25"/>
    <row r="117250" customFormat="1" x14ac:dyDescent="0.25"/>
    <row r="117251" customFormat="1" x14ac:dyDescent="0.25"/>
    <row r="117252" customFormat="1" x14ac:dyDescent="0.25"/>
    <row r="117253" customFormat="1" x14ac:dyDescent="0.25"/>
    <row r="117254" customFormat="1" x14ac:dyDescent="0.25"/>
    <row r="117255" customFormat="1" x14ac:dyDescent="0.25"/>
    <row r="117256" customFormat="1" x14ac:dyDescent="0.25"/>
    <row r="117257" customFormat="1" x14ac:dyDescent="0.25"/>
    <row r="117258" customFormat="1" x14ac:dyDescent="0.25"/>
    <row r="117259" customFormat="1" x14ac:dyDescent="0.25"/>
    <row r="117260" customFormat="1" x14ac:dyDescent="0.25"/>
    <row r="117261" customFormat="1" x14ac:dyDescent="0.25"/>
    <row r="117262" customFormat="1" x14ac:dyDescent="0.25"/>
    <row r="117263" customFormat="1" x14ac:dyDescent="0.25"/>
    <row r="117264" customFormat="1" x14ac:dyDescent="0.25"/>
    <row r="117265" customFormat="1" x14ac:dyDescent="0.25"/>
    <row r="117266" customFormat="1" x14ac:dyDescent="0.25"/>
    <row r="117267" customFormat="1" x14ac:dyDescent="0.25"/>
    <row r="117268" customFormat="1" x14ac:dyDescent="0.25"/>
    <row r="117269" customFormat="1" x14ac:dyDescent="0.25"/>
    <row r="117270" customFormat="1" x14ac:dyDescent="0.25"/>
    <row r="117271" customFormat="1" x14ac:dyDescent="0.25"/>
    <row r="117272" customFormat="1" x14ac:dyDescent="0.25"/>
    <row r="117273" customFormat="1" x14ac:dyDescent="0.25"/>
    <row r="117274" customFormat="1" x14ac:dyDescent="0.25"/>
    <row r="117275" customFormat="1" x14ac:dyDescent="0.25"/>
    <row r="117276" customFormat="1" x14ac:dyDescent="0.25"/>
    <row r="117277" customFormat="1" x14ac:dyDescent="0.25"/>
    <row r="117278" customFormat="1" x14ac:dyDescent="0.25"/>
    <row r="117279" customFormat="1" x14ac:dyDescent="0.25"/>
    <row r="117280" customFormat="1" x14ac:dyDescent="0.25"/>
    <row r="117281" customFormat="1" x14ac:dyDescent="0.25"/>
    <row r="117282" customFormat="1" x14ac:dyDescent="0.25"/>
    <row r="117283" customFormat="1" x14ac:dyDescent="0.25"/>
    <row r="117284" customFormat="1" x14ac:dyDescent="0.25"/>
    <row r="117285" customFormat="1" x14ac:dyDescent="0.25"/>
    <row r="117286" customFormat="1" x14ac:dyDescent="0.25"/>
    <row r="117287" customFormat="1" x14ac:dyDescent="0.25"/>
    <row r="117288" customFormat="1" x14ac:dyDescent="0.25"/>
    <row r="117289" customFormat="1" x14ac:dyDescent="0.25"/>
    <row r="117290" customFormat="1" x14ac:dyDescent="0.25"/>
    <row r="117291" customFormat="1" x14ac:dyDescent="0.25"/>
    <row r="117292" customFormat="1" x14ac:dyDescent="0.25"/>
    <row r="117293" customFormat="1" x14ac:dyDescent="0.25"/>
    <row r="117294" customFormat="1" x14ac:dyDescent="0.25"/>
    <row r="117295" customFormat="1" x14ac:dyDescent="0.25"/>
    <row r="117296" customFormat="1" x14ac:dyDescent="0.25"/>
    <row r="117297" customFormat="1" x14ac:dyDescent="0.25"/>
    <row r="117298" customFormat="1" x14ac:dyDescent="0.25"/>
    <row r="117299" customFormat="1" x14ac:dyDescent="0.25"/>
    <row r="117300" customFormat="1" x14ac:dyDescent="0.25"/>
    <row r="117301" customFormat="1" x14ac:dyDescent="0.25"/>
    <row r="117302" customFormat="1" x14ac:dyDescent="0.25"/>
    <row r="117303" customFormat="1" x14ac:dyDescent="0.25"/>
    <row r="117304" customFormat="1" x14ac:dyDescent="0.25"/>
    <row r="117305" customFormat="1" x14ac:dyDescent="0.25"/>
    <row r="117306" customFormat="1" x14ac:dyDescent="0.25"/>
    <row r="117307" customFormat="1" x14ac:dyDescent="0.25"/>
    <row r="117308" customFormat="1" x14ac:dyDescent="0.25"/>
    <row r="117309" customFormat="1" x14ac:dyDescent="0.25"/>
    <row r="117310" customFormat="1" x14ac:dyDescent="0.25"/>
    <row r="117311" customFormat="1" x14ac:dyDescent="0.25"/>
    <row r="117312" customFormat="1" x14ac:dyDescent="0.25"/>
    <row r="117313" customFormat="1" x14ac:dyDescent="0.25"/>
    <row r="117314" customFormat="1" x14ac:dyDescent="0.25"/>
    <row r="117315" customFormat="1" x14ac:dyDescent="0.25"/>
    <row r="117316" customFormat="1" x14ac:dyDescent="0.25"/>
    <row r="117317" customFormat="1" x14ac:dyDescent="0.25"/>
    <row r="117318" customFormat="1" x14ac:dyDescent="0.25"/>
    <row r="117319" customFormat="1" x14ac:dyDescent="0.25"/>
    <row r="117320" customFormat="1" x14ac:dyDescent="0.25"/>
    <row r="117321" customFormat="1" x14ac:dyDescent="0.25"/>
    <row r="117322" customFormat="1" x14ac:dyDescent="0.25"/>
    <row r="117323" customFormat="1" x14ac:dyDescent="0.25"/>
    <row r="117324" customFormat="1" x14ac:dyDescent="0.25"/>
    <row r="117325" customFormat="1" x14ac:dyDescent="0.25"/>
    <row r="117326" customFormat="1" x14ac:dyDescent="0.25"/>
    <row r="117327" customFormat="1" x14ac:dyDescent="0.25"/>
    <row r="117328" customFormat="1" x14ac:dyDescent="0.25"/>
    <row r="117329" customFormat="1" x14ac:dyDescent="0.25"/>
    <row r="117330" customFormat="1" x14ac:dyDescent="0.25"/>
    <row r="117331" customFormat="1" x14ac:dyDescent="0.25"/>
    <row r="117332" customFormat="1" x14ac:dyDescent="0.25"/>
    <row r="117333" customFormat="1" x14ac:dyDescent="0.25"/>
    <row r="117334" customFormat="1" x14ac:dyDescent="0.25"/>
    <row r="117335" customFormat="1" x14ac:dyDescent="0.25"/>
    <row r="117336" customFormat="1" x14ac:dyDescent="0.25"/>
    <row r="117337" customFormat="1" x14ac:dyDescent="0.25"/>
    <row r="117338" customFormat="1" x14ac:dyDescent="0.25"/>
    <row r="117339" customFormat="1" x14ac:dyDescent="0.25"/>
    <row r="117340" customFormat="1" x14ac:dyDescent="0.25"/>
    <row r="117341" customFormat="1" x14ac:dyDescent="0.25"/>
    <row r="117342" customFormat="1" x14ac:dyDescent="0.25"/>
    <row r="117343" customFormat="1" x14ac:dyDescent="0.25"/>
    <row r="117344" customFormat="1" x14ac:dyDescent="0.25"/>
    <row r="117345" customFormat="1" x14ac:dyDescent="0.25"/>
    <row r="117346" customFormat="1" x14ac:dyDescent="0.25"/>
    <row r="117347" customFormat="1" x14ac:dyDescent="0.25"/>
    <row r="117348" customFormat="1" x14ac:dyDescent="0.25"/>
    <row r="117349" customFormat="1" x14ac:dyDescent="0.25"/>
    <row r="117350" customFormat="1" x14ac:dyDescent="0.25"/>
    <row r="117351" customFormat="1" x14ac:dyDescent="0.25"/>
    <row r="117352" customFormat="1" x14ac:dyDescent="0.25"/>
    <row r="117353" customFormat="1" x14ac:dyDescent="0.25"/>
    <row r="117354" customFormat="1" x14ac:dyDescent="0.25"/>
    <row r="117355" customFormat="1" x14ac:dyDescent="0.25"/>
    <row r="117356" customFormat="1" x14ac:dyDescent="0.25"/>
    <row r="117357" customFormat="1" x14ac:dyDescent="0.25"/>
    <row r="117358" customFormat="1" x14ac:dyDescent="0.25"/>
    <row r="117359" customFormat="1" x14ac:dyDescent="0.25"/>
    <row r="117360" customFormat="1" x14ac:dyDescent="0.25"/>
    <row r="117361" customFormat="1" x14ac:dyDescent="0.25"/>
    <row r="117362" customFormat="1" x14ac:dyDescent="0.25"/>
    <row r="117363" customFormat="1" x14ac:dyDescent="0.25"/>
    <row r="117364" customFormat="1" x14ac:dyDescent="0.25"/>
    <row r="117365" customFormat="1" x14ac:dyDescent="0.25"/>
    <row r="117366" customFormat="1" x14ac:dyDescent="0.25"/>
    <row r="117367" customFormat="1" x14ac:dyDescent="0.25"/>
    <row r="117368" customFormat="1" x14ac:dyDescent="0.25"/>
    <row r="117369" customFormat="1" x14ac:dyDescent="0.25"/>
    <row r="117370" customFormat="1" x14ac:dyDescent="0.25"/>
    <row r="117371" customFormat="1" x14ac:dyDescent="0.25"/>
    <row r="117372" customFormat="1" x14ac:dyDescent="0.25"/>
    <row r="117373" customFormat="1" x14ac:dyDescent="0.25"/>
    <row r="117374" customFormat="1" x14ac:dyDescent="0.25"/>
    <row r="117375" customFormat="1" x14ac:dyDescent="0.25"/>
    <row r="117376" customFormat="1" x14ac:dyDescent="0.25"/>
    <row r="117377" customFormat="1" x14ac:dyDescent="0.25"/>
    <row r="117378" customFormat="1" x14ac:dyDescent="0.25"/>
    <row r="117379" customFormat="1" x14ac:dyDescent="0.25"/>
    <row r="117380" customFormat="1" x14ac:dyDescent="0.25"/>
    <row r="117381" customFormat="1" x14ac:dyDescent="0.25"/>
    <row r="117382" customFormat="1" x14ac:dyDescent="0.25"/>
    <row r="117383" customFormat="1" x14ac:dyDescent="0.25"/>
    <row r="117384" customFormat="1" x14ac:dyDescent="0.25"/>
    <row r="117385" customFormat="1" x14ac:dyDescent="0.25"/>
    <row r="117386" customFormat="1" x14ac:dyDescent="0.25"/>
    <row r="117387" customFormat="1" x14ac:dyDescent="0.25"/>
    <row r="117388" customFormat="1" x14ac:dyDescent="0.25"/>
    <row r="117389" customFormat="1" x14ac:dyDescent="0.25"/>
    <row r="117390" customFormat="1" x14ac:dyDescent="0.25"/>
    <row r="117391" customFormat="1" x14ac:dyDescent="0.25"/>
    <row r="117392" customFormat="1" x14ac:dyDescent="0.25"/>
    <row r="117393" customFormat="1" x14ac:dyDescent="0.25"/>
    <row r="117394" customFormat="1" x14ac:dyDescent="0.25"/>
    <row r="117395" customFormat="1" x14ac:dyDescent="0.25"/>
    <row r="117396" customFormat="1" x14ac:dyDescent="0.25"/>
    <row r="117397" customFormat="1" x14ac:dyDescent="0.25"/>
    <row r="117398" customFormat="1" x14ac:dyDescent="0.25"/>
    <row r="117399" customFormat="1" x14ac:dyDescent="0.25"/>
    <row r="117400" customFormat="1" x14ac:dyDescent="0.25"/>
    <row r="117401" customFormat="1" x14ac:dyDescent="0.25"/>
    <row r="117402" customFormat="1" x14ac:dyDescent="0.25"/>
    <row r="117403" customFormat="1" x14ac:dyDescent="0.25"/>
    <row r="117404" customFormat="1" x14ac:dyDescent="0.25"/>
    <row r="117405" customFormat="1" x14ac:dyDescent="0.25"/>
    <row r="117406" customFormat="1" x14ac:dyDescent="0.25"/>
    <row r="117407" customFormat="1" x14ac:dyDescent="0.25"/>
    <row r="117408" customFormat="1" x14ac:dyDescent="0.25"/>
    <row r="117409" customFormat="1" x14ac:dyDescent="0.25"/>
    <row r="117410" customFormat="1" x14ac:dyDescent="0.25"/>
    <row r="117411" customFormat="1" x14ac:dyDescent="0.25"/>
    <row r="117412" customFormat="1" x14ac:dyDescent="0.25"/>
    <row r="117413" customFormat="1" x14ac:dyDescent="0.25"/>
    <row r="117414" customFormat="1" x14ac:dyDescent="0.25"/>
    <row r="117415" customFormat="1" x14ac:dyDescent="0.25"/>
    <row r="117416" customFormat="1" x14ac:dyDescent="0.25"/>
    <row r="117417" customFormat="1" x14ac:dyDescent="0.25"/>
    <row r="117418" customFormat="1" x14ac:dyDescent="0.25"/>
    <row r="117419" customFormat="1" x14ac:dyDescent="0.25"/>
    <row r="117420" customFormat="1" x14ac:dyDescent="0.25"/>
    <row r="117421" customFormat="1" x14ac:dyDescent="0.25"/>
    <row r="117422" customFormat="1" x14ac:dyDescent="0.25"/>
    <row r="117423" customFormat="1" x14ac:dyDescent="0.25"/>
    <row r="117424" customFormat="1" x14ac:dyDescent="0.25"/>
    <row r="117425" customFormat="1" x14ac:dyDescent="0.25"/>
    <row r="117426" customFormat="1" x14ac:dyDescent="0.25"/>
    <row r="117427" customFormat="1" x14ac:dyDescent="0.25"/>
    <row r="117428" customFormat="1" x14ac:dyDescent="0.25"/>
    <row r="117429" customFormat="1" x14ac:dyDescent="0.25"/>
    <row r="117430" customFormat="1" x14ac:dyDescent="0.25"/>
    <row r="117431" customFormat="1" x14ac:dyDescent="0.25"/>
    <row r="117432" customFormat="1" x14ac:dyDescent="0.25"/>
    <row r="117433" customFormat="1" x14ac:dyDescent="0.25"/>
    <row r="117434" customFormat="1" x14ac:dyDescent="0.25"/>
    <row r="117435" customFormat="1" x14ac:dyDescent="0.25"/>
    <row r="117436" customFormat="1" x14ac:dyDescent="0.25"/>
    <row r="117437" customFormat="1" x14ac:dyDescent="0.25"/>
    <row r="117438" customFormat="1" x14ac:dyDescent="0.25"/>
    <row r="117439" customFormat="1" x14ac:dyDescent="0.25"/>
    <row r="117440" customFormat="1" x14ac:dyDescent="0.25"/>
    <row r="117441" customFormat="1" x14ac:dyDescent="0.25"/>
    <row r="117442" customFormat="1" x14ac:dyDescent="0.25"/>
    <row r="117443" customFormat="1" x14ac:dyDescent="0.25"/>
    <row r="117444" customFormat="1" x14ac:dyDescent="0.25"/>
    <row r="117445" customFormat="1" x14ac:dyDescent="0.25"/>
    <row r="117446" customFormat="1" x14ac:dyDescent="0.25"/>
    <row r="117447" customFormat="1" x14ac:dyDescent="0.25"/>
    <row r="117448" customFormat="1" x14ac:dyDescent="0.25"/>
    <row r="117449" customFormat="1" x14ac:dyDescent="0.25"/>
    <row r="117450" customFormat="1" x14ac:dyDescent="0.25"/>
    <row r="117451" customFormat="1" x14ac:dyDescent="0.25"/>
    <row r="117452" customFormat="1" x14ac:dyDescent="0.25"/>
    <row r="117453" customFormat="1" x14ac:dyDescent="0.25"/>
    <row r="117454" customFormat="1" x14ac:dyDescent="0.25"/>
    <row r="117455" customFormat="1" x14ac:dyDescent="0.25"/>
    <row r="117456" customFormat="1" x14ac:dyDescent="0.25"/>
    <row r="117457" customFormat="1" x14ac:dyDescent="0.25"/>
    <row r="117458" customFormat="1" x14ac:dyDescent="0.25"/>
    <row r="117459" customFormat="1" x14ac:dyDescent="0.25"/>
    <row r="117460" customFormat="1" x14ac:dyDescent="0.25"/>
    <row r="117461" customFormat="1" x14ac:dyDescent="0.25"/>
    <row r="117462" customFormat="1" x14ac:dyDescent="0.25"/>
    <row r="117463" customFormat="1" x14ac:dyDescent="0.25"/>
    <row r="117464" customFormat="1" x14ac:dyDescent="0.25"/>
    <row r="117465" customFormat="1" x14ac:dyDescent="0.25"/>
    <row r="117466" customFormat="1" x14ac:dyDescent="0.25"/>
    <row r="117467" customFormat="1" x14ac:dyDescent="0.25"/>
    <row r="117468" customFormat="1" x14ac:dyDescent="0.25"/>
    <row r="117469" customFormat="1" x14ac:dyDescent="0.25"/>
    <row r="117470" customFormat="1" x14ac:dyDescent="0.25"/>
    <row r="117471" customFormat="1" x14ac:dyDescent="0.25"/>
    <row r="117472" customFormat="1" x14ac:dyDescent="0.25"/>
    <row r="117473" customFormat="1" x14ac:dyDescent="0.25"/>
    <row r="117474" customFormat="1" x14ac:dyDescent="0.25"/>
    <row r="117475" customFormat="1" x14ac:dyDescent="0.25"/>
    <row r="117476" customFormat="1" x14ac:dyDescent="0.25"/>
    <row r="117477" customFormat="1" x14ac:dyDescent="0.25"/>
    <row r="117478" customFormat="1" x14ac:dyDescent="0.25"/>
    <row r="117479" customFormat="1" x14ac:dyDescent="0.25"/>
    <row r="117480" customFormat="1" x14ac:dyDescent="0.25"/>
    <row r="117481" customFormat="1" x14ac:dyDescent="0.25"/>
    <row r="117482" customFormat="1" x14ac:dyDescent="0.25"/>
    <row r="117483" customFormat="1" x14ac:dyDescent="0.25"/>
    <row r="117484" customFormat="1" x14ac:dyDescent="0.25"/>
    <row r="117485" customFormat="1" x14ac:dyDescent="0.25"/>
    <row r="117486" customFormat="1" x14ac:dyDescent="0.25"/>
    <row r="117487" customFormat="1" x14ac:dyDescent="0.25"/>
    <row r="117488" customFormat="1" x14ac:dyDescent="0.25"/>
    <row r="117489" customFormat="1" x14ac:dyDescent="0.25"/>
    <row r="117490" customFormat="1" x14ac:dyDescent="0.25"/>
    <row r="117491" customFormat="1" x14ac:dyDescent="0.25"/>
    <row r="117492" customFormat="1" x14ac:dyDescent="0.25"/>
    <row r="117493" customFormat="1" x14ac:dyDescent="0.25"/>
    <row r="117494" customFormat="1" x14ac:dyDescent="0.25"/>
    <row r="117495" customFormat="1" x14ac:dyDescent="0.25"/>
    <row r="117496" customFormat="1" x14ac:dyDescent="0.25"/>
    <row r="117497" customFormat="1" x14ac:dyDescent="0.25"/>
    <row r="117498" customFormat="1" x14ac:dyDescent="0.25"/>
    <row r="117499" customFormat="1" x14ac:dyDescent="0.25"/>
    <row r="117500" customFormat="1" x14ac:dyDescent="0.25"/>
    <row r="117501" customFormat="1" x14ac:dyDescent="0.25"/>
    <row r="117502" customFormat="1" x14ac:dyDescent="0.25"/>
    <row r="117503" customFormat="1" x14ac:dyDescent="0.25"/>
    <row r="117504" customFormat="1" x14ac:dyDescent="0.25"/>
    <row r="117505" customFormat="1" x14ac:dyDescent="0.25"/>
    <row r="117506" customFormat="1" x14ac:dyDescent="0.25"/>
    <row r="117507" customFormat="1" x14ac:dyDescent="0.25"/>
    <row r="117508" customFormat="1" x14ac:dyDescent="0.25"/>
    <row r="117509" customFormat="1" x14ac:dyDescent="0.25"/>
    <row r="117510" customFormat="1" x14ac:dyDescent="0.25"/>
    <row r="117511" customFormat="1" x14ac:dyDescent="0.25"/>
    <row r="117512" customFormat="1" x14ac:dyDescent="0.25"/>
    <row r="117513" customFormat="1" x14ac:dyDescent="0.25"/>
    <row r="117514" customFormat="1" x14ac:dyDescent="0.25"/>
    <row r="117515" customFormat="1" x14ac:dyDescent="0.25"/>
    <row r="117516" customFormat="1" x14ac:dyDescent="0.25"/>
    <row r="117517" customFormat="1" x14ac:dyDescent="0.25"/>
    <row r="117518" customFormat="1" x14ac:dyDescent="0.25"/>
    <row r="117519" customFormat="1" x14ac:dyDescent="0.25"/>
    <row r="117520" customFormat="1" x14ac:dyDescent="0.25"/>
    <row r="117521" customFormat="1" x14ac:dyDescent="0.25"/>
    <row r="117522" customFormat="1" x14ac:dyDescent="0.25"/>
    <row r="117523" customFormat="1" x14ac:dyDescent="0.25"/>
    <row r="117524" customFormat="1" x14ac:dyDescent="0.25"/>
    <row r="117525" customFormat="1" x14ac:dyDescent="0.25"/>
    <row r="117526" customFormat="1" x14ac:dyDescent="0.25"/>
    <row r="117527" customFormat="1" x14ac:dyDescent="0.25"/>
    <row r="117528" customFormat="1" x14ac:dyDescent="0.25"/>
    <row r="117529" customFormat="1" x14ac:dyDescent="0.25"/>
    <row r="117530" customFormat="1" x14ac:dyDescent="0.25"/>
    <row r="117531" customFormat="1" x14ac:dyDescent="0.25"/>
    <row r="117532" customFormat="1" x14ac:dyDescent="0.25"/>
    <row r="117533" customFormat="1" x14ac:dyDescent="0.25"/>
    <row r="117534" customFormat="1" x14ac:dyDescent="0.25"/>
    <row r="117535" customFormat="1" x14ac:dyDescent="0.25"/>
    <row r="117536" customFormat="1" x14ac:dyDescent="0.25"/>
    <row r="117537" customFormat="1" x14ac:dyDescent="0.25"/>
    <row r="117538" customFormat="1" x14ac:dyDescent="0.25"/>
    <row r="117539" customFormat="1" x14ac:dyDescent="0.25"/>
    <row r="117540" customFormat="1" x14ac:dyDescent="0.25"/>
    <row r="117541" customFormat="1" x14ac:dyDescent="0.25"/>
    <row r="117542" customFormat="1" x14ac:dyDescent="0.25"/>
    <row r="117543" customFormat="1" x14ac:dyDescent="0.25"/>
    <row r="117544" customFormat="1" x14ac:dyDescent="0.25"/>
    <row r="117545" customFormat="1" x14ac:dyDescent="0.25"/>
    <row r="117546" customFormat="1" x14ac:dyDescent="0.25"/>
    <row r="117547" customFormat="1" x14ac:dyDescent="0.25"/>
    <row r="117548" customFormat="1" x14ac:dyDescent="0.25"/>
    <row r="117549" customFormat="1" x14ac:dyDescent="0.25"/>
    <row r="117550" customFormat="1" x14ac:dyDescent="0.25"/>
    <row r="117551" customFormat="1" x14ac:dyDescent="0.25"/>
    <row r="117552" customFormat="1" x14ac:dyDescent="0.25"/>
    <row r="117553" customFormat="1" x14ac:dyDescent="0.25"/>
    <row r="117554" customFormat="1" x14ac:dyDescent="0.25"/>
    <row r="117555" customFormat="1" x14ac:dyDescent="0.25"/>
    <row r="117556" customFormat="1" x14ac:dyDescent="0.25"/>
    <row r="117557" customFormat="1" x14ac:dyDescent="0.25"/>
    <row r="117558" customFormat="1" x14ac:dyDescent="0.25"/>
    <row r="117559" customFormat="1" x14ac:dyDescent="0.25"/>
    <row r="117560" customFormat="1" x14ac:dyDescent="0.25"/>
    <row r="117561" customFormat="1" x14ac:dyDescent="0.25"/>
    <row r="117562" customFormat="1" x14ac:dyDescent="0.25"/>
    <row r="117563" customFormat="1" x14ac:dyDescent="0.25"/>
    <row r="117564" customFormat="1" x14ac:dyDescent="0.25"/>
    <row r="117565" customFormat="1" x14ac:dyDescent="0.25"/>
    <row r="117566" customFormat="1" x14ac:dyDescent="0.25"/>
    <row r="117567" customFormat="1" x14ac:dyDescent="0.25"/>
    <row r="117568" customFormat="1" x14ac:dyDescent="0.25"/>
    <row r="117569" customFormat="1" x14ac:dyDescent="0.25"/>
    <row r="117570" customFormat="1" x14ac:dyDescent="0.25"/>
    <row r="117571" customFormat="1" x14ac:dyDescent="0.25"/>
    <row r="117572" customFormat="1" x14ac:dyDescent="0.25"/>
    <row r="117573" customFormat="1" x14ac:dyDescent="0.25"/>
    <row r="117574" customFormat="1" x14ac:dyDescent="0.25"/>
    <row r="117575" customFormat="1" x14ac:dyDescent="0.25"/>
    <row r="117576" customFormat="1" x14ac:dyDescent="0.25"/>
    <row r="117577" customFormat="1" x14ac:dyDescent="0.25"/>
    <row r="117578" customFormat="1" x14ac:dyDescent="0.25"/>
    <row r="117579" customFormat="1" x14ac:dyDescent="0.25"/>
    <row r="117580" customFormat="1" x14ac:dyDescent="0.25"/>
    <row r="117581" customFormat="1" x14ac:dyDescent="0.25"/>
    <row r="117582" customFormat="1" x14ac:dyDescent="0.25"/>
    <row r="117583" customFormat="1" x14ac:dyDescent="0.25"/>
    <row r="117584" customFormat="1" x14ac:dyDescent="0.25"/>
    <row r="117585" customFormat="1" x14ac:dyDescent="0.25"/>
    <row r="117586" customFormat="1" x14ac:dyDescent="0.25"/>
    <row r="117587" customFormat="1" x14ac:dyDescent="0.25"/>
    <row r="117588" customFormat="1" x14ac:dyDescent="0.25"/>
    <row r="117589" customFormat="1" x14ac:dyDescent="0.25"/>
    <row r="117590" customFormat="1" x14ac:dyDescent="0.25"/>
    <row r="117591" customFormat="1" x14ac:dyDescent="0.25"/>
    <row r="117592" customFormat="1" x14ac:dyDescent="0.25"/>
    <row r="117593" customFormat="1" x14ac:dyDescent="0.25"/>
    <row r="117594" customFormat="1" x14ac:dyDescent="0.25"/>
    <row r="117595" customFormat="1" x14ac:dyDescent="0.25"/>
    <row r="117596" customFormat="1" x14ac:dyDescent="0.25"/>
    <row r="117597" customFormat="1" x14ac:dyDescent="0.25"/>
    <row r="117598" customFormat="1" x14ac:dyDescent="0.25"/>
    <row r="117599" customFormat="1" x14ac:dyDescent="0.25"/>
    <row r="117600" customFormat="1" x14ac:dyDescent="0.25"/>
    <row r="117601" customFormat="1" x14ac:dyDescent="0.25"/>
    <row r="117602" customFormat="1" x14ac:dyDescent="0.25"/>
    <row r="117603" customFormat="1" x14ac:dyDescent="0.25"/>
    <row r="117604" customFormat="1" x14ac:dyDescent="0.25"/>
    <row r="117605" customFormat="1" x14ac:dyDescent="0.25"/>
    <row r="117606" customFormat="1" x14ac:dyDescent="0.25"/>
    <row r="117607" customFormat="1" x14ac:dyDescent="0.25"/>
    <row r="117608" customFormat="1" x14ac:dyDescent="0.25"/>
    <row r="117609" customFormat="1" x14ac:dyDescent="0.25"/>
    <row r="117610" customFormat="1" x14ac:dyDescent="0.25"/>
    <row r="117611" customFormat="1" x14ac:dyDescent="0.25"/>
    <row r="117612" customFormat="1" x14ac:dyDescent="0.25"/>
    <row r="117613" customFormat="1" x14ac:dyDescent="0.25"/>
    <row r="117614" customFormat="1" x14ac:dyDescent="0.25"/>
    <row r="117615" customFormat="1" x14ac:dyDescent="0.25"/>
    <row r="117616" customFormat="1" x14ac:dyDescent="0.25"/>
    <row r="117617" customFormat="1" x14ac:dyDescent="0.25"/>
    <row r="117618" customFormat="1" x14ac:dyDescent="0.25"/>
    <row r="117619" customFormat="1" x14ac:dyDescent="0.25"/>
    <row r="117620" customFormat="1" x14ac:dyDescent="0.25"/>
    <row r="117621" customFormat="1" x14ac:dyDescent="0.25"/>
    <row r="117622" customFormat="1" x14ac:dyDescent="0.25"/>
    <row r="117623" customFormat="1" x14ac:dyDescent="0.25"/>
    <row r="117624" customFormat="1" x14ac:dyDescent="0.25"/>
    <row r="117625" customFormat="1" x14ac:dyDescent="0.25"/>
    <row r="117626" customFormat="1" x14ac:dyDescent="0.25"/>
    <row r="117627" customFormat="1" x14ac:dyDescent="0.25"/>
    <row r="117628" customFormat="1" x14ac:dyDescent="0.25"/>
    <row r="117629" customFormat="1" x14ac:dyDescent="0.25"/>
    <row r="117630" customFormat="1" x14ac:dyDescent="0.25"/>
    <row r="117631" customFormat="1" x14ac:dyDescent="0.25"/>
    <row r="117632" customFormat="1" x14ac:dyDescent="0.25"/>
    <row r="117633" customFormat="1" x14ac:dyDescent="0.25"/>
    <row r="117634" customFormat="1" x14ac:dyDescent="0.25"/>
    <row r="117635" customFormat="1" x14ac:dyDescent="0.25"/>
    <row r="117636" customFormat="1" x14ac:dyDescent="0.25"/>
    <row r="117637" customFormat="1" x14ac:dyDescent="0.25"/>
    <row r="117638" customFormat="1" x14ac:dyDescent="0.25"/>
    <row r="117639" customFormat="1" x14ac:dyDescent="0.25"/>
    <row r="117640" customFormat="1" x14ac:dyDescent="0.25"/>
    <row r="117641" customFormat="1" x14ac:dyDescent="0.25"/>
    <row r="117642" customFormat="1" x14ac:dyDescent="0.25"/>
    <row r="117643" customFormat="1" x14ac:dyDescent="0.25"/>
    <row r="117644" customFormat="1" x14ac:dyDescent="0.25"/>
    <row r="117645" customFormat="1" x14ac:dyDescent="0.25"/>
    <row r="117646" customFormat="1" x14ac:dyDescent="0.25"/>
    <row r="117647" customFormat="1" x14ac:dyDescent="0.25"/>
    <row r="117648" customFormat="1" x14ac:dyDescent="0.25"/>
    <row r="117649" customFormat="1" x14ac:dyDescent="0.25"/>
    <row r="117650" customFormat="1" x14ac:dyDescent="0.25"/>
    <row r="117651" customFormat="1" x14ac:dyDescent="0.25"/>
    <row r="117652" customFormat="1" x14ac:dyDescent="0.25"/>
    <row r="117653" customFormat="1" x14ac:dyDescent="0.25"/>
    <row r="117654" customFormat="1" x14ac:dyDescent="0.25"/>
    <row r="117655" customFormat="1" x14ac:dyDescent="0.25"/>
    <row r="117656" customFormat="1" x14ac:dyDescent="0.25"/>
    <row r="117657" customFormat="1" x14ac:dyDescent="0.25"/>
    <row r="117658" customFormat="1" x14ac:dyDescent="0.25"/>
    <row r="117659" customFormat="1" x14ac:dyDescent="0.25"/>
    <row r="117660" customFormat="1" x14ac:dyDescent="0.25"/>
    <row r="117661" customFormat="1" x14ac:dyDescent="0.25"/>
    <row r="117662" customFormat="1" x14ac:dyDescent="0.25"/>
    <row r="117663" customFormat="1" x14ac:dyDescent="0.25"/>
    <row r="117664" customFormat="1" x14ac:dyDescent="0.25"/>
    <row r="117665" customFormat="1" x14ac:dyDescent="0.25"/>
    <row r="117666" customFormat="1" x14ac:dyDescent="0.25"/>
    <row r="117667" customFormat="1" x14ac:dyDescent="0.25"/>
    <row r="117668" customFormat="1" x14ac:dyDescent="0.25"/>
    <row r="117669" customFormat="1" x14ac:dyDescent="0.25"/>
    <row r="117670" customFormat="1" x14ac:dyDescent="0.25"/>
    <row r="117671" customFormat="1" x14ac:dyDescent="0.25"/>
    <row r="117672" customFormat="1" x14ac:dyDescent="0.25"/>
    <row r="117673" customFormat="1" x14ac:dyDescent="0.25"/>
    <row r="117674" customFormat="1" x14ac:dyDescent="0.25"/>
    <row r="117675" customFormat="1" x14ac:dyDescent="0.25"/>
    <row r="117676" customFormat="1" x14ac:dyDescent="0.25"/>
    <row r="117677" customFormat="1" x14ac:dyDescent="0.25"/>
    <row r="117678" customFormat="1" x14ac:dyDescent="0.25"/>
    <row r="117679" customFormat="1" x14ac:dyDescent="0.25"/>
    <row r="117680" customFormat="1" x14ac:dyDescent="0.25"/>
    <row r="117681" customFormat="1" x14ac:dyDescent="0.25"/>
    <row r="117682" customFormat="1" x14ac:dyDescent="0.25"/>
    <row r="117683" customFormat="1" x14ac:dyDescent="0.25"/>
    <row r="117684" customFormat="1" x14ac:dyDescent="0.25"/>
    <row r="117685" customFormat="1" x14ac:dyDescent="0.25"/>
    <row r="117686" customFormat="1" x14ac:dyDescent="0.25"/>
    <row r="117687" customFormat="1" x14ac:dyDescent="0.25"/>
    <row r="117688" customFormat="1" x14ac:dyDescent="0.25"/>
    <row r="117689" customFormat="1" x14ac:dyDescent="0.25"/>
    <row r="117690" customFormat="1" x14ac:dyDescent="0.25"/>
    <row r="117691" customFormat="1" x14ac:dyDescent="0.25"/>
    <row r="117692" customFormat="1" x14ac:dyDescent="0.25"/>
    <row r="117693" customFormat="1" x14ac:dyDescent="0.25"/>
    <row r="117694" customFormat="1" x14ac:dyDescent="0.25"/>
    <row r="117695" customFormat="1" x14ac:dyDescent="0.25"/>
    <row r="117696" customFormat="1" x14ac:dyDescent="0.25"/>
    <row r="117697" customFormat="1" x14ac:dyDescent="0.25"/>
    <row r="117698" customFormat="1" x14ac:dyDescent="0.25"/>
    <row r="117699" customFormat="1" x14ac:dyDescent="0.25"/>
    <row r="117700" customFormat="1" x14ac:dyDescent="0.25"/>
    <row r="117701" customFormat="1" x14ac:dyDescent="0.25"/>
    <row r="117702" customFormat="1" x14ac:dyDescent="0.25"/>
    <row r="117703" customFormat="1" x14ac:dyDescent="0.25"/>
    <row r="117704" customFormat="1" x14ac:dyDescent="0.25"/>
    <row r="117705" customFormat="1" x14ac:dyDescent="0.25"/>
    <row r="117706" customFormat="1" x14ac:dyDescent="0.25"/>
    <row r="117707" customFormat="1" x14ac:dyDescent="0.25"/>
    <row r="117708" customFormat="1" x14ac:dyDescent="0.25"/>
    <row r="117709" customFormat="1" x14ac:dyDescent="0.25"/>
    <row r="117710" customFormat="1" x14ac:dyDescent="0.25"/>
    <row r="117711" customFormat="1" x14ac:dyDescent="0.25"/>
    <row r="117712" customFormat="1" x14ac:dyDescent="0.25"/>
    <row r="117713" customFormat="1" x14ac:dyDescent="0.25"/>
    <row r="117714" customFormat="1" x14ac:dyDescent="0.25"/>
    <row r="117715" customFormat="1" x14ac:dyDescent="0.25"/>
    <row r="117716" customFormat="1" x14ac:dyDescent="0.25"/>
    <row r="117717" customFormat="1" x14ac:dyDescent="0.25"/>
    <row r="117718" customFormat="1" x14ac:dyDescent="0.25"/>
    <row r="117719" customFormat="1" x14ac:dyDescent="0.25"/>
    <row r="117720" customFormat="1" x14ac:dyDescent="0.25"/>
    <row r="117721" customFormat="1" x14ac:dyDescent="0.25"/>
    <row r="117722" customFormat="1" x14ac:dyDescent="0.25"/>
    <row r="117723" customFormat="1" x14ac:dyDescent="0.25"/>
    <row r="117724" customFormat="1" x14ac:dyDescent="0.25"/>
    <row r="117725" customFormat="1" x14ac:dyDescent="0.25"/>
    <row r="117726" customFormat="1" x14ac:dyDescent="0.25"/>
    <row r="117727" customFormat="1" x14ac:dyDescent="0.25"/>
    <row r="117728" customFormat="1" x14ac:dyDescent="0.25"/>
    <row r="117729" customFormat="1" x14ac:dyDescent="0.25"/>
    <row r="117730" customFormat="1" x14ac:dyDescent="0.25"/>
    <row r="117731" customFormat="1" x14ac:dyDescent="0.25"/>
    <row r="117732" customFormat="1" x14ac:dyDescent="0.25"/>
    <row r="117733" customFormat="1" x14ac:dyDescent="0.25"/>
    <row r="117734" customFormat="1" x14ac:dyDescent="0.25"/>
    <row r="117735" customFormat="1" x14ac:dyDescent="0.25"/>
    <row r="117736" customFormat="1" x14ac:dyDescent="0.25"/>
    <row r="117737" customFormat="1" x14ac:dyDescent="0.25"/>
    <row r="117738" customFormat="1" x14ac:dyDescent="0.25"/>
    <row r="117739" customFormat="1" x14ac:dyDescent="0.25"/>
    <row r="117740" customFormat="1" x14ac:dyDescent="0.25"/>
    <row r="117741" customFormat="1" x14ac:dyDescent="0.25"/>
    <row r="117742" customFormat="1" x14ac:dyDescent="0.25"/>
    <row r="117743" customFormat="1" x14ac:dyDescent="0.25"/>
    <row r="117744" customFormat="1" x14ac:dyDescent="0.25"/>
    <row r="117745" customFormat="1" x14ac:dyDescent="0.25"/>
    <row r="117746" customFormat="1" x14ac:dyDescent="0.25"/>
    <row r="117747" customFormat="1" x14ac:dyDescent="0.25"/>
    <row r="117748" customFormat="1" x14ac:dyDescent="0.25"/>
    <row r="117749" customFormat="1" x14ac:dyDescent="0.25"/>
    <row r="117750" customFormat="1" x14ac:dyDescent="0.25"/>
    <row r="117751" customFormat="1" x14ac:dyDescent="0.25"/>
    <row r="117752" customFormat="1" x14ac:dyDescent="0.25"/>
    <row r="117753" customFormat="1" x14ac:dyDescent="0.25"/>
    <row r="117754" customFormat="1" x14ac:dyDescent="0.25"/>
    <row r="117755" customFormat="1" x14ac:dyDescent="0.25"/>
    <row r="117756" customFormat="1" x14ac:dyDescent="0.25"/>
    <row r="117757" customFormat="1" x14ac:dyDescent="0.25"/>
    <row r="117758" customFormat="1" x14ac:dyDescent="0.25"/>
    <row r="117759" customFormat="1" x14ac:dyDescent="0.25"/>
    <row r="117760" customFormat="1" x14ac:dyDescent="0.25"/>
    <row r="117761" customFormat="1" x14ac:dyDescent="0.25"/>
    <row r="117762" customFormat="1" x14ac:dyDescent="0.25"/>
    <row r="117763" customFormat="1" x14ac:dyDescent="0.25"/>
    <row r="117764" customFormat="1" x14ac:dyDescent="0.25"/>
    <row r="117765" customFormat="1" x14ac:dyDescent="0.25"/>
    <row r="117766" customFormat="1" x14ac:dyDescent="0.25"/>
    <row r="117767" customFormat="1" x14ac:dyDescent="0.25"/>
    <row r="117768" customFormat="1" x14ac:dyDescent="0.25"/>
    <row r="117769" customFormat="1" x14ac:dyDescent="0.25"/>
    <row r="117770" customFormat="1" x14ac:dyDescent="0.25"/>
    <row r="117771" customFormat="1" x14ac:dyDescent="0.25"/>
    <row r="117772" customFormat="1" x14ac:dyDescent="0.25"/>
    <row r="117773" customFormat="1" x14ac:dyDescent="0.25"/>
    <row r="117774" customFormat="1" x14ac:dyDescent="0.25"/>
    <row r="117775" customFormat="1" x14ac:dyDescent="0.25"/>
    <row r="117776" customFormat="1" x14ac:dyDescent="0.25"/>
    <row r="117777" customFormat="1" x14ac:dyDescent="0.25"/>
    <row r="117778" customFormat="1" x14ac:dyDescent="0.25"/>
    <row r="117779" customFormat="1" x14ac:dyDescent="0.25"/>
    <row r="117780" customFormat="1" x14ac:dyDescent="0.25"/>
    <row r="117781" customFormat="1" x14ac:dyDescent="0.25"/>
    <row r="117782" customFormat="1" x14ac:dyDescent="0.25"/>
    <row r="117783" customFormat="1" x14ac:dyDescent="0.25"/>
    <row r="117784" customFormat="1" x14ac:dyDescent="0.25"/>
    <row r="117785" customFormat="1" x14ac:dyDescent="0.25"/>
    <row r="117786" customFormat="1" x14ac:dyDescent="0.25"/>
    <row r="117787" customFormat="1" x14ac:dyDescent="0.25"/>
    <row r="117788" customFormat="1" x14ac:dyDescent="0.25"/>
    <row r="117789" customFormat="1" x14ac:dyDescent="0.25"/>
    <row r="117790" customFormat="1" x14ac:dyDescent="0.25"/>
    <row r="117791" customFormat="1" x14ac:dyDescent="0.25"/>
    <row r="117792" customFormat="1" x14ac:dyDescent="0.25"/>
    <row r="117793" customFormat="1" x14ac:dyDescent="0.25"/>
    <row r="117794" customFormat="1" x14ac:dyDescent="0.25"/>
    <row r="117795" customFormat="1" x14ac:dyDescent="0.25"/>
    <row r="117796" customFormat="1" x14ac:dyDescent="0.25"/>
    <row r="117797" customFormat="1" x14ac:dyDescent="0.25"/>
    <row r="117798" customFormat="1" x14ac:dyDescent="0.25"/>
    <row r="117799" customFormat="1" x14ac:dyDescent="0.25"/>
    <row r="117800" customFormat="1" x14ac:dyDescent="0.25"/>
    <row r="117801" customFormat="1" x14ac:dyDescent="0.25"/>
    <row r="117802" customFormat="1" x14ac:dyDescent="0.25"/>
    <row r="117803" customFormat="1" x14ac:dyDescent="0.25"/>
    <row r="117804" customFormat="1" x14ac:dyDescent="0.25"/>
    <row r="117805" customFormat="1" x14ac:dyDescent="0.25"/>
    <row r="117806" customFormat="1" x14ac:dyDescent="0.25"/>
    <row r="117807" customFormat="1" x14ac:dyDescent="0.25"/>
    <row r="117808" customFormat="1" x14ac:dyDescent="0.25"/>
    <row r="117809" customFormat="1" x14ac:dyDescent="0.25"/>
    <row r="117810" customFormat="1" x14ac:dyDescent="0.25"/>
    <row r="117811" customFormat="1" x14ac:dyDescent="0.25"/>
    <row r="117812" customFormat="1" x14ac:dyDescent="0.25"/>
    <row r="117813" customFormat="1" x14ac:dyDescent="0.25"/>
    <row r="117814" customFormat="1" x14ac:dyDescent="0.25"/>
    <row r="117815" customFormat="1" x14ac:dyDescent="0.25"/>
    <row r="117816" customFormat="1" x14ac:dyDescent="0.25"/>
    <row r="117817" customFormat="1" x14ac:dyDescent="0.25"/>
    <row r="117818" customFormat="1" x14ac:dyDescent="0.25"/>
    <row r="117819" customFormat="1" x14ac:dyDescent="0.25"/>
    <row r="117820" customFormat="1" x14ac:dyDescent="0.25"/>
    <row r="117821" customFormat="1" x14ac:dyDescent="0.25"/>
    <row r="117822" customFormat="1" x14ac:dyDescent="0.25"/>
    <row r="117823" customFormat="1" x14ac:dyDescent="0.25"/>
    <row r="117824" customFormat="1" x14ac:dyDescent="0.25"/>
    <row r="117825" customFormat="1" x14ac:dyDescent="0.25"/>
    <row r="117826" customFormat="1" x14ac:dyDescent="0.25"/>
    <row r="117827" customFormat="1" x14ac:dyDescent="0.25"/>
    <row r="117828" customFormat="1" x14ac:dyDescent="0.25"/>
    <row r="117829" customFormat="1" x14ac:dyDescent="0.25"/>
    <row r="117830" customFormat="1" x14ac:dyDescent="0.25"/>
    <row r="117831" customFormat="1" x14ac:dyDescent="0.25"/>
    <row r="117832" customFormat="1" x14ac:dyDescent="0.25"/>
    <row r="117833" customFormat="1" x14ac:dyDescent="0.25"/>
    <row r="117834" customFormat="1" x14ac:dyDescent="0.25"/>
    <row r="117835" customFormat="1" x14ac:dyDescent="0.25"/>
    <row r="117836" customFormat="1" x14ac:dyDescent="0.25"/>
    <row r="117837" customFormat="1" x14ac:dyDescent="0.25"/>
    <row r="117838" customFormat="1" x14ac:dyDescent="0.25"/>
    <row r="117839" customFormat="1" x14ac:dyDescent="0.25"/>
    <row r="117840" customFormat="1" x14ac:dyDescent="0.25"/>
    <row r="117841" customFormat="1" x14ac:dyDescent="0.25"/>
    <row r="117842" customFormat="1" x14ac:dyDescent="0.25"/>
    <row r="117843" customFormat="1" x14ac:dyDescent="0.25"/>
    <row r="117844" customFormat="1" x14ac:dyDescent="0.25"/>
    <row r="117845" customFormat="1" x14ac:dyDescent="0.25"/>
    <row r="117846" customFormat="1" x14ac:dyDescent="0.25"/>
    <row r="117847" customFormat="1" x14ac:dyDescent="0.25"/>
    <row r="117848" customFormat="1" x14ac:dyDescent="0.25"/>
    <row r="117849" customFormat="1" x14ac:dyDescent="0.25"/>
    <row r="117850" customFormat="1" x14ac:dyDescent="0.25"/>
    <row r="117851" customFormat="1" x14ac:dyDescent="0.25"/>
    <row r="117852" customFormat="1" x14ac:dyDescent="0.25"/>
    <row r="117853" customFormat="1" x14ac:dyDescent="0.25"/>
    <row r="117854" customFormat="1" x14ac:dyDescent="0.25"/>
    <row r="117855" customFormat="1" x14ac:dyDescent="0.25"/>
    <row r="117856" customFormat="1" x14ac:dyDescent="0.25"/>
    <row r="117857" customFormat="1" x14ac:dyDescent="0.25"/>
    <row r="117858" customFormat="1" x14ac:dyDescent="0.25"/>
    <row r="117859" customFormat="1" x14ac:dyDescent="0.25"/>
    <row r="117860" customFormat="1" x14ac:dyDescent="0.25"/>
    <row r="117861" customFormat="1" x14ac:dyDescent="0.25"/>
    <row r="117862" customFormat="1" x14ac:dyDescent="0.25"/>
    <row r="117863" customFormat="1" x14ac:dyDescent="0.25"/>
    <row r="117864" customFormat="1" x14ac:dyDescent="0.25"/>
    <row r="117865" customFormat="1" x14ac:dyDescent="0.25"/>
    <row r="117866" customFormat="1" x14ac:dyDescent="0.25"/>
    <row r="117867" customFormat="1" x14ac:dyDescent="0.25"/>
    <row r="117868" customFormat="1" x14ac:dyDescent="0.25"/>
    <row r="117869" customFormat="1" x14ac:dyDescent="0.25"/>
    <row r="117870" customFormat="1" x14ac:dyDescent="0.25"/>
    <row r="117871" customFormat="1" x14ac:dyDescent="0.25"/>
    <row r="117872" customFormat="1" x14ac:dyDescent="0.25"/>
    <row r="117873" customFormat="1" x14ac:dyDescent="0.25"/>
    <row r="117874" customFormat="1" x14ac:dyDescent="0.25"/>
    <row r="117875" customFormat="1" x14ac:dyDescent="0.25"/>
    <row r="117876" customFormat="1" x14ac:dyDescent="0.25"/>
    <row r="117877" customFormat="1" x14ac:dyDescent="0.25"/>
    <row r="117878" customFormat="1" x14ac:dyDescent="0.25"/>
    <row r="117879" customFormat="1" x14ac:dyDescent="0.25"/>
    <row r="117880" customFormat="1" x14ac:dyDescent="0.25"/>
    <row r="117881" customFormat="1" x14ac:dyDescent="0.25"/>
    <row r="117882" customFormat="1" x14ac:dyDescent="0.25"/>
    <row r="117883" customFormat="1" x14ac:dyDescent="0.25"/>
    <row r="117884" customFormat="1" x14ac:dyDescent="0.25"/>
    <row r="117885" customFormat="1" x14ac:dyDescent="0.25"/>
    <row r="117886" customFormat="1" x14ac:dyDescent="0.25"/>
    <row r="117887" customFormat="1" x14ac:dyDescent="0.25"/>
    <row r="117888" customFormat="1" x14ac:dyDescent="0.25"/>
    <row r="117889" customFormat="1" x14ac:dyDescent="0.25"/>
    <row r="117890" customFormat="1" x14ac:dyDescent="0.25"/>
    <row r="117891" customFormat="1" x14ac:dyDescent="0.25"/>
    <row r="117892" customFormat="1" x14ac:dyDescent="0.25"/>
    <row r="117893" customFormat="1" x14ac:dyDescent="0.25"/>
    <row r="117894" customFormat="1" x14ac:dyDescent="0.25"/>
    <row r="117895" customFormat="1" x14ac:dyDescent="0.25"/>
    <row r="117896" customFormat="1" x14ac:dyDescent="0.25"/>
    <row r="117897" customFormat="1" x14ac:dyDescent="0.25"/>
    <row r="117898" customFormat="1" x14ac:dyDescent="0.25"/>
    <row r="117899" customFormat="1" x14ac:dyDescent="0.25"/>
    <row r="117900" customFormat="1" x14ac:dyDescent="0.25"/>
    <row r="117901" customFormat="1" x14ac:dyDescent="0.25"/>
    <row r="117902" customFormat="1" x14ac:dyDescent="0.25"/>
    <row r="117903" customFormat="1" x14ac:dyDescent="0.25"/>
    <row r="117904" customFormat="1" x14ac:dyDescent="0.25"/>
    <row r="117905" customFormat="1" x14ac:dyDescent="0.25"/>
    <row r="117906" customFormat="1" x14ac:dyDescent="0.25"/>
    <row r="117907" customFormat="1" x14ac:dyDescent="0.25"/>
    <row r="117908" customFormat="1" x14ac:dyDescent="0.25"/>
    <row r="117909" customFormat="1" x14ac:dyDescent="0.25"/>
    <row r="117910" customFormat="1" x14ac:dyDescent="0.25"/>
    <row r="117911" customFormat="1" x14ac:dyDescent="0.25"/>
    <row r="117912" customFormat="1" x14ac:dyDescent="0.25"/>
    <row r="117913" customFormat="1" x14ac:dyDescent="0.25"/>
    <row r="117914" customFormat="1" x14ac:dyDescent="0.25"/>
    <row r="117915" customFormat="1" x14ac:dyDescent="0.25"/>
    <row r="117916" customFormat="1" x14ac:dyDescent="0.25"/>
    <row r="117917" customFormat="1" x14ac:dyDescent="0.25"/>
    <row r="117918" customFormat="1" x14ac:dyDescent="0.25"/>
    <row r="117919" customFormat="1" x14ac:dyDescent="0.25"/>
    <row r="117920" customFormat="1" x14ac:dyDescent="0.25"/>
    <row r="117921" customFormat="1" x14ac:dyDescent="0.25"/>
    <row r="117922" customFormat="1" x14ac:dyDescent="0.25"/>
    <row r="117923" customFormat="1" x14ac:dyDescent="0.25"/>
    <row r="117924" customFormat="1" x14ac:dyDescent="0.25"/>
    <row r="117925" customFormat="1" x14ac:dyDescent="0.25"/>
    <row r="117926" customFormat="1" x14ac:dyDescent="0.25"/>
    <row r="117927" customFormat="1" x14ac:dyDescent="0.25"/>
    <row r="117928" customFormat="1" x14ac:dyDescent="0.25"/>
    <row r="117929" customFormat="1" x14ac:dyDescent="0.25"/>
    <row r="117930" customFormat="1" x14ac:dyDescent="0.25"/>
    <row r="117931" customFormat="1" x14ac:dyDescent="0.25"/>
    <row r="117932" customFormat="1" x14ac:dyDescent="0.25"/>
    <row r="117933" customFormat="1" x14ac:dyDescent="0.25"/>
    <row r="117934" customFormat="1" x14ac:dyDescent="0.25"/>
    <row r="117935" customFormat="1" x14ac:dyDescent="0.25"/>
    <row r="117936" customFormat="1" x14ac:dyDescent="0.25"/>
    <row r="117937" customFormat="1" x14ac:dyDescent="0.25"/>
    <row r="117938" customFormat="1" x14ac:dyDescent="0.25"/>
    <row r="117939" customFormat="1" x14ac:dyDescent="0.25"/>
    <row r="117940" customFormat="1" x14ac:dyDescent="0.25"/>
    <row r="117941" customFormat="1" x14ac:dyDescent="0.25"/>
    <row r="117942" customFormat="1" x14ac:dyDescent="0.25"/>
    <row r="117943" customFormat="1" x14ac:dyDescent="0.25"/>
    <row r="117944" customFormat="1" x14ac:dyDescent="0.25"/>
    <row r="117945" customFormat="1" x14ac:dyDescent="0.25"/>
    <row r="117946" customFormat="1" x14ac:dyDescent="0.25"/>
    <row r="117947" customFormat="1" x14ac:dyDescent="0.25"/>
    <row r="117948" customFormat="1" x14ac:dyDescent="0.25"/>
    <row r="117949" customFormat="1" x14ac:dyDescent="0.25"/>
    <row r="117950" customFormat="1" x14ac:dyDescent="0.25"/>
    <row r="117951" customFormat="1" x14ac:dyDescent="0.25"/>
    <row r="117952" customFormat="1" x14ac:dyDescent="0.25"/>
    <row r="117953" customFormat="1" x14ac:dyDescent="0.25"/>
    <row r="117954" customFormat="1" x14ac:dyDescent="0.25"/>
    <row r="117955" customFormat="1" x14ac:dyDescent="0.25"/>
    <row r="117956" customFormat="1" x14ac:dyDescent="0.25"/>
    <row r="117957" customFormat="1" x14ac:dyDescent="0.25"/>
    <row r="117958" customFormat="1" x14ac:dyDescent="0.25"/>
    <row r="117959" customFormat="1" x14ac:dyDescent="0.25"/>
    <row r="117960" customFormat="1" x14ac:dyDescent="0.25"/>
    <row r="117961" customFormat="1" x14ac:dyDescent="0.25"/>
    <row r="117962" customFormat="1" x14ac:dyDescent="0.25"/>
    <row r="117963" customFormat="1" x14ac:dyDescent="0.25"/>
    <row r="117964" customFormat="1" x14ac:dyDescent="0.25"/>
    <row r="117965" customFormat="1" x14ac:dyDescent="0.25"/>
    <row r="117966" customFormat="1" x14ac:dyDescent="0.25"/>
    <row r="117967" customFormat="1" x14ac:dyDescent="0.25"/>
    <row r="117968" customFormat="1" x14ac:dyDescent="0.25"/>
    <row r="117969" customFormat="1" x14ac:dyDescent="0.25"/>
    <row r="117970" customFormat="1" x14ac:dyDescent="0.25"/>
    <row r="117971" customFormat="1" x14ac:dyDescent="0.25"/>
    <row r="117972" customFormat="1" x14ac:dyDescent="0.25"/>
    <row r="117973" customFormat="1" x14ac:dyDescent="0.25"/>
    <row r="117974" customFormat="1" x14ac:dyDescent="0.25"/>
    <row r="117975" customFormat="1" x14ac:dyDescent="0.25"/>
    <row r="117976" customFormat="1" x14ac:dyDescent="0.25"/>
    <row r="117977" customFormat="1" x14ac:dyDescent="0.25"/>
    <row r="117978" customFormat="1" x14ac:dyDescent="0.25"/>
    <row r="117979" customFormat="1" x14ac:dyDescent="0.25"/>
    <row r="117980" customFormat="1" x14ac:dyDescent="0.25"/>
    <row r="117981" customFormat="1" x14ac:dyDescent="0.25"/>
    <row r="117982" customFormat="1" x14ac:dyDescent="0.25"/>
    <row r="117983" customFormat="1" x14ac:dyDescent="0.25"/>
    <row r="117984" customFormat="1" x14ac:dyDescent="0.25"/>
    <row r="117985" customFormat="1" x14ac:dyDescent="0.25"/>
    <row r="117986" customFormat="1" x14ac:dyDescent="0.25"/>
    <row r="117987" customFormat="1" x14ac:dyDescent="0.25"/>
    <row r="117988" customFormat="1" x14ac:dyDescent="0.25"/>
    <row r="117989" customFormat="1" x14ac:dyDescent="0.25"/>
    <row r="117990" customFormat="1" x14ac:dyDescent="0.25"/>
    <row r="117991" customFormat="1" x14ac:dyDescent="0.25"/>
    <row r="117992" customFormat="1" x14ac:dyDescent="0.25"/>
    <row r="117993" customFormat="1" x14ac:dyDescent="0.25"/>
    <row r="117994" customFormat="1" x14ac:dyDescent="0.25"/>
    <row r="117995" customFormat="1" x14ac:dyDescent="0.25"/>
    <row r="117996" customFormat="1" x14ac:dyDescent="0.25"/>
    <row r="117997" customFormat="1" x14ac:dyDescent="0.25"/>
    <row r="117998" customFormat="1" x14ac:dyDescent="0.25"/>
    <row r="117999" customFormat="1" x14ac:dyDescent="0.25"/>
    <row r="118000" customFormat="1" x14ac:dyDescent="0.25"/>
    <row r="118001" customFormat="1" x14ac:dyDescent="0.25"/>
    <row r="118002" customFormat="1" x14ac:dyDescent="0.25"/>
    <row r="118003" customFormat="1" x14ac:dyDescent="0.25"/>
    <row r="118004" customFormat="1" x14ac:dyDescent="0.25"/>
    <row r="118005" customFormat="1" x14ac:dyDescent="0.25"/>
    <row r="118006" customFormat="1" x14ac:dyDescent="0.25"/>
    <row r="118007" customFormat="1" x14ac:dyDescent="0.25"/>
    <row r="118008" customFormat="1" x14ac:dyDescent="0.25"/>
    <row r="118009" customFormat="1" x14ac:dyDescent="0.25"/>
    <row r="118010" customFormat="1" x14ac:dyDescent="0.25"/>
    <row r="118011" customFormat="1" x14ac:dyDescent="0.25"/>
    <row r="118012" customFormat="1" x14ac:dyDescent="0.25"/>
    <row r="118013" customFormat="1" x14ac:dyDescent="0.25"/>
    <row r="118014" customFormat="1" x14ac:dyDescent="0.25"/>
    <row r="118015" customFormat="1" x14ac:dyDescent="0.25"/>
    <row r="118016" customFormat="1" x14ac:dyDescent="0.25"/>
    <row r="118017" customFormat="1" x14ac:dyDescent="0.25"/>
    <row r="118018" customFormat="1" x14ac:dyDescent="0.25"/>
    <row r="118019" customFormat="1" x14ac:dyDescent="0.25"/>
    <row r="118020" customFormat="1" x14ac:dyDescent="0.25"/>
    <row r="118021" customFormat="1" x14ac:dyDescent="0.25"/>
    <row r="118022" customFormat="1" x14ac:dyDescent="0.25"/>
    <row r="118023" customFormat="1" x14ac:dyDescent="0.25"/>
    <row r="118024" customFormat="1" x14ac:dyDescent="0.25"/>
    <row r="118025" customFormat="1" x14ac:dyDescent="0.25"/>
    <row r="118026" customFormat="1" x14ac:dyDescent="0.25"/>
    <row r="118027" customFormat="1" x14ac:dyDescent="0.25"/>
    <row r="118028" customFormat="1" x14ac:dyDescent="0.25"/>
    <row r="118029" customFormat="1" x14ac:dyDescent="0.25"/>
    <row r="118030" customFormat="1" x14ac:dyDescent="0.25"/>
    <row r="118031" customFormat="1" x14ac:dyDescent="0.25"/>
    <row r="118032" customFormat="1" x14ac:dyDescent="0.25"/>
    <row r="118033" customFormat="1" x14ac:dyDescent="0.25"/>
    <row r="118034" customFormat="1" x14ac:dyDescent="0.25"/>
    <row r="118035" customFormat="1" x14ac:dyDescent="0.25"/>
    <row r="118036" customFormat="1" x14ac:dyDescent="0.25"/>
    <row r="118037" customFormat="1" x14ac:dyDescent="0.25"/>
    <row r="118038" customFormat="1" x14ac:dyDescent="0.25"/>
    <row r="118039" customFormat="1" x14ac:dyDescent="0.25"/>
    <row r="118040" customFormat="1" x14ac:dyDescent="0.25"/>
    <row r="118041" customFormat="1" x14ac:dyDescent="0.25"/>
    <row r="118042" customFormat="1" x14ac:dyDescent="0.25"/>
    <row r="118043" customFormat="1" x14ac:dyDescent="0.25"/>
    <row r="118044" customFormat="1" x14ac:dyDescent="0.25"/>
    <row r="118045" customFormat="1" x14ac:dyDescent="0.25"/>
    <row r="118046" customFormat="1" x14ac:dyDescent="0.25"/>
    <row r="118047" customFormat="1" x14ac:dyDescent="0.25"/>
    <row r="118048" customFormat="1" x14ac:dyDescent="0.25"/>
    <row r="118049" customFormat="1" x14ac:dyDescent="0.25"/>
    <row r="118050" customFormat="1" x14ac:dyDescent="0.25"/>
    <row r="118051" customFormat="1" x14ac:dyDescent="0.25"/>
    <row r="118052" customFormat="1" x14ac:dyDescent="0.25"/>
    <row r="118053" customFormat="1" x14ac:dyDescent="0.25"/>
    <row r="118054" customFormat="1" x14ac:dyDescent="0.25"/>
    <row r="118055" customFormat="1" x14ac:dyDescent="0.25"/>
    <row r="118056" customFormat="1" x14ac:dyDescent="0.25"/>
    <row r="118057" customFormat="1" x14ac:dyDescent="0.25"/>
    <row r="118058" customFormat="1" x14ac:dyDescent="0.25"/>
    <row r="118059" customFormat="1" x14ac:dyDescent="0.25"/>
    <row r="118060" customFormat="1" x14ac:dyDescent="0.25"/>
    <row r="118061" customFormat="1" x14ac:dyDescent="0.25"/>
    <row r="118062" customFormat="1" x14ac:dyDescent="0.25"/>
    <row r="118063" customFormat="1" x14ac:dyDescent="0.25"/>
    <row r="118064" customFormat="1" x14ac:dyDescent="0.25"/>
    <row r="118065" customFormat="1" x14ac:dyDescent="0.25"/>
    <row r="118066" customFormat="1" x14ac:dyDescent="0.25"/>
    <row r="118067" customFormat="1" x14ac:dyDescent="0.25"/>
    <row r="118068" customFormat="1" x14ac:dyDescent="0.25"/>
    <row r="118069" customFormat="1" x14ac:dyDescent="0.25"/>
    <row r="118070" customFormat="1" x14ac:dyDescent="0.25"/>
    <row r="118071" customFormat="1" x14ac:dyDescent="0.25"/>
    <row r="118072" customFormat="1" x14ac:dyDescent="0.25"/>
    <row r="118073" customFormat="1" x14ac:dyDescent="0.25"/>
    <row r="118074" customFormat="1" x14ac:dyDescent="0.25"/>
    <row r="118075" customFormat="1" x14ac:dyDescent="0.25"/>
    <row r="118076" customFormat="1" x14ac:dyDescent="0.25"/>
    <row r="118077" customFormat="1" x14ac:dyDescent="0.25"/>
    <row r="118078" customFormat="1" x14ac:dyDescent="0.25"/>
    <row r="118079" customFormat="1" x14ac:dyDescent="0.25"/>
    <row r="118080" customFormat="1" x14ac:dyDescent="0.25"/>
    <row r="118081" customFormat="1" x14ac:dyDescent="0.25"/>
    <row r="118082" customFormat="1" x14ac:dyDescent="0.25"/>
    <row r="118083" customFormat="1" x14ac:dyDescent="0.25"/>
    <row r="118084" customFormat="1" x14ac:dyDescent="0.25"/>
    <row r="118085" customFormat="1" x14ac:dyDescent="0.25"/>
    <row r="118086" customFormat="1" x14ac:dyDescent="0.25"/>
    <row r="118087" customFormat="1" x14ac:dyDescent="0.25"/>
    <row r="118088" customFormat="1" x14ac:dyDescent="0.25"/>
    <row r="118089" customFormat="1" x14ac:dyDescent="0.25"/>
    <row r="118090" customFormat="1" x14ac:dyDescent="0.25"/>
    <row r="118091" customFormat="1" x14ac:dyDescent="0.25"/>
    <row r="118092" customFormat="1" x14ac:dyDescent="0.25"/>
    <row r="118093" customFormat="1" x14ac:dyDescent="0.25"/>
    <row r="118094" customFormat="1" x14ac:dyDescent="0.25"/>
    <row r="118095" customFormat="1" x14ac:dyDescent="0.25"/>
    <row r="118096" customFormat="1" x14ac:dyDescent="0.25"/>
    <row r="118097" customFormat="1" x14ac:dyDescent="0.25"/>
    <row r="118098" customFormat="1" x14ac:dyDescent="0.25"/>
    <row r="118099" customFormat="1" x14ac:dyDescent="0.25"/>
    <row r="118100" customFormat="1" x14ac:dyDescent="0.25"/>
    <row r="118101" customFormat="1" x14ac:dyDescent="0.25"/>
    <row r="118102" customFormat="1" x14ac:dyDescent="0.25"/>
    <row r="118103" customFormat="1" x14ac:dyDescent="0.25"/>
    <row r="118104" customFormat="1" x14ac:dyDescent="0.25"/>
    <row r="118105" customFormat="1" x14ac:dyDescent="0.25"/>
    <row r="118106" customFormat="1" x14ac:dyDescent="0.25"/>
    <row r="118107" customFormat="1" x14ac:dyDescent="0.25"/>
    <row r="118108" customFormat="1" x14ac:dyDescent="0.25"/>
    <row r="118109" customFormat="1" x14ac:dyDescent="0.25"/>
    <row r="118110" customFormat="1" x14ac:dyDescent="0.25"/>
    <row r="118111" customFormat="1" x14ac:dyDescent="0.25"/>
    <row r="118112" customFormat="1" x14ac:dyDescent="0.25"/>
    <row r="118113" customFormat="1" x14ac:dyDescent="0.25"/>
    <row r="118114" customFormat="1" x14ac:dyDescent="0.25"/>
    <row r="118115" customFormat="1" x14ac:dyDescent="0.25"/>
    <row r="118116" customFormat="1" x14ac:dyDescent="0.25"/>
    <row r="118117" customFormat="1" x14ac:dyDescent="0.25"/>
    <row r="118118" customFormat="1" x14ac:dyDescent="0.25"/>
    <row r="118119" customFormat="1" x14ac:dyDescent="0.25"/>
    <row r="118120" customFormat="1" x14ac:dyDescent="0.25"/>
    <row r="118121" customFormat="1" x14ac:dyDescent="0.25"/>
    <row r="118122" customFormat="1" x14ac:dyDescent="0.25"/>
    <row r="118123" customFormat="1" x14ac:dyDescent="0.25"/>
    <row r="118124" customFormat="1" x14ac:dyDescent="0.25"/>
    <row r="118125" customFormat="1" x14ac:dyDescent="0.25"/>
    <row r="118126" customFormat="1" x14ac:dyDescent="0.25"/>
    <row r="118127" customFormat="1" x14ac:dyDescent="0.25"/>
    <row r="118128" customFormat="1" x14ac:dyDescent="0.25"/>
    <row r="118129" customFormat="1" x14ac:dyDescent="0.25"/>
    <row r="118130" customFormat="1" x14ac:dyDescent="0.25"/>
    <row r="118131" customFormat="1" x14ac:dyDescent="0.25"/>
    <row r="118132" customFormat="1" x14ac:dyDescent="0.25"/>
    <row r="118133" customFormat="1" x14ac:dyDescent="0.25"/>
    <row r="118134" customFormat="1" x14ac:dyDescent="0.25"/>
    <row r="118135" customFormat="1" x14ac:dyDescent="0.25"/>
    <row r="118136" customFormat="1" x14ac:dyDescent="0.25"/>
    <row r="118137" customFormat="1" x14ac:dyDescent="0.25"/>
    <row r="118138" customFormat="1" x14ac:dyDescent="0.25"/>
    <row r="118139" customFormat="1" x14ac:dyDescent="0.25"/>
    <row r="118140" customFormat="1" x14ac:dyDescent="0.25"/>
    <row r="118141" customFormat="1" x14ac:dyDescent="0.25"/>
    <row r="118142" customFormat="1" x14ac:dyDescent="0.25"/>
    <row r="118143" customFormat="1" x14ac:dyDescent="0.25"/>
    <row r="118144" customFormat="1" x14ac:dyDescent="0.25"/>
    <row r="118145" customFormat="1" x14ac:dyDescent="0.25"/>
    <row r="118146" customFormat="1" x14ac:dyDescent="0.25"/>
    <row r="118147" customFormat="1" x14ac:dyDescent="0.25"/>
    <row r="118148" customFormat="1" x14ac:dyDescent="0.25"/>
    <row r="118149" customFormat="1" x14ac:dyDescent="0.25"/>
    <row r="118150" customFormat="1" x14ac:dyDescent="0.25"/>
    <row r="118151" customFormat="1" x14ac:dyDescent="0.25"/>
    <row r="118152" customFormat="1" x14ac:dyDescent="0.25"/>
    <row r="118153" customFormat="1" x14ac:dyDescent="0.25"/>
    <row r="118154" customFormat="1" x14ac:dyDescent="0.25"/>
    <row r="118155" customFormat="1" x14ac:dyDescent="0.25"/>
    <row r="118156" customFormat="1" x14ac:dyDescent="0.25"/>
    <row r="118157" customFormat="1" x14ac:dyDescent="0.25"/>
    <row r="118158" customFormat="1" x14ac:dyDescent="0.25"/>
    <row r="118159" customFormat="1" x14ac:dyDescent="0.25"/>
    <row r="118160" customFormat="1" x14ac:dyDescent="0.25"/>
    <row r="118161" customFormat="1" x14ac:dyDescent="0.25"/>
    <row r="118162" customFormat="1" x14ac:dyDescent="0.25"/>
    <row r="118163" customFormat="1" x14ac:dyDescent="0.25"/>
    <row r="118164" customFormat="1" x14ac:dyDescent="0.25"/>
    <row r="118165" customFormat="1" x14ac:dyDescent="0.25"/>
    <row r="118166" customFormat="1" x14ac:dyDescent="0.25"/>
    <row r="118167" customFormat="1" x14ac:dyDescent="0.25"/>
    <row r="118168" customFormat="1" x14ac:dyDescent="0.25"/>
    <row r="118169" customFormat="1" x14ac:dyDescent="0.25"/>
    <row r="118170" customFormat="1" x14ac:dyDescent="0.25"/>
    <row r="118171" customFormat="1" x14ac:dyDescent="0.25"/>
    <row r="118172" customFormat="1" x14ac:dyDescent="0.25"/>
    <row r="118173" customFormat="1" x14ac:dyDescent="0.25"/>
    <row r="118174" customFormat="1" x14ac:dyDescent="0.25"/>
    <row r="118175" customFormat="1" x14ac:dyDescent="0.25"/>
    <row r="118176" customFormat="1" x14ac:dyDescent="0.25"/>
    <row r="118177" customFormat="1" x14ac:dyDescent="0.25"/>
    <row r="118178" customFormat="1" x14ac:dyDescent="0.25"/>
    <row r="118179" customFormat="1" x14ac:dyDescent="0.25"/>
    <row r="118180" customFormat="1" x14ac:dyDescent="0.25"/>
    <row r="118181" customFormat="1" x14ac:dyDescent="0.25"/>
    <row r="118182" customFormat="1" x14ac:dyDescent="0.25"/>
    <row r="118183" customFormat="1" x14ac:dyDescent="0.25"/>
    <row r="118184" customFormat="1" x14ac:dyDescent="0.25"/>
    <row r="118185" customFormat="1" x14ac:dyDescent="0.25"/>
    <row r="118186" customFormat="1" x14ac:dyDescent="0.25"/>
    <row r="118187" customFormat="1" x14ac:dyDescent="0.25"/>
    <row r="118188" customFormat="1" x14ac:dyDescent="0.25"/>
    <row r="118189" customFormat="1" x14ac:dyDescent="0.25"/>
    <row r="118190" customFormat="1" x14ac:dyDescent="0.25"/>
    <row r="118191" customFormat="1" x14ac:dyDescent="0.25"/>
    <row r="118192" customFormat="1" x14ac:dyDescent="0.25"/>
    <row r="118193" customFormat="1" x14ac:dyDescent="0.25"/>
    <row r="118194" customFormat="1" x14ac:dyDescent="0.25"/>
    <row r="118195" customFormat="1" x14ac:dyDescent="0.25"/>
    <row r="118196" customFormat="1" x14ac:dyDescent="0.25"/>
    <row r="118197" customFormat="1" x14ac:dyDescent="0.25"/>
    <row r="118198" customFormat="1" x14ac:dyDescent="0.25"/>
    <row r="118199" customFormat="1" x14ac:dyDescent="0.25"/>
    <row r="118200" customFormat="1" x14ac:dyDescent="0.25"/>
    <row r="118201" customFormat="1" x14ac:dyDescent="0.25"/>
    <row r="118202" customFormat="1" x14ac:dyDescent="0.25"/>
    <row r="118203" customFormat="1" x14ac:dyDescent="0.25"/>
    <row r="118204" customFormat="1" x14ac:dyDescent="0.25"/>
    <row r="118205" customFormat="1" x14ac:dyDescent="0.25"/>
    <row r="118206" customFormat="1" x14ac:dyDescent="0.25"/>
    <row r="118207" customFormat="1" x14ac:dyDescent="0.25"/>
    <row r="118208" customFormat="1" x14ac:dyDescent="0.25"/>
    <row r="118209" customFormat="1" x14ac:dyDescent="0.25"/>
    <row r="118210" customFormat="1" x14ac:dyDescent="0.25"/>
    <row r="118211" customFormat="1" x14ac:dyDescent="0.25"/>
    <row r="118212" customFormat="1" x14ac:dyDescent="0.25"/>
    <row r="118213" customFormat="1" x14ac:dyDescent="0.25"/>
    <row r="118214" customFormat="1" x14ac:dyDescent="0.25"/>
    <row r="118215" customFormat="1" x14ac:dyDescent="0.25"/>
    <row r="118216" customFormat="1" x14ac:dyDescent="0.25"/>
    <row r="118217" customFormat="1" x14ac:dyDescent="0.25"/>
    <row r="118218" customFormat="1" x14ac:dyDescent="0.25"/>
    <row r="118219" customFormat="1" x14ac:dyDescent="0.25"/>
    <row r="118220" customFormat="1" x14ac:dyDescent="0.25"/>
    <row r="118221" customFormat="1" x14ac:dyDescent="0.25"/>
    <row r="118222" customFormat="1" x14ac:dyDescent="0.25"/>
    <row r="118223" customFormat="1" x14ac:dyDescent="0.25"/>
    <row r="118224" customFormat="1" x14ac:dyDescent="0.25"/>
    <row r="118225" customFormat="1" x14ac:dyDescent="0.25"/>
    <row r="118226" customFormat="1" x14ac:dyDescent="0.25"/>
    <row r="118227" customFormat="1" x14ac:dyDescent="0.25"/>
    <row r="118228" customFormat="1" x14ac:dyDescent="0.25"/>
    <row r="118229" customFormat="1" x14ac:dyDescent="0.25"/>
    <row r="118230" customFormat="1" x14ac:dyDescent="0.25"/>
    <row r="118231" customFormat="1" x14ac:dyDescent="0.25"/>
    <row r="118232" customFormat="1" x14ac:dyDescent="0.25"/>
    <row r="118233" customFormat="1" x14ac:dyDescent="0.25"/>
    <row r="118234" customFormat="1" x14ac:dyDescent="0.25"/>
    <row r="118235" customFormat="1" x14ac:dyDescent="0.25"/>
    <row r="118236" customFormat="1" x14ac:dyDescent="0.25"/>
    <row r="118237" customFormat="1" x14ac:dyDescent="0.25"/>
    <row r="118238" customFormat="1" x14ac:dyDescent="0.25"/>
    <row r="118239" customFormat="1" x14ac:dyDescent="0.25"/>
    <row r="118240" customFormat="1" x14ac:dyDescent="0.25"/>
    <row r="118241" customFormat="1" x14ac:dyDescent="0.25"/>
    <row r="118242" customFormat="1" x14ac:dyDescent="0.25"/>
    <row r="118243" customFormat="1" x14ac:dyDescent="0.25"/>
    <row r="118244" customFormat="1" x14ac:dyDescent="0.25"/>
    <row r="118245" customFormat="1" x14ac:dyDescent="0.25"/>
    <row r="118246" customFormat="1" x14ac:dyDescent="0.25"/>
    <row r="118247" customFormat="1" x14ac:dyDescent="0.25"/>
    <row r="118248" customFormat="1" x14ac:dyDescent="0.25"/>
    <row r="118249" customFormat="1" x14ac:dyDescent="0.25"/>
    <row r="118250" customFormat="1" x14ac:dyDescent="0.25"/>
    <row r="118251" customFormat="1" x14ac:dyDescent="0.25"/>
    <row r="118252" customFormat="1" x14ac:dyDescent="0.25"/>
    <row r="118253" customFormat="1" x14ac:dyDescent="0.25"/>
    <row r="118254" customFormat="1" x14ac:dyDescent="0.25"/>
    <row r="118255" customFormat="1" x14ac:dyDescent="0.25"/>
    <row r="118256" customFormat="1" x14ac:dyDescent="0.25"/>
    <row r="118257" customFormat="1" x14ac:dyDescent="0.25"/>
    <row r="118258" customFormat="1" x14ac:dyDescent="0.25"/>
    <row r="118259" customFormat="1" x14ac:dyDescent="0.25"/>
    <row r="118260" customFormat="1" x14ac:dyDescent="0.25"/>
    <row r="118261" customFormat="1" x14ac:dyDescent="0.25"/>
    <row r="118262" customFormat="1" x14ac:dyDescent="0.25"/>
    <row r="118263" customFormat="1" x14ac:dyDescent="0.25"/>
    <row r="118264" customFormat="1" x14ac:dyDescent="0.25"/>
    <row r="118265" customFormat="1" x14ac:dyDescent="0.25"/>
    <row r="118266" customFormat="1" x14ac:dyDescent="0.25"/>
    <row r="118267" customFormat="1" x14ac:dyDescent="0.25"/>
    <row r="118268" customFormat="1" x14ac:dyDescent="0.25"/>
    <row r="118269" customFormat="1" x14ac:dyDescent="0.25"/>
    <row r="118270" customFormat="1" x14ac:dyDescent="0.25"/>
    <row r="118271" customFormat="1" x14ac:dyDescent="0.25"/>
    <row r="118272" customFormat="1" x14ac:dyDescent="0.25"/>
    <row r="118273" customFormat="1" x14ac:dyDescent="0.25"/>
    <row r="118274" customFormat="1" x14ac:dyDescent="0.25"/>
    <row r="118275" customFormat="1" x14ac:dyDescent="0.25"/>
    <row r="118276" customFormat="1" x14ac:dyDescent="0.25"/>
    <row r="118277" customFormat="1" x14ac:dyDescent="0.25"/>
    <row r="118278" customFormat="1" x14ac:dyDescent="0.25"/>
    <row r="118279" customFormat="1" x14ac:dyDescent="0.25"/>
    <row r="118280" customFormat="1" x14ac:dyDescent="0.25"/>
    <row r="118281" customFormat="1" x14ac:dyDescent="0.25"/>
    <row r="118282" customFormat="1" x14ac:dyDescent="0.25"/>
    <row r="118283" customFormat="1" x14ac:dyDescent="0.25"/>
    <row r="118284" customFormat="1" x14ac:dyDescent="0.25"/>
    <row r="118285" customFormat="1" x14ac:dyDescent="0.25"/>
    <row r="118286" customFormat="1" x14ac:dyDescent="0.25"/>
    <row r="118287" customFormat="1" x14ac:dyDescent="0.25"/>
    <row r="118288" customFormat="1" x14ac:dyDescent="0.25"/>
    <row r="118289" customFormat="1" x14ac:dyDescent="0.25"/>
    <row r="118290" customFormat="1" x14ac:dyDescent="0.25"/>
    <row r="118291" customFormat="1" x14ac:dyDescent="0.25"/>
    <row r="118292" customFormat="1" x14ac:dyDescent="0.25"/>
    <row r="118293" customFormat="1" x14ac:dyDescent="0.25"/>
    <row r="118294" customFormat="1" x14ac:dyDescent="0.25"/>
    <row r="118295" customFormat="1" x14ac:dyDescent="0.25"/>
    <row r="118296" customFormat="1" x14ac:dyDescent="0.25"/>
    <row r="118297" customFormat="1" x14ac:dyDescent="0.25"/>
    <row r="118298" customFormat="1" x14ac:dyDescent="0.25"/>
    <row r="118299" customFormat="1" x14ac:dyDescent="0.25"/>
    <row r="118300" customFormat="1" x14ac:dyDescent="0.25"/>
    <row r="118301" customFormat="1" x14ac:dyDescent="0.25"/>
    <row r="118302" customFormat="1" x14ac:dyDescent="0.25"/>
    <row r="118303" customFormat="1" x14ac:dyDescent="0.25"/>
    <row r="118304" customFormat="1" x14ac:dyDescent="0.25"/>
    <row r="118305" customFormat="1" x14ac:dyDescent="0.25"/>
    <row r="118306" customFormat="1" x14ac:dyDescent="0.25"/>
    <row r="118307" customFormat="1" x14ac:dyDescent="0.25"/>
    <row r="118308" customFormat="1" x14ac:dyDescent="0.25"/>
    <row r="118309" customFormat="1" x14ac:dyDescent="0.25"/>
    <row r="118310" customFormat="1" x14ac:dyDescent="0.25"/>
    <row r="118311" customFormat="1" x14ac:dyDescent="0.25"/>
    <row r="118312" customFormat="1" x14ac:dyDescent="0.25"/>
    <row r="118313" customFormat="1" x14ac:dyDescent="0.25"/>
    <row r="118314" customFormat="1" x14ac:dyDescent="0.25"/>
    <row r="118315" customFormat="1" x14ac:dyDescent="0.25"/>
    <row r="118316" customFormat="1" x14ac:dyDescent="0.25"/>
    <row r="118317" customFormat="1" x14ac:dyDescent="0.25"/>
    <row r="118318" customFormat="1" x14ac:dyDescent="0.25"/>
    <row r="118319" customFormat="1" x14ac:dyDescent="0.25"/>
    <row r="118320" customFormat="1" x14ac:dyDescent="0.25"/>
    <row r="118321" customFormat="1" x14ac:dyDescent="0.25"/>
    <row r="118322" customFormat="1" x14ac:dyDescent="0.25"/>
    <row r="118323" customFormat="1" x14ac:dyDescent="0.25"/>
    <row r="118324" customFormat="1" x14ac:dyDescent="0.25"/>
    <row r="118325" customFormat="1" x14ac:dyDescent="0.25"/>
    <row r="118326" customFormat="1" x14ac:dyDescent="0.25"/>
    <row r="118327" customFormat="1" x14ac:dyDescent="0.25"/>
    <row r="118328" customFormat="1" x14ac:dyDescent="0.25"/>
    <row r="118329" customFormat="1" x14ac:dyDescent="0.25"/>
    <row r="118330" customFormat="1" x14ac:dyDescent="0.25"/>
    <row r="118331" customFormat="1" x14ac:dyDescent="0.25"/>
    <row r="118332" customFormat="1" x14ac:dyDescent="0.25"/>
    <row r="118333" customFormat="1" x14ac:dyDescent="0.25"/>
    <row r="118334" customFormat="1" x14ac:dyDescent="0.25"/>
    <row r="118335" customFormat="1" x14ac:dyDescent="0.25"/>
    <row r="118336" customFormat="1" x14ac:dyDescent="0.25"/>
    <row r="118337" customFormat="1" x14ac:dyDescent="0.25"/>
    <row r="118338" customFormat="1" x14ac:dyDescent="0.25"/>
    <row r="118339" customFormat="1" x14ac:dyDescent="0.25"/>
    <row r="118340" customFormat="1" x14ac:dyDescent="0.25"/>
    <row r="118341" customFormat="1" x14ac:dyDescent="0.25"/>
    <row r="118342" customFormat="1" x14ac:dyDescent="0.25"/>
    <row r="118343" customFormat="1" x14ac:dyDescent="0.25"/>
    <row r="118344" customFormat="1" x14ac:dyDescent="0.25"/>
    <row r="118345" customFormat="1" x14ac:dyDescent="0.25"/>
    <row r="118346" customFormat="1" x14ac:dyDescent="0.25"/>
    <row r="118347" customFormat="1" x14ac:dyDescent="0.25"/>
    <row r="118348" customFormat="1" x14ac:dyDescent="0.25"/>
    <row r="118349" customFormat="1" x14ac:dyDescent="0.25"/>
    <row r="118350" customFormat="1" x14ac:dyDescent="0.25"/>
    <row r="118351" customFormat="1" x14ac:dyDescent="0.25"/>
    <row r="118352" customFormat="1" x14ac:dyDescent="0.25"/>
    <row r="118353" customFormat="1" x14ac:dyDescent="0.25"/>
    <row r="118354" customFormat="1" x14ac:dyDescent="0.25"/>
    <row r="118355" customFormat="1" x14ac:dyDescent="0.25"/>
    <row r="118356" customFormat="1" x14ac:dyDescent="0.25"/>
    <row r="118357" customFormat="1" x14ac:dyDescent="0.25"/>
    <row r="118358" customFormat="1" x14ac:dyDescent="0.25"/>
    <row r="118359" customFormat="1" x14ac:dyDescent="0.25"/>
    <row r="118360" customFormat="1" x14ac:dyDescent="0.25"/>
    <row r="118361" customFormat="1" x14ac:dyDescent="0.25"/>
    <row r="118362" customFormat="1" x14ac:dyDescent="0.25"/>
    <row r="118363" customFormat="1" x14ac:dyDescent="0.25"/>
    <row r="118364" customFormat="1" x14ac:dyDescent="0.25"/>
    <row r="118365" customFormat="1" x14ac:dyDescent="0.25"/>
    <row r="118366" customFormat="1" x14ac:dyDescent="0.25"/>
    <row r="118367" customFormat="1" x14ac:dyDescent="0.25"/>
    <row r="118368" customFormat="1" x14ac:dyDescent="0.25"/>
    <row r="118369" customFormat="1" x14ac:dyDescent="0.25"/>
    <row r="118370" customFormat="1" x14ac:dyDescent="0.25"/>
    <row r="118371" customFormat="1" x14ac:dyDescent="0.25"/>
    <row r="118372" customFormat="1" x14ac:dyDescent="0.25"/>
    <row r="118373" customFormat="1" x14ac:dyDescent="0.25"/>
    <row r="118374" customFormat="1" x14ac:dyDescent="0.25"/>
    <row r="118375" customFormat="1" x14ac:dyDescent="0.25"/>
    <row r="118376" customFormat="1" x14ac:dyDescent="0.25"/>
    <row r="118377" customFormat="1" x14ac:dyDescent="0.25"/>
    <row r="118378" customFormat="1" x14ac:dyDescent="0.25"/>
    <row r="118379" customFormat="1" x14ac:dyDescent="0.25"/>
    <row r="118380" customFormat="1" x14ac:dyDescent="0.25"/>
    <row r="118381" customFormat="1" x14ac:dyDescent="0.25"/>
    <row r="118382" customFormat="1" x14ac:dyDescent="0.25"/>
    <row r="118383" customFormat="1" x14ac:dyDescent="0.25"/>
    <row r="118384" customFormat="1" x14ac:dyDescent="0.25"/>
    <row r="118385" customFormat="1" x14ac:dyDescent="0.25"/>
    <row r="118386" customFormat="1" x14ac:dyDescent="0.25"/>
    <row r="118387" customFormat="1" x14ac:dyDescent="0.25"/>
    <row r="118388" customFormat="1" x14ac:dyDescent="0.25"/>
    <row r="118389" customFormat="1" x14ac:dyDescent="0.25"/>
    <row r="118390" customFormat="1" x14ac:dyDescent="0.25"/>
    <row r="118391" customFormat="1" x14ac:dyDescent="0.25"/>
    <row r="118392" customFormat="1" x14ac:dyDescent="0.25"/>
    <row r="118393" customFormat="1" x14ac:dyDescent="0.25"/>
    <row r="118394" customFormat="1" x14ac:dyDescent="0.25"/>
    <row r="118395" customFormat="1" x14ac:dyDescent="0.25"/>
    <row r="118396" customFormat="1" x14ac:dyDescent="0.25"/>
    <row r="118397" customFormat="1" x14ac:dyDescent="0.25"/>
    <row r="118398" customFormat="1" x14ac:dyDescent="0.25"/>
    <row r="118399" customFormat="1" x14ac:dyDescent="0.25"/>
    <row r="118400" customFormat="1" x14ac:dyDescent="0.25"/>
    <row r="118401" customFormat="1" x14ac:dyDescent="0.25"/>
    <row r="118402" customFormat="1" x14ac:dyDescent="0.25"/>
    <row r="118403" customFormat="1" x14ac:dyDescent="0.25"/>
    <row r="118404" customFormat="1" x14ac:dyDescent="0.25"/>
    <row r="118405" customFormat="1" x14ac:dyDescent="0.25"/>
    <row r="118406" customFormat="1" x14ac:dyDescent="0.25"/>
    <row r="118407" customFormat="1" x14ac:dyDescent="0.25"/>
    <row r="118408" customFormat="1" x14ac:dyDescent="0.25"/>
    <row r="118409" customFormat="1" x14ac:dyDescent="0.25"/>
    <row r="118410" customFormat="1" x14ac:dyDescent="0.25"/>
    <row r="118411" customFormat="1" x14ac:dyDescent="0.25"/>
    <row r="118412" customFormat="1" x14ac:dyDescent="0.25"/>
    <row r="118413" customFormat="1" x14ac:dyDescent="0.25"/>
    <row r="118414" customFormat="1" x14ac:dyDescent="0.25"/>
    <row r="118415" customFormat="1" x14ac:dyDescent="0.25"/>
    <row r="118416" customFormat="1" x14ac:dyDescent="0.25"/>
    <row r="118417" customFormat="1" x14ac:dyDescent="0.25"/>
    <row r="118418" customFormat="1" x14ac:dyDescent="0.25"/>
    <row r="118419" customFormat="1" x14ac:dyDescent="0.25"/>
    <row r="118420" customFormat="1" x14ac:dyDescent="0.25"/>
    <row r="118421" customFormat="1" x14ac:dyDescent="0.25"/>
    <row r="118422" customFormat="1" x14ac:dyDescent="0.25"/>
    <row r="118423" customFormat="1" x14ac:dyDescent="0.25"/>
    <row r="118424" customFormat="1" x14ac:dyDescent="0.25"/>
    <row r="118425" customFormat="1" x14ac:dyDescent="0.25"/>
    <row r="118426" customFormat="1" x14ac:dyDescent="0.25"/>
    <row r="118427" customFormat="1" x14ac:dyDescent="0.25"/>
    <row r="118428" customFormat="1" x14ac:dyDescent="0.25"/>
    <row r="118429" customFormat="1" x14ac:dyDescent="0.25"/>
    <row r="118430" customFormat="1" x14ac:dyDescent="0.25"/>
    <row r="118431" customFormat="1" x14ac:dyDescent="0.25"/>
    <row r="118432" customFormat="1" x14ac:dyDescent="0.25"/>
    <row r="118433" customFormat="1" x14ac:dyDescent="0.25"/>
    <row r="118434" customFormat="1" x14ac:dyDescent="0.25"/>
    <row r="118435" customFormat="1" x14ac:dyDescent="0.25"/>
    <row r="118436" customFormat="1" x14ac:dyDescent="0.25"/>
    <row r="118437" customFormat="1" x14ac:dyDescent="0.25"/>
    <row r="118438" customFormat="1" x14ac:dyDescent="0.25"/>
    <row r="118439" customFormat="1" x14ac:dyDescent="0.25"/>
    <row r="118440" customFormat="1" x14ac:dyDescent="0.25"/>
    <row r="118441" customFormat="1" x14ac:dyDescent="0.25"/>
    <row r="118442" customFormat="1" x14ac:dyDescent="0.25"/>
    <row r="118443" customFormat="1" x14ac:dyDescent="0.25"/>
    <row r="118444" customFormat="1" x14ac:dyDescent="0.25"/>
    <row r="118445" customFormat="1" x14ac:dyDescent="0.25"/>
    <row r="118446" customFormat="1" x14ac:dyDescent="0.25"/>
    <row r="118447" customFormat="1" x14ac:dyDescent="0.25"/>
    <row r="118448" customFormat="1" x14ac:dyDescent="0.25"/>
    <row r="118449" customFormat="1" x14ac:dyDescent="0.25"/>
    <row r="118450" customFormat="1" x14ac:dyDescent="0.25"/>
    <row r="118451" customFormat="1" x14ac:dyDescent="0.25"/>
    <row r="118452" customFormat="1" x14ac:dyDescent="0.25"/>
    <row r="118453" customFormat="1" x14ac:dyDescent="0.25"/>
    <row r="118454" customFormat="1" x14ac:dyDescent="0.25"/>
    <row r="118455" customFormat="1" x14ac:dyDescent="0.25"/>
    <row r="118456" customFormat="1" x14ac:dyDescent="0.25"/>
    <row r="118457" customFormat="1" x14ac:dyDescent="0.25"/>
    <row r="118458" customFormat="1" x14ac:dyDescent="0.25"/>
    <row r="118459" customFormat="1" x14ac:dyDescent="0.25"/>
    <row r="118460" customFormat="1" x14ac:dyDescent="0.25"/>
    <row r="118461" customFormat="1" x14ac:dyDescent="0.25"/>
    <row r="118462" customFormat="1" x14ac:dyDescent="0.25"/>
    <row r="118463" customFormat="1" x14ac:dyDescent="0.25"/>
    <row r="118464" customFormat="1" x14ac:dyDescent="0.25"/>
    <row r="118465" customFormat="1" x14ac:dyDescent="0.25"/>
    <row r="118466" customFormat="1" x14ac:dyDescent="0.25"/>
    <row r="118467" customFormat="1" x14ac:dyDescent="0.25"/>
    <row r="118468" customFormat="1" x14ac:dyDescent="0.25"/>
    <row r="118469" customFormat="1" x14ac:dyDescent="0.25"/>
    <row r="118470" customFormat="1" x14ac:dyDescent="0.25"/>
    <row r="118471" customFormat="1" x14ac:dyDescent="0.25"/>
    <row r="118472" customFormat="1" x14ac:dyDescent="0.25"/>
    <row r="118473" customFormat="1" x14ac:dyDescent="0.25"/>
    <row r="118474" customFormat="1" x14ac:dyDescent="0.25"/>
    <row r="118475" customFormat="1" x14ac:dyDescent="0.25"/>
    <row r="118476" customFormat="1" x14ac:dyDescent="0.25"/>
    <row r="118477" customFormat="1" x14ac:dyDescent="0.25"/>
    <row r="118478" customFormat="1" x14ac:dyDescent="0.25"/>
    <row r="118479" customFormat="1" x14ac:dyDescent="0.25"/>
    <row r="118480" customFormat="1" x14ac:dyDescent="0.25"/>
    <row r="118481" customFormat="1" x14ac:dyDescent="0.25"/>
    <row r="118482" customFormat="1" x14ac:dyDescent="0.25"/>
    <row r="118483" customFormat="1" x14ac:dyDescent="0.25"/>
    <row r="118484" customFormat="1" x14ac:dyDescent="0.25"/>
    <row r="118485" customFormat="1" x14ac:dyDescent="0.25"/>
    <row r="118486" customFormat="1" x14ac:dyDescent="0.25"/>
    <row r="118487" customFormat="1" x14ac:dyDescent="0.25"/>
    <row r="118488" customFormat="1" x14ac:dyDescent="0.25"/>
    <row r="118489" customFormat="1" x14ac:dyDescent="0.25"/>
    <row r="118490" customFormat="1" x14ac:dyDescent="0.25"/>
    <row r="118491" customFormat="1" x14ac:dyDescent="0.25"/>
    <row r="118492" customFormat="1" x14ac:dyDescent="0.25"/>
    <row r="118493" customFormat="1" x14ac:dyDescent="0.25"/>
    <row r="118494" customFormat="1" x14ac:dyDescent="0.25"/>
    <row r="118495" customFormat="1" x14ac:dyDescent="0.25"/>
    <row r="118496" customFormat="1" x14ac:dyDescent="0.25"/>
    <row r="118497" customFormat="1" x14ac:dyDescent="0.25"/>
    <row r="118498" customFormat="1" x14ac:dyDescent="0.25"/>
    <row r="118499" customFormat="1" x14ac:dyDescent="0.25"/>
    <row r="118500" customFormat="1" x14ac:dyDescent="0.25"/>
    <row r="118501" customFormat="1" x14ac:dyDescent="0.25"/>
    <row r="118502" customFormat="1" x14ac:dyDescent="0.25"/>
    <row r="118503" customFormat="1" x14ac:dyDescent="0.25"/>
    <row r="118504" customFormat="1" x14ac:dyDescent="0.25"/>
    <row r="118505" customFormat="1" x14ac:dyDescent="0.25"/>
    <row r="118506" customFormat="1" x14ac:dyDescent="0.25"/>
    <row r="118507" customFormat="1" x14ac:dyDescent="0.25"/>
    <row r="118508" customFormat="1" x14ac:dyDescent="0.25"/>
    <row r="118509" customFormat="1" x14ac:dyDescent="0.25"/>
    <row r="118510" customFormat="1" x14ac:dyDescent="0.25"/>
    <row r="118511" customFormat="1" x14ac:dyDescent="0.25"/>
    <row r="118512" customFormat="1" x14ac:dyDescent="0.25"/>
    <row r="118513" customFormat="1" x14ac:dyDescent="0.25"/>
    <row r="118514" customFormat="1" x14ac:dyDescent="0.25"/>
    <row r="118515" customFormat="1" x14ac:dyDescent="0.25"/>
    <row r="118516" customFormat="1" x14ac:dyDescent="0.25"/>
    <row r="118517" customFormat="1" x14ac:dyDescent="0.25"/>
    <row r="118518" customFormat="1" x14ac:dyDescent="0.25"/>
    <row r="118519" customFormat="1" x14ac:dyDescent="0.25"/>
    <row r="118520" customFormat="1" x14ac:dyDescent="0.25"/>
    <row r="118521" customFormat="1" x14ac:dyDescent="0.25"/>
    <row r="118522" customFormat="1" x14ac:dyDescent="0.25"/>
    <row r="118523" customFormat="1" x14ac:dyDescent="0.25"/>
    <row r="118524" customFormat="1" x14ac:dyDescent="0.25"/>
    <row r="118525" customFormat="1" x14ac:dyDescent="0.25"/>
    <row r="118526" customFormat="1" x14ac:dyDescent="0.25"/>
    <row r="118527" customFormat="1" x14ac:dyDescent="0.25"/>
    <row r="118528" customFormat="1" x14ac:dyDescent="0.25"/>
    <row r="118529" customFormat="1" x14ac:dyDescent="0.25"/>
    <row r="118530" customFormat="1" x14ac:dyDescent="0.25"/>
    <row r="118531" customFormat="1" x14ac:dyDescent="0.25"/>
    <row r="118532" customFormat="1" x14ac:dyDescent="0.25"/>
    <row r="118533" customFormat="1" x14ac:dyDescent="0.25"/>
    <row r="118534" customFormat="1" x14ac:dyDescent="0.25"/>
    <row r="118535" customFormat="1" x14ac:dyDescent="0.25"/>
    <row r="118536" customFormat="1" x14ac:dyDescent="0.25"/>
    <row r="118537" customFormat="1" x14ac:dyDescent="0.25"/>
    <row r="118538" customFormat="1" x14ac:dyDescent="0.25"/>
    <row r="118539" customFormat="1" x14ac:dyDescent="0.25"/>
    <row r="118540" customFormat="1" x14ac:dyDescent="0.25"/>
    <row r="118541" customFormat="1" x14ac:dyDescent="0.25"/>
    <row r="118542" customFormat="1" x14ac:dyDescent="0.25"/>
    <row r="118543" customFormat="1" x14ac:dyDescent="0.25"/>
    <row r="118544" customFormat="1" x14ac:dyDescent="0.25"/>
    <row r="118545" customFormat="1" x14ac:dyDescent="0.25"/>
    <row r="118546" customFormat="1" x14ac:dyDescent="0.25"/>
    <row r="118547" customFormat="1" x14ac:dyDescent="0.25"/>
    <row r="118548" customFormat="1" x14ac:dyDescent="0.25"/>
    <row r="118549" customFormat="1" x14ac:dyDescent="0.25"/>
    <row r="118550" customFormat="1" x14ac:dyDescent="0.25"/>
    <row r="118551" customFormat="1" x14ac:dyDescent="0.25"/>
    <row r="118552" customFormat="1" x14ac:dyDescent="0.25"/>
    <row r="118553" customFormat="1" x14ac:dyDescent="0.25"/>
    <row r="118554" customFormat="1" x14ac:dyDescent="0.25"/>
    <row r="118555" customFormat="1" x14ac:dyDescent="0.25"/>
    <row r="118556" customFormat="1" x14ac:dyDescent="0.25"/>
    <row r="118557" customFormat="1" x14ac:dyDescent="0.25"/>
    <row r="118558" customFormat="1" x14ac:dyDescent="0.25"/>
    <row r="118559" customFormat="1" x14ac:dyDescent="0.25"/>
    <row r="118560" customFormat="1" x14ac:dyDescent="0.25"/>
    <row r="118561" customFormat="1" x14ac:dyDescent="0.25"/>
    <row r="118562" customFormat="1" x14ac:dyDescent="0.25"/>
    <row r="118563" customFormat="1" x14ac:dyDescent="0.25"/>
    <row r="118564" customFormat="1" x14ac:dyDescent="0.25"/>
    <row r="118565" customFormat="1" x14ac:dyDescent="0.25"/>
    <row r="118566" customFormat="1" x14ac:dyDescent="0.25"/>
    <row r="118567" customFormat="1" x14ac:dyDescent="0.25"/>
    <row r="118568" customFormat="1" x14ac:dyDescent="0.25"/>
    <row r="118569" customFormat="1" x14ac:dyDescent="0.25"/>
    <row r="118570" customFormat="1" x14ac:dyDescent="0.25"/>
    <row r="118571" customFormat="1" x14ac:dyDescent="0.25"/>
    <row r="118572" customFormat="1" x14ac:dyDescent="0.25"/>
    <row r="118573" customFormat="1" x14ac:dyDescent="0.25"/>
    <row r="118574" customFormat="1" x14ac:dyDescent="0.25"/>
    <row r="118575" customFormat="1" x14ac:dyDescent="0.25"/>
    <row r="118576" customFormat="1" x14ac:dyDescent="0.25"/>
    <row r="118577" customFormat="1" x14ac:dyDescent="0.25"/>
    <row r="118578" customFormat="1" x14ac:dyDescent="0.25"/>
    <row r="118579" customFormat="1" x14ac:dyDescent="0.25"/>
    <row r="118580" customFormat="1" x14ac:dyDescent="0.25"/>
    <row r="118581" customFormat="1" x14ac:dyDescent="0.25"/>
    <row r="118582" customFormat="1" x14ac:dyDescent="0.25"/>
    <row r="118583" customFormat="1" x14ac:dyDescent="0.25"/>
    <row r="118584" customFormat="1" x14ac:dyDescent="0.25"/>
    <row r="118585" customFormat="1" x14ac:dyDescent="0.25"/>
    <row r="118586" customFormat="1" x14ac:dyDescent="0.25"/>
    <row r="118587" customFormat="1" x14ac:dyDescent="0.25"/>
    <row r="118588" customFormat="1" x14ac:dyDescent="0.25"/>
    <row r="118589" customFormat="1" x14ac:dyDescent="0.25"/>
    <row r="118590" customFormat="1" x14ac:dyDescent="0.25"/>
    <row r="118591" customFormat="1" x14ac:dyDescent="0.25"/>
    <row r="118592" customFormat="1" x14ac:dyDescent="0.25"/>
    <row r="118593" customFormat="1" x14ac:dyDescent="0.25"/>
    <row r="118594" customFormat="1" x14ac:dyDescent="0.25"/>
    <row r="118595" customFormat="1" x14ac:dyDescent="0.25"/>
    <row r="118596" customFormat="1" x14ac:dyDescent="0.25"/>
    <row r="118597" customFormat="1" x14ac:dyDescent="0.25"/>
    <row r="118598" customFormat="1" x14ac:dyDescent="0.25"/>
    <row r="118599" customFormat="1" x14ac:dyDescent="0.25"/>
    <row r="118600" customFormat="1" x14ac:dyDescent="0.25"/>
    <row r="118601" customFormat="1" x14ac:dyDescent="0.25"/>
    <row r="118602" customFormat="1" x14ac:dyDescent="0.25"/>
    <row r="118603" customFormat="1" x14ac:dyDescent="0.25"/>
    <row r="118604" customFormat="1" x14ac:dyDescent="0.25"/>
    <row r="118605" customFormat="1" x14ac:dyDescent="0.25"/>
    <row r="118606" customFormat="1" x14ac:dyDescent="0.25"/>
    <row r="118607" customFormat="1" x14ac:dyDescent="0.25"/>
    <row r="118608" customFormat="1" x14ac:dyDescent="0.25"/>
    <row r="118609" customFormat="1" x14ac:dyDescent="0.25"/>
    <row r="118610" customFormat="1" x14ac:dyDescent="0.25"/>
    <row r="118611" customFormat="1" x14ac:dyDescent="0.25"/>
    <row r="118612" customFormat="1" x14ac:dyDescent="0.25"/>
    <row r="118613" customFormat="1" x14ac:dyDescent="0.25"/>
    <row r="118614" customFormat="1" x14ac:dyDescent="0.25"/>
    <row r="118615" customFormat="1" x14ac:dyDescent="0.25"/>
    <row r="118616" customFormat="1" x14ac:dyDescent="0.25"/>
    <row r="118617" customFormat="1" x14ac:dyDescent="0.25"/>
    <row r="118618" customFormat="1" x14ac:dyDescent="0.25"/>
    <row r="118619" customFormat="1" x14ac:dyDescent="0.25"/>
    <row r="118620" customFormat="1" x14ac:dyDescent="0.25"/>
    <row r="118621" customFormat="1" x14ac:dyDescent="0.25"/>
    <row r="118622" customFormat="1" x14ac:dyDescent="0.25"/>
    <row r="118623" customFormat="1" x14ac:dyDescent="0.25"/>
    <row r="118624" customFormat="1" x14ac:dyDescent="0.25"/>
    <row r="118625" customFormat="1" x14ac:dyDescent="0.25"/>
    <row r="118626" customFormat="1" x14ac:dyDescent="0.25"/>
    <row r="118627" customFormat="1" x14ac:dyDescent="0.25"/>
    <row r="118628" customFormat="1" x14ac:dyDescent="0.25"/>
    <row r="118629" customFormat="1" x14ac:dyDescent="0.25"/>
    <row r="118630" customFormat="1" x14ac:dyDescent="0.25"/>
    <row r="118631" customFormat="1" x14ac:dyDescent="0.25"/>
    <row r="118632" customFormat="1" x14ac:dyDescent="0.25"/>
    <row r="118633" customFormat="1" x14ac:dyDescent="0.25"/>
    <row r="118634" customFormat="1" x14ac:dyDescent="0.25"/>
    <row r="118635" customFormat="1" x14ac:dyDescent="0.25"/>
    <row r="118636" customFormat="1" x14ac:dyDescent="0.25"/>
    <row r="118637" customFormat="1" x14ac:dyDescent="0.25"/>
    <row r="118638" customFormat="1" x14ac:dyDescent="0.25"/>
    <row r="118639" customFormat="1" x14ac:dyDescent="0.25"/>
    <row r="118640" customFormat="1" x14ac:dyDescent="0.25"/>
    <row r="118641" customFormat="1" x14ac:dyDescent="0.25"/>
    <row r="118642" customFormat="1" x14ac:dyDescent="0.25"/>
    <row r="118643" customFormat="1" x14ac:dyDescent="0.25"/>
    <row r="118644" customFormat="1" x14ac:dyDescent="0.25"/>
    <row r="118645" customFormat="1" x14ac:dyDescent="0.25"/>
    <row r="118646" customFormat="1" x14ac:dyDescent="0.25"/>
    <row r="118647" customFormat="1" x14ac:dyDescent="0.25"/>
    <row r="118648" customFormat="1" x14ac:dyDescent="0.25"/>
    <row r="118649" customFormat="1" x14ac:dyDescent="0.25"/>
    <row r="118650" customFormat="1" x14ac:dyDescent="0.25"/>
    <row r="118651" customFormat="1" x14ac:dyDescent="0.25"/>
    <row r="118652" customFormat="1" x14ac:dyDescent="0.25"/>
    <row r="118653" customFormat="1" x14ac:dyDescent="0.25"/>
    <row r="118654" customFormat="1" x14ac:dyDescent="0.25"/>
    <row r="118655" customFormat="1" x14ac:dyDescent="0.25"/>
    <row r="118656" customFormat="1" x14ac:dyDescent="0.25"/>
    <row r="118657" customFormat="1" x14ac:dyDescent="0.25"/>
    <row r="118658" customFormat="1" x14ac:dyDescent="0.25"/>
    <row r="118659" customFormat="1" x14ac:dyDescent="0.25"/>
    <row r="118660" customFormat="1" x14ac:dyDescent="0.25"/>
    <row r="118661" customFormat="1" x14ac:dyDescent="0.25"/>
    <row r="118662" customFormat="1" x14ac:dyDescent="0.25"/>
    <row r="118663" customFormat="1" x14ac:dyDescent="0.25"/>
    <row r="118664" customFormat="1" x14ac:dyDescent="0.25"/>
    <row r="118665" customFormat="1" x14ac:dyDescent="0.25"/>
    <row r="118666" customFormat="1" x14ac:dyDescent="0.25"/>
    <row r="118667" customFormat="1" x14ac:dyDescent="0.25"/>
    <row r="118668" customFormat="1" x14ac:dyDescent="0.25"/>
    <row r="118669" customFormat="1" x14ac:dyDescent="0.25"/>
    <row r="118670" customFormat="1" x14ac:dyDescent="0.25"/>
    <row r="118671" customFormat="1" x14ac:dyDescent="0.25"/>
    <row r="118672" customFormat="1" x14ac:dyDescent="0.25"/>
    <row r="118673" customFormat="1" x14ac:dyDescent="0.25"/>
    <row r="118674" customFormat="1" x14ac:dyDescent="0.25"/>
    <row r="118675" customFormat="1" x14ac:dyDescent="0.25"/>
    <row r="118676" customFormat="1" x14ac:dyDescent="0.25"/>
    <row r="118677" customFormat="1" x14ac:dyDescent="0.25"/>
    <row r="118678" customFormat="1" x14ac:dyDescent="0.25"/>
    <row r="118679" customFormat="1" x14ac:dyDescent="0.25"/>
    <row r="118680" customFormat="1" x14ac:dyDescent="0.25"/>
    <row r="118681" customFormat="1" x14ac:dyDescent="0.25"/>
    <row r="118682" customFormat="1" x14ac:dyDescent="0.25"/>
    <row r="118683" customFormat="1" x14ac:dyDescent="0.25"/>
    <row r="118684" customFormat="1" x14ac:dyDescent="0.25"/>
    <row r="118685" customFormat="1" x14ac:dyDescent="0.25"/>
    <row r="118686" customFormat="1" x14ac:dyDescent="0.25"/>
    <row r="118687" customFormat="1" x14ac:dyDescent="0.25"/>
    <row r="118688" customFormat="1" x14ac:dyDescent="0.25"/>
    <row r="118689" customFormat="1" x14ac:dyDescent="0.25"/>
    <row r="118690" customFormat="1" x14ac:dyDescent="0.25"/>
    <row r="118691" customFormat="1" x14ac:dyDescent="0.25"/>
    <row r="118692" customFormat="1" x14ac:dyDescent="0.25"/>
    <row r="118693" customFormat="1" x14ac:dyDescent="0.25"/>
    <row r="118694" customFormat="1" x14ac:dyDescent="0.25"/>
    <row r="118695" customFormat="1" x14ac:dyDescent="0.25"/>
    <row r="118696" customFormat="1" x14ac:dyDescent="0.25"/>
    <row r="118697" customFormat="1" x14ac:dyDescent="0.25"/>
    <row r="118698" customFormat="1" x14ac:dyDescent="0.25"/>
    <row r="118699" customFormat="1" x14ac:dyDescent="0.25"/>
    <row r="118700" customFormat="1" x14ac:dyDescent="0.25"/>
    <row r="118701" customFormat="1" x14ac:dyDescent="0.25"/>
    <row r="118702" customFormat="1" x14ac:dyDescent="0.25"/>
    <row r="118703" customFormat="1" x14ac:dyDescent="0.25"/>
    <row r="118704" customFormat="1" x14ac:dyDescent="0.25"/>
    <row r="118705" customFormat="1" x14ac:dyDescent="0.25"/>
    <row r="118706" customFormat="1" x14ac:dyDescent="0.25"/>
    <row r="118707" customFormat="1" x14ac:dyDescent="0.25"/>
    <row r="118708" customFormat="1" x14ac:dyDescent="0.25"/>
    <row r="118709" customFormat="1" x14ac:dyDescent="0.25"/>
    <row r="118710" customFormat="1" x14ac:dyDescent="0.25"/>
    <row r="118711" customFormat="1" x14ac:dyDescent="0.25"/>
    <row r="118712" customFormat="1" x14ac:dyDescent="0.25"/>
    <row r="118713" customFormat="1" x14ac:dyDescent="0.25"/>
    <row r="118714" customFormat="1" x14ac:dyDescent="0.25"/>
    <row r="118715" customFormat="1" x14ac:dyDescent="0.25"/>
    <row r="118716" customFormat="1" x14ac:dyDescent="0.25"/>
    <row r="118717" customFormat="1" x14ac:dyDescent="0.25"/>
    <row r="118718" customFormat="1" x14ac:dyDescent="0.25"/>
    <row r="118719" customFormat="1" x14ac:dyDescent="0.25"/>
    <row r="118720" customFormat="1" x14ac:dyDescent="0.25"/>
    <row r="118721" customFormat="1" x14ac:dyDescent="0.25"/>
    <row r="118722" customFormat="1" x14ac:dyDescent="0.25"/>
    <row r="118723" customFormat="1" x14ac:dyDescent="0.25"/>
    <row r="118724" customFormat="1" x14ac:dyDescent="0.25"/>
    <row r="118725" customFormat="1" x14ac:dyDescent="0.25"/>
    <row r="118726" customFormat="1" x14ac:dyDescent="0.25"/>
    <row r="118727" customFormat="1" x14ac:dyDescent="0.25"/>
    <row r="118728" customFormat="1" x14ac:dyDescent="0.25"/>
    <row r="118729" customFormat="1" x14ac:dyDescent="0.25"/>
    <row r="118730" customFormat="1" x14ac:dyDescent="0.25"/>
    <row r="118731" customFormat="1" x14ac:dyDescent="0.25"/>
    <row r="118732" customFormat="1" x14ac:dyDescent="0.25"/>
    <row r="118733" customFormat="1" x14ac:dyDescent="0.25"/>
    <row r="118734" customFormat="1" x14ac:dyDescent="0.25"/>
    <row r="118735" customFormat="1" x14ac:dyDescent="0.25"/>
    <row r="118736" customFormat="1" x14ac:dyDescent="0.25"/>
    <row r="118737" customFormat="1" x14ac:dyDescent="0.25"/>
    <row r="118738" customFormat="1" x14ac:dyDescent="0.25"/>
    <row r="118739" customFormat="1" x14ac:dyDescent="0.25"/>
    <row r="118740" customFormat="1" x14ac:dyDescent="0.25"/>
    <row r="118741" customFormat="1" x14ac:dyDescent="0.25"/>
    <row r="118742" customFormat="1" x14ac:dyDescent="0.25"/>
    <row r="118743" customFormat="1" x14ac:dyDescent="0.25"/>
    <row r="118744" customFormat="1" x14ac:dyDescent="0.25"/>
    <row r="118745" customFormat="1" x14ac:dyDescent="0.25"/>
    <row r="118746" customFormat="1" x14ac:dyDescent="0.25"/>
    <row r="118747" customFormat="1" x14ac:dyDescent="0.25"/>
    <row r="118748" customFormat="1" x14ac:dyDescent="0.25"/>
    <row r="118749" customFormat="1" x14ac:dyDescent="0.25"/>
    <row r="118750" customFormat="1" x14ac:dyDescent="0.25"/>
    <row r="118751" customFormat="1" x14ac:dyDescent="0.25"/>
    <row r="118752" customFormat="1" x14ac:dyDescent="0.25"/>
    <row r="118753" customFormat="1" x14ac:dyDescent="0.25"/>
    <row r="118754" customFormat="1" x14ac:dyDescent="0.25"/>
    <row r="118755" customFormat="1" x14ac:dyDescent="0.25"/>
    <row r="118756" customFormat="1" x14ac:dyDescent="0.25"/>
    <row r="118757" customFormat="1" x14ac:dyDescent="0.25"/>
    <row r="118758" customFormat="1" x14ac:dyDescent="0.25"/>
    <row r="118759" customFormat="1" x14ac:dyDescent="0.25"/>
    <row r="118760" customFormat="1" x14ac:dyDescent="0.25"/>
    <row r="118761" customFormat="1" x14ac:dyDescent="0.25"/>
    <row r="118762" customFormat="1" x14ac:dyDescent="0.25"/>
    <row r="118763" customFormat="1" x14ac:dyDescent="0.25"/>
    <row r="118764" customFormat="1" x14ac:dyDescent="0.25"/>
    <row r="118765" customFormat="1" x14ac:dyDescent="0.25"/>
    <row r="118766" customFormat="1" x14ac:dyDescent="0.25"/>
    <row r="118767" customFormat="1" x14ac:dyDescent="0.25"/>
    <row r="118768" customFormat="1" x14ac:dyDescent="0.25"/>
    <row r="118769" customFormat="1" x14ac:dyDescent="0.25"/>
    <row r="118770" customFormat="1" x14ac:dyDescent="0.25"/>
    <row r="118771" customFormat="1" x14ac:dyDescent="0.25"/>
    <row r="118772" customFormat="1" x14ac:dyDescent="0.25"/>
    <row r="118773" customFormat="1" x14ac:dyDescent="0.25"/>
    <row r="118774" customFormat="1" x14ac:dyDescent="0.25"/>
    <row r="118775" customFormat="1" x14ac:dyDescent="0.25"/>
    <row r="118776" customFormat="1" x14ac:dyDescent="0.25"/>
    <row r="118777" customFormat="1" x14ac:dyDescent="0.25"/>
    <row r="118778" customFormat="1" x14ac:dyDescent="0.25"/>
    <row r="118779" customFormat="1" x14ac:dyDescent="0.25"/>
    <row r="118780" customFormat="1" x14ac:dyDescent="0.25"/>
    <row r="118781" customFormat="1" x14ac:dyDescent="0.25"/>
    <row r="118782" customFormat="1" x14ac:dyDescent="0.25"/>
    <row r="118783" customFormat="1" x14ac:dyDescent="0.25"/>
    <row r="118784" customFormat="1" x14ac:dyDescent="0.25"/>
    <row r="118785" customFormat="1" x14ac:dyDescent="0.25"/>
    <row r="118786" customFormat="1" x14ac:dyDescent="0.25"/>
    <row r="118787" customFormat="1" x14ac:dyDescent="0.25"/>
    <row r="118788" customFormat="1" x14ac:dyDescent="0.25"/>
    <row r="118789" customFormat="1" x14ac:dyDescent="0.25"/>
    <row r="118790" customFormat="1" x14ac:dyDescent="0.25"/>
    <row r="118791" customFormat="1" x14ac:dyDescent="0.25"/>
    <row r="118792" customFormat="1" x14ac:dyDescent="0.25"/>
    <row r="118793" customFormat="1" x14ac:dyDescent="0.25"/>
    <row r="118794" customFormat="1" x14ac:dyDescent="0.25"/>
    <row r="118795" customFormat="1" x14ac:dyDescent="0.25"/>
    <row r="118796" customFormat="1" x14ac:dyDescent="0.25"/>
    <row r="118797" customFormat="1" x14ac:dyDescent="0.25"/>
    <row r="118798" customFormat="1" x14ac:dyDescent="0.25"/>
    <row r="118799" customFormat="1" x14ac:dyDescent="0.25"/>
    <row r="118800" customFormat="1" x14ac:dyDescent="0.25"/>
    <row r="118801" customFormat="1" x14ac:dyDescent="0.25"/>
    <row r="118802" customFormat="1" x14ac:dyDescent="0.25"/>
    <row r="118803" customFormat="1" x14ac:dyDescent="0.25"/>
    <row r="118804" customFormat="1" x14ac:dyDescent="0.25"/>
    <row r="118805" customFormat="1" x14ac:dyDescent="0.25"/>
    <row r="118806" customFormat="1" x14ac:dyDescent="0.25"/>
    <row r="118807" customFormat="1" x14ac:dyDescent="0.25"/>
    <row r="118808" customFormat="1" x14ac:dyDescent="0.25"/>
    <row r="118809" customFormat="1" x14ac:dyDescent="0.25"/>
    <row r="118810" customFormat="1" x14ac:dyDescent="0.25"/>
    <row r="118811" customFormat="1" x14ac:dyDescent="0.25"/>
    <row r="118812" customFormat="1" x14ac:dyDescent="0.25"/>
    <row r="118813" customFormat="1" x14ac:dyDescent="0.25"/>
    <row r="118814" customFormat="1" x14ac:dyDescent="0.25"/>
    <row r="118815" customFormat="1" x14ac:dyDescent="0.25"/>
    <row r="118816" customFormat="1" x14ac:dyDescent="0.25"/>
    <row r="118817" customFormat="1" x14ac:dyDescent="0.25"/>
    <row r="118818" customFormat="1" x14ac:dyDescent="0.25"/>
    <row r="118819" customFormat="1" x14ac:dyDescent="0.25"/>
    <row r="118820" customFormat="1" x14ac:dyDescent="0.25"/>
    <row r="118821" customFormat="1" x14ac:dyDescent="0.25"/>
    <row r="118822" customFormat="1" x14ac:dyDescent="0.25"/>
    <row r="118823" customFormat="1" x14ac:dyDescent="0.25"/>
    <row r="118824" customFormat="1" x14ac:dyDescent="0.25"/>
    <row r="118825" customFormat="1" x14ac:dyDescent="0.25"/>
    <row r="118826" customFormat="1" x14ac:dyDescent="0.25"/>
    <row r="118827" customFormat="1" x14ac:dyDescent="0.25"/>
    <row r="118828" customFormat="1" x14ac:dyDescent="0.25"/>
    <row r="118829" customFormat="1" x14ac:dyDescent="0.25"/>
    <row r="118830" customFormat="1" x14ac:dyDescent="0.25"/>
    <row r="118831" customFormat="1" x14ac:dyDescent="0.25"/>
    <row r="118832" customFormat="1" x14ac:dyDescent="0.25"/>
    <row r="118833" customFormat="1" x14ac:dyDescent="0.25"/>
    <row r="118834" customFormat="1" x14ac:dyDescent="0.25"/>
    <row r="118835" customFormat="1" x14ac:dyDescent="0.25"/>
    <row r="118836" customFormat="1" x14ac:dyDescent="0.25"/>
    <row r="118837" customFormat="1" x14ac:dyDescent="0.25"/>
    <row r="118838" customFormat="1" x14ac:dyDescent="0.25"/>
    <row r="118839" customFormat="1" x14ac:dyDescent="0.25"/>
    <row r="118840" customFormat="1" x14ac:dyDescent="0.25"/>
    <row r="118841" customFormat="1" x14ac:dyDescent="0.25"/>
    <row r="118842" customFormat="1" x14ac:dyDescent="0.25"/>
    <row r="118843" customFormat="1" x14ac:dyDescent="0.25"/>
    <row r="118844" customFormat="1" x14ac:dyDescent="0.25"/>
    <row r="118845" customFormat="1" x14ac:dyDescent="0.25"/>
    <row r="118846" customFormat="1" x14ac:dyDescent="0.25"/>
    <row r="118847" customFormat="1" x14ac:dyDescent="0.25"/>
    <row r="118848" customFormat="1" x14ac:dyDescent="0.25"/>
    <row r="118849" customFormat="1" x14ac:dyDescent="0.25"/>
    <row r="118850" customFormat="1" x14ac:dyDescent="0.25"/>
    <row r="118851" customFormat="1" x14ac:dyDescent="0.25"/>
    <row r="118852" customFormat="1" x14ac:dyDescent="0.25"/>
    <row r="118853" customFormat="1" x14ac:dyDescent="0.25"/>
    <row r="118854" customFormat="1" x14ac:dyDescent="0.25"/>
    <row r="118855" customFormat="1" x14ac:dyDescent="0.25"/>
    <row r="118856" customFormat="1" x14ac:dyDescent="0.25"/>
    <row r="118857" customFormat="1" x14ac:dyDescent="0.25"/>
    <row r="118858" customFormat="1" x14ac:dyDescent="0.25"/>
    <row r="118859" customFormat="1" x14ac:dyDescent="0.25"/>
    <row r="118860" customFormat="1" x14ac:dyDescent="0.25"/>
    <row r="118861" customFormat="1" x14ac:dyDescent="0.25"/>
    <row r="118862" customFormat="1" x14ac:dyDescent="0.25"/>
    <row r="118863" customFormat="1" x14ac:dyDescent="0.25"/>
    <row r="118864" customFormat="1" x14ac:dyDescent="0.25"/>
    <row r="118865" customFormat="1" x14ac:dyDescent="0.25"/>
    <row r="118866" customFormat="1" x14ac:dyDescent="0.25"/>
    <row r="118867" customFormat="1" x14ac:dyDescent="0.25"/>
    <row r="118868" customFormat="1" x14ac:dyDescent="0.25"/>
    <row r="118869" customFormat="1" x14ac:dyDescent="0.25"/>
    <row r="118870" customFormat="1" x14ac:dyDescent="0.25"/>
    <row r="118871" customFormat="1" x14ac:dyDescent="0.25"/>
    <row r="118872" customFormat="1" x14ac:dyDescent="0.25"/>
    <row r="118873" customFormat="1" x14ac:dyDescent="0.25"/>
    <row r="118874" customFormat="1" x14ac:dyDescent="0.25"/>
    <row r="118875" customFormat="1" x14ac:dyDescent="0.25"/>
    <row r="118876" customFormat="1" x14ac:dyDescent="0.25"/>
    <row r="118877" customFormat="1" x14ac:dyDescent="0.25"/>
    <row r="118878" customFormat="1" x14ac:dyDescent="0.25"/>
    <row r="118879" customFormat="1" x14ac:dyDescent="0.25"/>
    <row r="118880" customFormat="1" x14ac:dyDescent="0.25"/>
    <row r="118881" customFormat="1" x14ac:dyDescent="0.25"/>
    <row r="118882" customFormat="1" x14ac:dyDescent="0.25"/>
    <row r="118883" customFormat="1" x14ac:dyDescent="0.25"/>
    <row r="118884" customFormat="1" x14ac:dyDescent="0.25"/>
    <row r="118885" customFormat="1" x14ac:dyDescent="0.25"/>
    <row r="118886" customFormat="1" x14ac:dyDescent="0.25"/>
    <row r="118887" customFormat="1" x14ac:dyDescent="0.25"/>
    <row r="118888" customFormat="1" x14ac:dyDescent="0.25"/>
    <row r="118889" customFormat="1" x14ac:dyDescent="0.25"/>
    <row r="118890" customFormat="1" x14ac:dyDescent="0.25"/>
    <row r="118891" customFormat="1" x14ac:dyDescent="0.25"/>
    <row r="118892" customFormat="1" x14ac:dyDescent="0.25"/>
    <row r="118893" customFormat="1" x14ac:dyDescent="0.25"/>
    <row r="118894" customFormat="1" x14ac:dyDescent="0.25"/>
    <row r="118895" customFormat="1" x14ac:dyDescent="0.25"/>
    <row r="118896" customFormat="1" x14ac:dyDescent="0.25"/>
    <row r="118897" customFormat="1" x14ac:dyDescent="0.25"/>
    <row r="118898" customFormat="1" x14ac:dyDescent="0.25"/>
    <row r="118899" customFormat="1" x14ac:dyDescent="0.25"/>
    <row r="118900" customFormat="1" x14ac:dyDescent="0.25"/>
    <row r="118901" customFormat="1" x14ac:dyDescent="0.25"/>
    <row r="118902" customFormat="1" x14ac:dyDescent="0.25"/>
    <row r="118903" customFormat="1" x14ac:dyDescent="0.25"/>
    <row r="118904" customFormat="1" x14ac:dyDescent="0.25"/>
    <row r="118905" customFormat="1" x14ac:dyDescent="0.25"/>
    <row r="118906" customFormat="1" x14ac:dyDescent="0.25"/>
    <row r="118907" customFormat="1" x14ac:dyDescent="0.25"/>
    <row r="118908" customFormat="1" x14ac:dyDescent="0.25"/>
    <row r="118909" customFormat="1" x14ac:dyDescent="0.25"/>
    <row r="118910" customFormat="1" x14ac:dyDescent="0.25"/>
    <row r="118911" customFormat="1" x14ac:dyDescent="0.25"/>
    <row r="118912" customFormat="1" x14ac:dyDescent="0.25"/>
    <row r="118913" customFormat="1" x14ac:dyDescent="0.25"/>
    <row r="118914" customFormat="1" x14ac:dyDescent="0.25"/>
    <row r="118915" customFormat="1" x14ac:dyDescent="0.25"/>
    <row r="118916" customFormat="1" x14ac:dyDescent="0.25"/>
    <row r="118917" customFormat="1" x14ac:dyDescent="0.25"/>
    <row r="118918" customFormat="1" x14ac:dyDescent="0.25"/>
    <row r="118919" customFormat="1" x14ac:dyDescent="0.25"/>
    <row r="118920" customFormat="1" x14ac:dyDescent="0.25"/>
    <row r="118921" customFormat="1" x14ac:dyDescent="0.25"/>
    <row r="118922" customFormat="1" x14ac:dyDescent="0.25"/>
    <row r="118923" customFormat="1" x14ac:dyDescent="0.25"/>
    <row r="118924" customFormat="1" x14ac:dyDescent="0.25"/>
    <row r="118925" customFormat="1" x14ac:dyDescent="0.25"/>
    <row r="118926" customFormat="1" x14ac:dyDescent="0.25"/>
    <row r="118927" customFormat="1" x14ac:dyDescent="0.25"/>
    <row r="118928" customFormat="1" x14ac:dyDescent="0.25"/>
    <row r="118929" customFormat="1" x14ac:dyDescent="0.25"/>
    <row r="118930" customFormat="1" x14ac:dyDescent="0.25"/>
    <row r="118931" customFormat="1" x14ac:dyDescent="0.25"/>
    <row r="118932" customFormat="1" x14ac:dyDescent="0.25"/>
    <row r="118933" customFormat="1" x14ac:dyDescent="0.25"/>
    <row r="118934" customFormat="1" x14ac:dyDescent="0.25"/>
    <row r="118935" customFormat="1" x14ac:dyDescent="0.25"/>
    <row r="118936" customFormat="1" x14ac:dyDescent="0.25"/>
    <row r="118937" customFormat="1" x14ac:dyDescent="0.25"/>
    <row r="118938" customFormat="1" x14ac:dyDescent="0.25"/>
    <row r="118939" customFormat="1" x14ac:dyDescent="0.25"/>
    <row r="118940" customFormat="1" x14ac:dyDescent="0.25"/>
    <row r="118941" customFormat="1" x14ac:dyDescent="0.25"/>
    <row r="118942" customFormat="1" x14ac:dyDescent="0.25"/>
    <row r="118943" customFormat="1" x14ac:dyDescent="0.25"/>
    <row r="118944" customFormat="1" x14ac:dyDescent="0.25"/>
    <row r="118945" customFormat="1" x14ac:dyDescent="0.25"/>
    <row r="118946" customFormat="1" x14ac:dyDescent="0.25"/>
    <row r="118947" customFormat="1" x14ac:dyDescent="0.25"/>
    <row r="118948" customFormat="1" x14ac:dyDescent="0.25"/>
    <row r="118949" customFormat="1" x14ac:dyDescent="0.25"/>
    <row r="118950" customFormat="1" x14ac:dyDescent="0.25"/>
    <row r="118951" customFormat="1" x14ac:dyDescent="0.25"/>
    <row r="118952" customFormat="1" x14ac:dyDescent="0.25"/>
    <row r="118953" customFormat="1" x14ac:dyDescent="0.25"/>
    <row r="118954" customFormat="1" x14ac:dyDescent="0.25"/>
    <row r="118955" customFormat="1" x14ac:dyDescent="0.25"/>
    <row r="118956" customFormat="1" x14ac:dyDescent="0.25"/>
    <row r="118957" customFormat="1" x14ac:dyDescent="0.25"/>
    <row r="118958" customFormat="1" x14ac:dyDescent="0.25"/>
    <row r="118959" customFormat="1" x14ac:dyDescent="0.25"/>
    <row r="118960" customFormat="1" x14ac:dyDescent="0.25"/>
    <row r="118961" customFormat="1" x14ac:dyDescent="0.25"/>
    <row r="118962" customFormat="1" x14ac:dyDescent="0.25"/>
    <row r="118963" customFormat="1" x14ac:dyDescent="0.25"/>
    <row r="118964" customFormat="1" x14ac:dyDescent="0.25"/>
    <row r="118965" customFormat="1" x14ac:dyDescent="0.25"/>
    <row r="118966" customFormat="1" x14ac:dyDescent="0.25"/>
    <row r="118967" customFormat="1" x14ac:dyDescent="0.25"/>
    <row r="118968" customFormat="1" x14ac:dyDescent="0.25"/>
    <row r="118969" customFormat="1" x14ac:dyDescent="0.25"/>
    <row r="118970" customFormat="1" x14ac:dyDescent="0.25"/>
    <row r="118971" customFormat="1" x14ac:dyDescent="0.25"/>
    <row r="118972" customFormat="1" x14ac:dyDescent="0.25"/>
    <row r="118973" customFormat="1" x14ac:dyDescent="0.25"/>
    <row r="118974" customFormat="1" x14ac:dyDescent="0.25"/>
    <row r="118975" customFormat="1" x14ac:dyDescent="0.25"/>
    <row r="118976" customFormat="1" x14ac:dyDescent="0.25"/>
    <row r="118977" customFormat="1" x14ac:dyDescent="0.25"/>
    <row r="118978" customFormat="1" x14ac:dyDescent="0.25"/>
    <row r="118979" customFormat="1" x14ac:dyDescent="0.25"/>
    <row r="118980" customFormat="1" x14ac:dyDescent="0.25"/>
    <row r="118981" customFormat="1" x14ac:dyDescent="0.25"/>
    <row r="118982" customFormat="1" x14ac:dyDescent="0.25"/>
    <row r="118983" customFormat="1" x14ac:dyDescent="0.25"/>
    <row r="118984" customFormat="1" x14ac:dyDescent="0.25"/>
    <row r="118985" customFormat="1" x14ac:dyDescent="0.25"/>
    <row r="118986" customFormat="1" x14ac:dyDescent="0.25"/>
    <row r="118987" customFormat="1" x14ac:dyDescent="0.25"/>
    <row r="118988" customFormat="1" x14ac:dyDescent="0.25"/>
    <row r="118989" customFormat="1" x14ac:dyDescent="0.25"/>
    <row r="118990" customFormat="1" x14ac:dyDescent="0.25"/>
    <row r="118991" customFormat="1" x14ac:dyDescent="0.25"/>
    <row r="118992" customFormat="1" x14ac:dyDescent="0.25"/>
    <row r="118993" customFormat="1" x14ac:dyDescent="0.25"/>
    <row r="118994" customFormat="1" x14ac:dyDescent="0.25"/>
    <row r="118995" customFormat="1" x14ac:dyDescent="0.25"/>
    <row r="118996" customFormat="1" x14ac:dyDescent="0.25"/>
    <row r="118997" customFormat="1" x14ac:dyDescent="0.25"/>
    <row r="118998" customFormat="1" x14ac:dyDescent="0.25"/>
    <row r="118999" customFormat="1" x14ac:dyDescent="0.25"/>
    <row r="119000" customFormat="1" x14ac:dyDescent="0.25"/>
    <row r="119001" customFormat="1" x14ac:dyDescent="0.25"/>
    <row r="119002" customFormat="1" x14ac:dyDescent="0.25"/>
    <row r="119003" customFormat="1" x14ac:dyDescent="0.25"/>
    <row r="119004" customFormat="1" x14ac:dyDescent="0.25"/>
    <row r="119005" customFormat="1" x14ac:dyDescent="0.25"/>
    <row r="119006" customFormat="1" x14ac:dyDescent="0.25"/>
    <row r="119007" customFormat="1" x14ac:dyDescent="0.25"/>
    <row r="119008" customFormat="1" x14ac:dyDescent="0.25"/>
    <row r="119009" customFormat="1" x14ac:dyDescent="0.25"/>
    <row r="119010" customFormat="1" x14ac:dyDescent="0.25"/>
    <row r="119011" customFormat="1" x14ac:dyDescent="0.25"/>
    <row r="119012" customFormat="1" x14ac:dyDescent="0.25"/>
    <row r="119013" customFormat="1" x14ac:dyDescent="0.25"/>
    <row r="119014" customFormat="1" x14ac:dyDescent="0.25"/>
    <row r="119015" customFormat="1" x14ac:dyDescent="0.25"/>
    <row r="119016" customFormat="1" x14ac:dyDescent="0.25"/>
    <row r="119017" customFormat="1" x14ac:dyDescent="0.25"/>
    <row r="119018" customFormat="1" x14ac:dyDescent="0.25"/>
    <row r="119019" customFormat="1" x14ac:dyDescent="0.25"/>
    <row r="119020" customFormat="1" x14ac:dyDescent="0.25"/>
    <row r="119021" customFormat="1" x14ac:dyDescent="0.25"/>
    <row r="119022" customFormat="1" x14ac:dyDescent="0.25"/>
    <row r="119023" customFormat="1" x14ac:dyDescent="0.25"/>
    <row r="119024" customFormat="1" x14ac:dyDescent="0.25"/>
    <row r="119025" customFormat="1" x14ac:dyDescent="0.25"/>
    <row r="119026" customFormat="1" x14ac:dyDescent="0.25"/>
    <row r="119027" customFormat="1" x14ac:dyDescent="0.25"/>
    <row r="119028" customFormat="1" x14ac:dyDescent="0.25"/>
    <row r="119029" customFormat="1" x14ac:dyDescent="0.25"/>
    <row r="119030" customFormat="1" x14ac:dyDescent="0.25"/>
    <row r="119031" customFormat="1" x14ac:dyDescent="0.25"/>
    <row r="119032" customFormat="1" x14ac:dyDescent="0.25"/>
    <row r="119033" customFormat="1" x14ac:dyDescent="0.25"/>
    <row r="119034" customFormat="1" x14ac:dyDescent="0.25"/>
    <row r="119035" customFormat="1" x14ac:dyDescent="0.25"/>
    <row r="119036" customFormat="1" x14ac:dyDescent="0.25"/>
    <row r="119037" customFormat="1" x14ac:dyDescent="0.25"/>
    <row r="119038" customFormat="1" x14ac:dyDescent="0.25"/>
    <row r="119039" customFormat="1" x14ac:dyDescent="0.25"/>
    <row r="119040" customFormat="1" x14ac:dyDescent="0.25"/>
    <row r="119041" customFormat="1" x14ac:dyDescent="0.25"/>
    <row r="119042" customFormat="1" x14ac:dyDescent="0.25"/>
    <row r="119043" customFormat="1" x14ac:dyDescent="0.25"/>
    <row r="119044" customFormat="1" x14ac:dyDescent="0.25"/>
    <row r="119045" customFormat="1" x14ac:dyDescent="0.25"/>
    <row r="119046" customFormat="1" x14ac:dyDescent="0.25"/>
    <row r="119047" customFormat="1" x14ac:dyDescent="0.25"/>
    <row r="119048" customFormat="1" x14ac:dyDescent="0.25"/>
    <row r="119049" customFormat="1" x14ac:dyDescent="0.25"/>
    <row r="119050" customFormat="1" x14ac:dyDescent="0.25"/>
    <row r="119051" customFormat="1" x14ac:dyDescent="0.25"/>
    <row r="119052" customFormat="1" x14ac:dyDescent="0.25"/>
    <row r="119053" customFormat="1" x14ac:dyDescent="0.25"/>
    <row r="119054" customFormat="1" x14ac:dyDescent="0.25"/>
    <row r="119055" customFormat="1" x14ac:dyDescent="0.25"/>
    <row r="119056" customFormat="1" x14ac:dyDescent="0.25"/>
    <row r="119057" customFormat="1" x14ac:dyDescent="0.25"/>
    <row r="119058" customFormat="1" x14ac:dyDescent="0.25"/>
    <row r="119059" customFormat="1" x14ac:dyDescent="0.25"/>
    <row r="119060" customFormat="1" x14ac:dyDescent="0.25"/>
    <row r="119061" customFormat="1" x14ac:dyDescent="0.25"/>
    <row r="119062" customFormat="1" x14ac:dyDescent="0.25"/>
    <row r="119063" customFormat="1" x14ac:dyDescent="0.25"/>
    <row r="119064" customFormat="1" x14ac:dyDescent="0.25"/>
    <row r="119065" customFormat="1" x14ac:dyDescent="0.25"/>
    <row r="119066" customFormat="1" x14ac:dyDescent="0.25"/>
    <row r="119067" customFormat="1" x14ac:dyDescent="0.25"/>
    <row r="119068" customFormat="1" x14ac:dyDescent="0.25"/>
    <row r="119069" customFormat="1" x14ac:dyDescent="0.25"/>
    <row r="119070" customFormat="1" x14ac:dyDescent="0.25"/>
    <row r="119071" customFormat="1" x14ac:dyDescent="0.25"/>
    <row r="119072" customFormat="1" x14ac:dyDescent="0.25"/>
    <row r="119073" customFormat="1" x14ac:dyDescent="0.25"/>
    <row r="119074" customFormat="1" x14ac:dyDescent="0.25"/>
    <row r="119075" customFormat="1" x14ac:dyDescent="0.25"/>
    <row r="119076" customFormat="1" x14ac:dyDescent="0.25"/>
    <row r="119077" customFormat="1" x14ac:dyDescent="0.25"/>
    <row r="119078" customFormat="1" x14ac:dyDescent="0.25"/>
    <row r="119079" customFormat="1" x14ac:dyDescent="0.25"/>
    <row r="119080" customFormat="1" x14ac:dyDescent="0.25"/>
    <row r="119081" customFormat="1" x14ac:dyDescent="0.25"/>
    <row r="119082" customFormat="1" x14ac:dyDescent="0.25"/>
    <row r="119083" customFormat="1" x14ac:dyDescent="0.25"/>
    <row r="119084" customFormat="1" x14ac:dyDescent="0.25"/>
    <row r="119085" customFormat="1" x14ac:dyDescent="0.25"/>
    <row r="119086" customFormat="1" x14ac:dyDescent="0.25"/>
    <row r="119087" customFormat="1" x14ac:dyDescent="0.25"/>
    <row r="119088" customFormat="1" x14ac:dyDescent="0.25"/>
    <row r="119089" customFormat="1" x14ac:dyDescent="0.25"/>
    <row r="119090" customFormat="1" x14ac:dyDescent="0.25"/>
    <row r="119091" customFormat="1" x14ac:dyDescent="0.25"/>
    <row r="119092" customFormat="1" x14ac:dyDescent="0.25"/>
    <row r="119093" customFormat="1" x14ac:dyDescent="0.25"/>
    <row r="119094" customFormat="1" x14ac:dyDescent="0.25"/>
    <row r="119095" customFormat="1" x14ac:dyDescent="0.25"/>
    <row r="119096" customFormat="1" x14ac:dyDescent="0.25"/>
    <row r="119097" customFormat="1" x14ac:dyDescent="0.25"/>
    <row r="119098" customFormat="1" x14ac:dyDescent="0.25"/>
    <row r="119099" customFormat="1" x14ac:dyDescent="0.25"/>
    <row r="119100" customFormat="1" x14ac:dyDescent="0.25"/>
    <row r="119101" customFormat="1" x14ac:dyDescent="0.25"/>
    <row r="119102" customFormat="1" x14ac:dyDescent="0.25"/>
    <row r="119103" customFormat="1" x14ac:dyDescent="0.25"/>
    <row r="119104" customFormat="1" x14ac:dyDescent="0.25"/>
    <row r="119105" customFormat="1" x14ac:dyDescent="0.25"/>
    <row r="119106" customFormat="1" x14ac:dyDescent="0.25"/>
    <row r="119107" customFormat="1" x14ac:dyDescent="0.25"/>
    <row r="119108" customFormat="1" x14ac:dyDescent="0.25"/>
    <row r="119109" customFormat="1" x14ac:dyDescent="0.25"/>
    <row r="119110" customFormat="1" x14ac:dyDescent="0.25"/>
    <row r="119111" customFormat="1" x14ac:dyDescent="0.25"/>
    <row r="119112" customFormat="1" x14ac:dyDescent="0.25"/>
    <row r="119113" customFormat="1" x14ac:dyDescent="0.25"/>
    <row r="119114" customFormat="1" x14ac:dyDescent="0.25"/>
    <row r="119115" customFormat="1" x14ac:dyDescent="0.25"/>
    <row r="119116" customFormat="1" x14ac:dyDescent="0.25"/>
    <row r="119117" customFormat="1" x14ac:dyDescent="0.25"/>
    <row r="119118" customFormat="1" x14ac:dyDescent="0.25"/>
    <row r="119119" customFormat="1" x14ac:dyDescent="0.25"/>
    <row r="119120" customFormat="1" x14ac:dyDescent="0.25"/>
    <row r="119121" customFormat="1" x14ac:dyDescent="0.25"/>
    <row r="119122" customFormat="1" x14ac:dyDescent="0.25"/>
    <row r="119123" customFormat="1" x14ac:dyDescent="0.25"/>
    <row r="119124" customFormat="1" x14ac:dyDescent="0.25"/>
    <row r="119125" customFormat="1" x14ac:dyDescent="0.25"/>
    <row r="119126" customFormat="1" x14ac:dyDescent="0.25"/>
    <row r="119127" customFormat="1" x14ac:dyDescent="0.25"/>
    <row r="119128" customFormat="1" x14ac:dyDescent="0.25"/>
    <row r="119129" customFormat="1" x14ac:dyDescent="0.25"/>
    <row r="119130" customFormat="1" x14ac:dyDescent="0.25"/>
    <row r="119131" customFormat="1" x14ac:dyDescent="0.25"/>
    <row r="119132" customFormat="1" x14ac:dyDescent="0.25"/>
    <row r="119133" customFormat="1" x14ac:dyDescent="0.25"/>
    <row r="119134" customFormat="1" x14ac:dyDescent="0.25"/>
    <row r="119135" customFormat="1" x14ac:dyDescent="0.25"/>
    <row r="119136" customFormat="1" x14ac:dyDescent="0.25"/>
    <row r="119137" customFormat="1" x14ac:dyDescent="0.25"/>
    <row r="119138" customFormat="1" x14ac:dyDescent="0.25"/>
    <row r="119139" customFormat="1" x14ac:dyDescent="0.25"/>
    <row r="119140" customFormat="1" x14ac:dyDescent="0.25"/>
    <row r="119141" customFormat="1" x14ac:dyDescent="0.25"/>
    <row r="119142" customFormat="1" x14ac:dyDescent="0.25"/>
    <row r="119143" customFormat="1" x14ac:dyDescent="0.25"/>
    <row r="119144" customFormat="1" x14ac:dyDescent="0.25"/>
    <row r="119145" customFormat="1" x14ac:dyDescent="0.25"/>
    <row r="119146" customFormat="1" x14ac:dyDescent="0.25"/>
    <row r="119147" customFormat="1" x14ac:dyDescent="0.25"/>
    <row r="119148" customFormat="1" x14ac:dyDescent="0.25"/>
    <row r="119149" customFormat="1" x14ac:dyDescent="0.25"/>
    <row r="119150" customFormat="1" x14ac:dyDescent="0.25"/>
    <row r="119151" customFormat="1" x14ac:dyDescent="0.25"/>
    <row r="119152" customFormat="1" x14ac:dyDescent="0.25"/>
    <row r="119153" customFormat="1" x14ac:dyDescent="0.25"/>
    <row r="119154" customFormat="1" x14ac:dyDescent="0.25"/>
    <row r="119155" customFormat="1" x14ac:dyDescent="0.25"/>
    <row r="119156" customFormat="1" x14ac:dyDescent="0.25"/>
    <row r="119157" customFormat="1" x14ac:dyDescent="0.25"/>
    <row r="119158" customFormat="1" x14ac:dyDescent="0.25"/>
    <row r="119159" customFormat="1" x14ac:dyDescent="0.25"/>
    <row r="119160" customFormat="1" x14ac:dyDescent="0.25"/>
    <row r="119161" customFormat="1" x14ac:dyDescent="0.25"/>
    <row r="119162" customFormat="1" x14ac:dyDescent="0.25"/>
    <row r="119163" customFormat="1" x14ac:dyDescent="0.25"/>
    <row r="119164" customFormat="1" x14ac:dyDescent="0.25"/>
    <row r="119165" customFormat="1" x14ac:dyDescent="0.25"/>
    <row r="119166" customFormat="1" x14ac:dyDescent="0.25"/>
    <row r="119167" customFormat="1" x14ac:dyDescent="0.25"/>
    <row r="119168" customFormat="1" x14ac:dyDescent="0.25"/>
    <row r="119169" customFormat="1" x14ac:dyDescent="0.25"/>
    <row r="119170" customFormat="1" x14ac:dyDescent="0.25"/>
    <row r="119171" customFormat="1" x14ac:dyDescent="0.25"/>
    <row r="119172" customFormat="1" x14ac:dyDescent="0.25"/>
    <row r="119173" customFormat="1" x14ac:dyDescent="0.25"/>
    <row r="119174" customFormat="1" x14ac:dyDescent="0.25"/>
    <row r="119175" customFormat="1" x14ac:dyDescent="0.25"/>
    <row r="119176" customFormat="1" x14ac:dyDescent="0.25"/>
    <row r="119177" customFormat="1" x14ac:dyDescent="0.25"/>
    <row r="119178" customFormat="1" x14ac:dyDescent="0.25"/>
    <row r="119179" customFormat="1" x14ac:dyDescent="0.25"/>
    <row r="119180" customFormat="1" x14ac:dyDescent="0.25"/>
    <row r="119181" customFormat="1" x14ac:dyDescent="0.25"/>
    <row r="119182" customFormat="1" x14ac:dyDescent="0.25"/>
    <row r="119183" customFormat="1" x14ac:dyDescent="0.25"/>
    <row r="119184" customFormat="1" x14ac:dyDescent="0.25"/>
    <row r="119185" customFormat="1" x14ac:dyDescent="0.25"/>
    <row r="119186" customFormat="1" x14ac:dyDescent="0.25"/>
    <row r="119187" customFormat="1" x14ac:dyDescent="0.25"/>
    <row r="119188" customFormat="1" x14ac:dyDescent="0.25"/>
    <row r="119189" customFormat="1" x14ac:dyDescent="0.25"/>
    <row r="119190" customFormat="1" x14ac:dyDescent="0.25"/>
    <row r="119191" customFormat="1" x14ac:dyDescent="0.25"/>
    <row r="119192" customFormat="1" x14ac:dyDescent="0.25"/>
    <row r="119193" customFormat="1" x14ac:dyDescent="0.25"/>
    <row r="119194" customFormat="1" x14ac:dyDescent="0.25"/>
    <row r="119195" customFormat="1" x14ac:dyDescent="0.25"/>
    <row r="119196" customFormat="1" x14ac:dyDescent="0.25"/>
    <row r="119197" customFormat="1" x14ac:dyDescent="0.25"/>
    <row r="119198" customFormat="1" x14ac:dyDescent="0.25"/>
    <row r="119199" customFormat="1" x14ac:dyDescent="0.25"/>
    <row r="119200" customFormat="1" x14ac:dyDescent="0.25"/>
    <row r="119201" customFormat="1" x14ac:dyDescent="0.25"/>
    <row r="119202" customFormat="1" x14ac:dyDescent="0.25"/>
    <row r="119203" customFormat="1" x14ac:dyDescent="0.25"/>
    <row r="119204" customFormat="1" x14ac:dyDescent="0.25"/>
    <row r="119205" customFormat="1" x14ac:dyDescent="0.25"/>
    <row r="119206" customFormat="1" x14ac:dyDescent="0.25"/>
    <row r="119207" customFormat="1" x14ac:dyDescent="0.25"/>
    <row r="119208" customFormat="1" x14ac:dyDescent="0.25"/>
    <row r="119209" customFormat="1" x14ac:dyDescent="0.25"/>
    <row r="119210" customFormat="1" x14ac:dyDescent="0.25"/>
    <row r="119211" customFormat="1" x14ac:dyDescent="0.25"/>
    <row r="119212" customFormat="1" x14ac:dyDescent="0.25"/>
    <row r="119213" customFormat="1" x14ac:dyDescent="0.25"/>
    <row r="119214" customFormat="1" x14ac:dyDescent="0.25"/>
    <row r="119215" customFormat="1" x14ac:dyDescent="0.25"/>
    <row r="119216" customFormat="1" x14ac:dyDescent="0.25"/>
    <row r="119217" customFormat="1" x14ac:dyDescent="0.25"/>
    <row r="119218" customFormat="1" x14ac:dyDescent="0.25"/>
    <row r="119219" customFormat="1" x14ac:dyDescent="0.25"/>
    <row r="119220" customFormat="1" x14ac:dyDescent="0.25"/>
    <row r="119221" customFormat="1" x14ac:dyDescent="0.25"/>
    <row r="119222" customFormat="1" x14ac:dyDescent="0.25"/>
    <row r="119223" customFormat="1" x14ac:dyDescent="0.25"/>
    <row r="119224" customFormat="1" x14ac:dyDescent="0.25"/>
    <row r="119225" customFormat="1" x14ac:dyDescent="0.25"/>
    <row r="119226" customFormat="1" x14ac:dyDescent="0.25"/>
    <row r="119227" customFormat="1" x14ac:dyDescent="0.25"/>
    <row r="119228" customFormat="1" x14ac:dyDescent="0.25"/>
    <row r="119229" customFormat="1" x14ac:dyDescent="0.25"/>
    <row r="119230" customFormat="1" x14ac:dyDescent="0.25"/>
    <row r="119231" customFormat="1" x14ac:dyDescent="0.25"/>
    <row r="119232" customFormat="1" x14ac:dyDescent="0.25"/>
    <row r="119233" customFormat="1" x14ac:dyDescent="0.25"/>
    <row r="119234" customFormat="1" x14ac:dyDescent="0.25"/>
    <row r="119235" customFormat="1" x14ac:dyDescent="0.25"/>
    <row r="119236" customFormat="1" x14ac:dyDescent="0.25"/>
    <row r="119237" customFormat="1" x14ac:dyDescent="0.25"/>
    <row r="119238" customFormat="1" x14ac:dyDescent="0.25"/>
    <row r="119239" customFormat="1" x14ac:dyDescent="0.25"/>
    <row r="119240" customFormat="1" x14ac:dyDescent="0.25"/>
    <row r="119241" customFormat="1" x14ac:dyDescent="0.25"/>
    <row r="119242" customFormat="1" x14ac:dyDescent="0.25"/>
    <row r="119243" customFormat="1" x14ac:dyDescent="0.25"/>
    <row r="119244" customFormat="1" x14ac:dyDescent="0.25"/>
    <row r="119245" customFormat="1" x14ac:dyDescent="0.25"/>
    <row r="119246" customFormat="1" x14ac:dyDescent="0.25"/>
    <row r="119247" customFormat="1" x14ac:dyDescent="0.25"/>
    <row r="119248" customFormat="1" x14ac:dyDescent="0.25"/>
    <row r="119249" customFormat="1" x14ac:dyDescent="0.25"/>
    <row r="119250" customFormat="1" x14ac:dyDescent="0.25"/>
    <row r="119251" customFormat="1" x14ac:dyDescent="0.25"/>
    <row r="119252" customFormat="1" x14ac:dyDescent="0.25"/>
    <row r="119253" customFormat="1" x14ac:dyDescent="0.25"/>
    <row r="119254" customFormat="1" x14ac:dyDescent="0.25"/>
    <row r="119255" customFormat="1" x14ac:dyDescent="0.25"/>
    <row r="119256" customFormat="1" x14ac:dyDescent="0.25"/>
    <row r="119257" customFormat="1" x14ac:dyDescent="0.25"/>
    <row r="119258" customFormat="1" x14ac:dyDescent="0.25"/>
    <row r="119259" customFormat="1" x14ac:dyDescent="0.25"/>
    <row r="119260" customFormat="1" x14ac:dyDescent="0.25"/>
    <row r="119261" customFormat="1" x14ac:dyDescent="0.25"/>
    <row r="119262" customFormat="1" x14ac:dyDescent="0.25"/>
    <row r="119263" customFormat="1" x14ac:dyDescent="0.25"/>
    <row r="119264" customFormat="1" x14ac:dyDescent="0.25"/>
    <row r="119265" customFormat="1" x14ac:dyDescent="0.25"/>
    <row r="119266" customFormat="1" x14ac:dyDescent="0.25"/>
    <row r="119267" customFormat="1" x14ac:dyDescent="0.25"/>
    <row r="119268" customFormat="1" x14ac:dyDescent="0.25"/>
    <row r="119269" customFormat="1" x14ac:dyDescent="0.25"/>
    <row r="119270" customFormat="1" x14ac:dyDescent="0.25"/>
    <row r="119271" customFormat="1" x14ac:dyDescent="0.25"/>
    <row r="119272" customFormat="1" x14ac:dyDescent="0.25"/>
    <row r="119273" customFormat="1" x14ac:dyDescent="0.25"/>
    <row r="119274" customFormat="1" x14ac:dyDescent="0.25"/>
    <row r="119275" customFormat="1" x14ac:dyDescent="0.25"/>
    <row r="119276" customFormat="1" x14ac:dyDescent="0.25"/>
    <row r="119277" customFormat="1" x14ac:dyDescent="0.25"/>
    <row r="119278" customFormat="1" x14ac:dyDescent="0.25"/>
    <row r="119279" customFormat="1" x14ac:dyDescent="0.25"/>
    <row r="119280" customFormat="1" x14ac:dyDescent="0.25"/>
    <row r="119281" customFormat="1" x14ac:dyDescent="0.25"/>
    <row r="119282" customFormat="1" x14ac:dyDescent="0.25"/>
    <row r="119283" customFormat="1" x14ac:dyDescent="0.25"/>
    <row r="119284" customFormat="1" x14ac:dyDescent="0.25"/>
    <row r="119285" customFormat="1" x14ac:dyDescent="0.25"/>
    <row r="119286" customFormat="1" x14ac:dyDescent="0.25"/>
    <row r="119287" customFormat="1" x14ac:dyDescent="0.25"/>
    <row r="119288" customFormat="1" x14ac:dyDescent="0.25"/>
    <row r="119289" customFormat="1" x14ac:dyDescent="0.25"/>
    <row r="119290" customFormat="1" x14ac:dyDescent="0.25"/>
    <row r="119291" customFormat="1" x14ac:dyDescent="0.25"/>
    <row r="119292" customFormat="1" x14ac:dyDescent="0.25"/>
    <row r="119293" customFormat="1" x14ac:dyDescent="0.25"/>
    <row r="119294" customFormat="1" x14ac:dyDescent="0.25"/>
    <row r="119295" customFormat="1" x14ac:dyDescent="0.25"/>
    <row r="119296" customFormat="1" x14ac:dyDescent="0.25"/>
    <row r="119297" customFormat="1" x14ac:dyDescent="0.25"/>
    <row r="119298" customFormat="1" x14ac:dyDescent="0.25"/>
    <row r="119299" customFormat="1" x14ac:dyDescent="0.25"/>
    <row r="119300" customFormat="1" x14ac:dyDescent="0.25"/>
    <row r="119301" customFormat="1" x14ac:dyDescent="0.25"/>
    <row r="119302" customFormat="1" x14ac:dyDescent="0.25"/>
    <row r="119303" customFormat="1" x14ac:dyDescent="0.25"/>
    <row r="119304" customFormat="1" x14ac:dyDescent="0.25"/>
    <row r="119305" customFormat="1" x14ac:dyDescent="0.25"/>
    <row r="119306" customFormat="1" x14ac:dyDescent="0.25"/>
    <row r="119307" customFormat="1" x14ac:dyDescent="0.25"/>
    <row r="119308" customFormat="1" x14ac:dyDescent="0.25"/>
    <row r="119309" customFormat="1" x14ac:dyDescent="0.25"/>
    <row r="119310" customFormat="1" x14ac:dyDescent="0.25"/>
    <row r="119311" customFormat="1" x14ac:dyDescent="0.25"/>
    <row r="119312" customFormat="1" x14ac:dyDescent="0.25"/>
    <row r="119313" customFormat="1" x14ac:dyDescent="0.25"/>
    <row r="119314" customFormat="1" x14ac:dyDescent="0.25"/>
    <row r="119315" customFormat="1" x14ac:dyDescent="0.25"/>
    <row r="119316" customFormat="1" x14ac:dyDescent="0.25"/>
    <row r="119317" customFormat="1" x14ac:dyDescent="0.25"/>
    <row r="119318" customFormat="1" x14ac:dyDescent="0.25"/>
    <row r="119319" customFormat="1" x14ac:dyDescent="0.25"/>
    <row r="119320" customFormat="1" x14ac:dyDescent="0.25"/>
    <row r="119321" customFormat="1" x14ac:dyDescent="0.25"/>
    <row r="119322" customFormat="1" x14ac:dyDescent="0.25"/>
    <row r="119323" customFormat="1" x14ac:dyDescent="0.25"/>
    <row r="119324" customFormat="1" x14ac:dyDescent="0.25"/>
    <row r="119325" customFormat="1" x14ac:dyDescent="0.25"/>
    <row r="119326" customFormat="1" x14ac:dyDescent="0.25"/>
    <row r="119327" customFormat="1" x14ac:dyDescent="0.25"/>
    <row r="119328" customFormat="1" x14ac:dyDescent="0.25"/>
    <row r="119329" customFormat="1" x14ac:dyDescent="0.25"/>
    <row r="119330" customFormat="1" x14ac:dyDescent="0.25"/>
    <row r="119331" customFormat="1" x14ac:dyDescent="0.25"/>
    <row r="119332" customFormat="1" x14ac:dyDescent="0.25"/>
    <row r="119333" customFormat="1" x14ac:dyDescent="0.25"/>
    <row r="119334" customFormat="1" x14ac:dyDescent="0.25"/>
    <row r="119335" customFormat="1" x14ac:dyDescent="0.25"/>
    <row r="119336" customFormat="1" x14ac:dyDescent="0.25"/>
    <row r="119337" customFormat="1" x14ac:dyDescent="0.25"/>
    <row r="119338" customFormat="1" x14ac:dyDescent="0.25"/>
    <row r="119339" customFormat="1" x14ac:dyDescent="0.25"/>
    <row r="119340" customFormat="1" x14ac:dyDescent="0.25"/>
    <row r="119341" customFormat="1" x14ac:dyDescent="0.25"/>
    <row r="119342" customFormat="1" x14ac:dyDescent="0.25"/>
    <row r="119343" customFormat="1" x14ac:dyDescent="0.25"/>
    <row r="119344" customFormat="1" x14ac:dyDescent="0.25"/>
    <row r="119345" customFormat="1" x14ac:dyDescent="0.25"/>
    <row r="119346" customFormat="1" x14ac:dyDescent="0.25"/>
    <row r="119347" customFormat="1" x14ac:dyDescent="0.25"/>
    <row r="119348" customFormat="1" x14ac:dyDescent="0.25"/>
    <row r="119349" customFormat="1" x14ac:dyDescent="0.25"/>
    <row r="119350" customFormat="1" x14ac:dyDescent="0.25"/>
    <row r="119351" customFormat="1" x14ac:dyDescent="0.25"/>
    <row r="119352" customFormat="1" x14ac:dyDescent="0.25"/>
    <row r="119353" customFormat="1" x14ac:dyDescent="0.25"/>
    <row r="119354" customFormat="1" x14ac:dyDescent="0.25"/>
    <row r="119355" customFormat="1" x14ac:dyDescent="0.25"/>
    <row r="119356" customFormat="1" x14ac:dyDescent="0.25"/>
    <row r="119357" customFormat="1" x14ac:dyDescent="0.25"/>
    <row r="119358" customFormat="1" x14ac:dyDescent="0.25"/>
    <row r="119359" customFormat="1" x14ac:dyDescent="0.25"/>
    <row r="119360" customFormat="1" x14ac:dyDescent="0.25"/>
    <row r="119361" customFormat="1" x14ac:dyDescent="0.25"/>
    <row r="119362" customFormat="1" x14ac:dyDescent="0.25"/>
    <row r="119363" customFormat="1" x14ac:dyDescent="0.25"/>
    <row r="119364" customFormat="1" x14ac:dyDescent="0.25"/>
    <row r="119365" customFormat="1" x14ac:dyDescent="0.25"/>
    <row r="119366" customFormat="1" x14ac:dyDescent="0.25"/>
    <row r="119367" customFormat="1" x14ac:dyDescent="0.25"/>
    <row r="119368" customFormat="1" x14ac:dyDescent="0.25"/>
    <row r="119369" customFormat="1" x14ac:dyDescent="0.25"/>
    <row r="119370" customFormat="1" x14ac:dyDescent="0.25"/>
    <row r="119371" customFormat="1" x14ac:dyDescent="0.25"/>
    <row r="119372" customFormat="1" x14ac:dyDescent="0.25"/>
    <row r="119373" customFormat="1" x14ac:dyDescent="0.25"/>
    <row r="119374" customFormat="1" x14ac:dyDescent="0.25"/>
    <row r="119375" customFormat="1" x14ac:dyDescent="0.25"/>
    <row r="119376" customFormat="1" x14ac:dyDescent="0.25"/>
    <row r="119377" customFormat="1" x14ac:dyDescent="0.25"/>
    <row r="119378" customFormat="1" x14ac:dyDescent="0.25"/>
    <row r="119379" customFormat="1" x14ac:dyDescent="0.25"/>
    <row r="119380" customFormat="1" x14ac:dyDescent="0.25"/>
    <row r="119381" customFormat="1" x14ac:dyDescent="0.25"/>
    <row r="119382" customFormat="1" x14ac:dyDescent="0.25"/>
    <row r="119383" customFormat="1" x14ac:dyDescent="0.25"/>
    <row r="119384" customFormat="1" x14ac:dyDescent="0.25"/>
    <row r="119385" customFormat="1" x14ac:dyDescent="0.25"/>
    <row r="119386" customFormat="1" x14ac:dyDescent="0.25"/>
    <row r="119387" customFormat="1" x14ac:dyDescent="0.25"/>
    <row r="119388" customFormat="1" x14ac:dyDescent="0.25"/>
    <row r="119389" customFormat="1" x14ac:dyDescent="0.25"/>
    <row r="119390" customFormat="1" x14ac:dyDescent="0.25"/>
    <row r="119391" customFormat="1" x14ac:dyDescent="0.25"/>
    <row r="119392" customFormat="1" x14ac:dyDescent="0.25"/>
    <row r="119393" customFormat="1" x14ac:dyDescent="0.25"/>
    <row r="119394" customFormat="1" x14ac:dyDescent="0.25"/>
    <row r="119395" customFormat="1" x14ac:dyDescent="0.25"/>
    <row r="119396" customFormat="1" x14ac:dyDescent="0.25"/>
    <row r="119397" customFormat="1" x14ac:dyDescent="0.25"/>
    <row r="119398" customFormat="1" x14ac:dyDescent="0.25"/>
    <row r="119399" customFormat="1" x14ac:dyDescent="0.25"/>
    <row r="119400" customFormat="1" x14ac:dyDescent="0.25"/>
    <row r="119401" customFormat="1" x14ac:dyDescent="0.25"/>
    <row r="119402" customFormat="1" x14ac:dyDescent="0.25"/>
    <row r="119403" customFormat="1" x14ac:dyDescent="0.25"/>
    <row r="119404" customFormat="1" x14ac:dyDescent="0.25"/>
    <row r="119405" customFormat="1" x14ac:dyDescent="0.25"/>
    <row r="119406" customFormat="1" x14ac:dyDescent="0.25"/>
    <row r="119407" customFormat="1" x14ac:dyDescent="0.25"/>
    <row r="119408" customFormat="1" x14ac:dyDescent="0.25"/>
    <row r="119409" customFormat="1" x14ac:dyDescent="0.25"/>
    <row r="119410" customFormat="1" x14ac:dyDescent="0.25"/>
    <row r="119411" customFormat="1" x14ac:dyDescent="0.25"/>
    <row r="119412" customFormat="1" x14ac:dyDescent="0.25"/>
    <row r="119413" customFormat="1" x14ac:dyDescent="0.25"/>
    <row r="119414" customFormat="1" x14ac:dyDescent="0.25"/>
    <row r="119415" customFormat="1" x14ac:dyDescent="0.25"/>
    <row r="119416" customFormat="1" x14ac:dyDescent="0.25"/>
    <row r="119417" customFormat="1" x14ac:dyDescent="0.25"/>
    <row r="119418" customFormat="1" x14ac:dyDescent="0.25"/>
    <row r="119419" customFormat="1" x14ac:dyDescent="0.25"/>
    <row r="119420" customFormat="1" x14ac:dyDescent="0.25"/>
    <row r="119421" customFormat="1" x14ac:dyDescent="0.25"/>
    <row r="119422" customFormat="1" x14ac:dyDescent="0.25"/>
    <row r="119423" customFormat="1" x14ac:dyDescent="0.25"/>
    <row r="119424" customFormat="1" x14ac:dyDescent="0.25"/>
    <row r="119425" customFormat="1" x14ac:dyDescent="0.25"/>
    <row r="119426" customFormat="1" x14ac:dyDescent="0.25"/>
    <row r="119427" customFormat="1" x14ac:dyDescent="0.25"/>
    <row r="119428" customFormat="1" x14ac:dyDescent="0.25"/>
    <row r="119429" customFormat="1" x14ac:dyDescent="0.25"/>
    <row r="119430" customFormat="1" x14ac:dyDescent="0.25"/>
    <row r="119431" customFormat="1" x14ac:dyDescent="0.25"/>
    <row r="119432" customFormat="1" x14ac:dyDescent="0.25"/>
    <row r="119433" customFormat="1" x14ac:dyDescent="0.25"/>
    <row r="119434" customFormat="1" x14ac:dyDescent="0.25"/>
    <row r="119435" customFormat="1" x14ac:dyDescent="0.25"/>
    <row r="119436" customFormat="1" x14ac:dyDescent="0.25"/>
    <row r="119437" customFormat="1" x14ac:dyDescent="0.25"/>
    <row r="119438" customFormat="1" x14ac:dyDescent="0.25"/>
    <row r="119439" customFormat="1" x14ac:dyDescent="0.25"/>
    <row r="119440" customFormat="1" x14ac:dyDescent="0.25"/>
    <row r="119441" customFormat="1" x14ac:dyDescent="0.25"/>
    <row r="119442" customFormat="1" x14ac:dyDescent="0.25"/>
    <row r="119443" customFormat="1" x14ac:dyDescent="0.25"/>
    <row r="119444" customFormat="1" x14ac:dyDescent="0.25"/>
    <row r="119445" customFormat="1" x14ac:dyDescent="0.25"/>
    <row r="119446" customFormat="1" x14ac:dyDescent="0.25"/>
    <row r="119447" customFormat="1" x14ac:dyDescent="0.25"/>
    <row r="119448" customFormat="1" x14ac:dyDescent="0.25"/>
    <row r="119449" customFormat="1" x14ac:dyDescent="0.25"/>
    <row r="119450" customFormat="1" x14ac:dyDescent="0.25"/>
    <row r="119451" customFormat="1" x14ac:dyDescent="0.25"/>
    <row r="119452" customFormat="1" x14ac:dyDescent="0.25"/>
    <row r="119453" customFormat="1" x14ac:dyDescent="0.25"/>
    <row r="119454" customFormat="1" x14ac:dyDescent="0.25"/>
    <row r="119455" customFormat="1" x14ac:dyDescent="0.25"/>
    <row r="119456" customFormat="1" x14ac:dyDescent="0.25"/>
    <row r="119457" customFormat="1" x14ac:dyDescent="0.25"/>
    <row r="119458" customFormat="1" x14ac:dyDescent="0.25"/>
    <row r="119459" customFormat="1" x14ac:dyDescent="0.25"/>
    <row r="119460" customFormat="1" x14ac:dyDescent="0.25"/>
    <row r="119461" customFormat="1" x14ac:dyDescent="0.25"/>
    <row r="119462" customFormat="1" x14ac:dyDescent="0.25"/>
    <row r="119463" customFormat="1" x14ac:dyDescent="0.25"/>
    <row r="119464" customFormat="1" x14ac:dyDescent="0.25"/>
    <row r="119465" customFormat="1" x14ac:dyDescent="0.25"/>
    <row r="119466" customFormat="1" x14ac:dyDescent="0.25"/>
    <row r="119467" customFormat="1" x14ac:dyDescent="0.25"/>
    <row r="119468" customFormat="1" x14ac:dyDescent="0.25"/>
    <row r="119469" customFormat="1" x14ac:dyDescent="0.25"/>
    <row r="119470" customFormat="1" x14ac:dyDescent="0.25"/>
    <row r="119471" customFormat="1" x14ac:dyDescent="0.25"/>
    <row r="119472" customFormat="1" x14ac:dyDescent="0.25"/>
    <row r="119473" customFormat="1" x14ac:dyDescent="0.25"/>
    <row r="119474" customFormat="1" x14ac:dyDescent="0.25"/>
    <row r="119475" customFormat="1" x14ac:dyDescent="0.25"/>
    <row r="119476" customFormat="1" x14ac:dyDescent="0.25"/>
    <row r="119477" customFormat="1" x14ac:dyDescent="0.25"/>
    <row r="119478" customFormat="1" x14ac:dyDescent="0.25"/>
    <row r="119479" customFormat="1" x14ac:dyDescent="0.25"/>
    <row r="119480" customFormat="1" x14ac:dyDescent="0.25"/>
    <row r="119481" customFormat="1" x14ac:dyDescent="0.25"/>
    <row r="119482" customFormat="1" x14ac:dyDescent="0.25"/>
    <row r="119483" customFormat="1" x14ac:dyDescent="0.25"/>
    <row r="119484" customFormat="1" x14ac:dyDescent="0.25"/>
    <row r="119485" customFormat="1" x14ac:dyDescent="0.25"/>
    <row r="119486" customFormat="1" x14ac:dyDescent="0.25"/>
    <row r="119487" customFormat="1" x14ac:dyDescent="0.25"/>
    <row r="119488" customFormat="1" x14ac:dyDescent="0.25"/>
    <row r="119489" customFormat="1" x14ac:dyDescent="0.25"/>
    <row r="119490" customFormat="1" x14ac:dyDescent="0.25"/>
    <row r="119491" customFormat="1" x14ac:dyDescent="0.25"/>
    <row r="119492" customFormat="1" x14ac:dyDescent="0.25"/>
    <row r="119493" customFormat="1" x14ac:dyDescent="0.25"/>
    <row r="119494" customFormat="1" x14ac:dyDescent="0.25"/>
    <row r="119495" customFormat="1" x14ac:dyDescent="0.25"/>
    <row r="119496" customFormat="1" x14ac:dyDescent="0.25"/>
    <row r="119497" customFormat="1" x14ac:dyDescent="0.25"/>
    <row r="119498" customFormat="1" x14ac:dyDescent="0.25"/>
    <row r="119499" customFormat="1" x14ac:dyDescent="0.25"/>
    <row r="119500" customFormat="1" x14ac:dyDescent="0.25"/>
    <row r="119501" customFormat="1" x14ac:dyDescent="0.25"/>
    <row r="119502" customFormat="1" x14ac:dyDescent="0.25"/>
    <row r="119503" customFormat="1" x14ac:dyDescent="0.25"/>
    <row r="119504" customFormat="1" x14ac:dyDescent="0.25"/>
    <row r="119505" customFormat="1" x14ac:dyDescent="0.25"/>
    <row r="119506" customFormat="1" x14ac:dyDescent="0.25"/>
    <row r="119507" customFormat="1" x14ac:dyDescent="0.25"/>
    <row r="119508" customFormat="1" x14ac:dyDescent="0.25"/>
    <row r="119509" customFormat="1" x14ac:dyDescent="0.25"/>
    <row r="119510" customFormat="1" x14ac:dyDescent="0.25"/>
    <row r="119511" customFormat="1" x14ac:dyDescent="0.25"/>
    <row r="119512" customFormat="1" x14ac:dyDescent="0.25"/>
    <row r="119513" customFormat="1" x14ac:dyDescent="0.25"/>
    <row r="119514" customFormat="1" x14ac:dyDescent="0.25"/>
    <row r="119515" customFormat="1" x14ac:dyDescent="0.25"/>
    <row r="119516" customFormat="1" x14ac:dyDescent="0.25"/>
    <row r="119517" customFormat="1" x14ac:dyDescent="0.25"/>
    <row r="119518" customFormat="1" x14ac:dyDescent="0.25"/>
    <row r="119519" customFormat="1" x14ac:dyDescent="0.25"/>
    <row r="119520" customFormat="1" x14ac:dyDescent="0.25"/>
    <row r="119521" customFormat="1" x14ac:dyDescent="0.25"/>
    <row r="119522" customFormat="1" x14ac:dyDescent="0.25"/>
    <row r="119523" customFormat="1" x14ac:dyDescent="0.25"/>
    <row r="119524" customFormat="1" x14ac:dyDescent="0.25"/>
    <row r="119525" customFormat="1" x14ac:dyDescent="0.25"/>
    <row r="119526" customFormat="1" x14ac:dyDescent="0.25"/>
    <row r="119527" customFormat="1" x14ac:dyDescent="0.25"/>
    <row r="119528" customFormat="1" x14ac:dyDescent="0.25"/>
    <row r="119529" customFormat="1" x14ac:dyDescent="0.25"/>
    <row r="119530" customFormat="1" x14ac:dyDescent="0.25"/>
    <row r="119531" customFormat="1" x14ac:dyDescent="0.25"/>
    <row r="119532" customFormat="1" x14ac:dyDescent="0.25"/>
    <row r="119533" customFormat="1" x14ac:dyDescent="0.25"/>
    <row r="119534" customFormat="1" x14ac:dyDescent="0.25"/>
    <row r="119535" customFormat="1" x14ac:dyDescent="0.25"/>
    <row r="119536" customFormat="1" x14ac:dyDescent="0.25"/>
    <row r="119537" customFormat="1" x14ac:dyDescent="0.25"/>
    <row r="119538" customFormat="1" x14ac:dyDescent="0.25"/>
    <row r="119539" customFormat="1" x14ac:dyDescent="0.25"/>
    <row r="119540" customFormat="1" x14ac:dyDescent="0.25"/>
    <row r="119541" customFormat="1" x14ac:dyDescent="0.25"/>
    <row r="119542" customFormat="1" x14ac:dyDescent="0.25"/>
    <row r="119543" customFormat="1" x14ac:dyDescent="0.25"/>
    <row r="119544" customFormat="1" x14ac:dyDescent="0.25"/>
    <row r="119545" customFormat="1" x14ac:dyDescent="0.25"/>
    <row r="119546" customFormat="1" x14ac:dyDescent="0.25"/>
    <row r="119547" customFormat="1" x14ac:dyDescent="0.25"/>
    <row r="119548" customFormat="1" x14ac:dyDescent="0.25"/>
    <row r="119549" customFormat="1" x14ac:dyDescent="0.25"/>
    <row r="119550" customFormat="1" x14ac:dyDescent="0.25"/>
    <row r="119551" customFormat="1" x14ac:dyDescent="0.25"/>
    <row r="119552" customFormat="1" x14ac:dyDescent="0.25"/>
    <row r="119553" customFormat="1" x14ac:dyDescent="0.25"/>
    <row r="119554" customFormat="1" x14ac:dyDescent="0.25"/>
    <row r="119555" customFormat="1" x14ac:dyDescent="0.25"/>
    <row r="119556" customFormat="1" x14ac:dyDescent="0.25"/>
    <row r="119557" customFormat="1" x14ac:dyDescent="0.25"/>
    <row r="119558" customFormat="1" x14ac:dyDescent="0.25"/>
    <row r="119559" customFormat="1" x14ac:dyDescent="0.25"/>
    <row r="119560" customFormat="1" x14ac:dyDescent="0.25"/>
    <row r="119561" customFormat="1" x14ac:dyDescent="0.25"/>
    <row r="119562" customFormat="1" x14ac:dyDescent="0.25"/>
    <row r="119563" customFormat="1" x14ac:dyDescent="0.25"/>
    <row r="119564" customFormat="1" x14ac:dyDescent="0.25"/>
    <row r="119565" customFormat="1" x14ac:dyDescent="0.25"/>
    <row r="119566" customFormat="1" x14ac:dyDescent="0.25"/>
    <row r="119567" customFormat="1" x14ac:dyDescent="0.25"/>
    <row r="119568" customFormat="1" x14ac:dyDescent="0.25"/>
    <row r="119569" customFormat="1" x14ac:dyDescent="0.25"/>
    <row r="119570" customFormat="1" x14ac:dyDescent="0.25"/>
    <row r="119571" customFormat="1" x14ac:dyDescent="0.25"/>
    <row r="119572" customFormat="1" x14ac:dyDescent="0.25"/>
    <row r="119573" customFormat="1" x14ac:dyDescent="0.25"/>
    <row r="119574" customFormat="1" x14ac:dyDescent="0.25"/>
    <row r="119575" customFormat="1" x14ac:dyDescent="0.25"/>
    <row r="119576" customFormat="1" x14ac:dyDescent="0.25"/>
    <row r="119577" customFormat="1" x14ac:dyDescent="0.25"/>
    <row r="119578" customFormat="1" x14ac:dyDescent="0.25"/>
    <row r="119579" customFormat="1" x14ac:dyDescent="0.25"/>
    <row r="119580" customFormat="1" x14ac:dyDescent="0.25"/>
    <row r="119581" customFormat="1" x14ac:dyDescent="0.25"/>
    <row r="119582" customFormat="1" x14ac:dyDescent="0.25"/>
    <row r="119583" customFormat="1" x14ac:dyDescent="0.25"/>
    <row r="119584" customFormat="1" x14ac:dyDescent="0.25"/>
    <row r="119585" customFormat="1" x14ac:dyDescent="0.25"/>
    <row r="119586" customFormat="1" x14ac:dyDescent="0.25"/>
    <row r="119587" customFormat="1" x14ac:dyDescent="0.25"/>
    <row r="119588" customFormat="1" x14ac:dyDescent="0.25"/>
    <row r="119589" customFormat="1" x14ac:dyDescent="0.25"/>
    <row r="119590" customFormat="1" x14ac:dyDescent="0.25"/>
    <row r="119591" customFormat="1" x14ac:dyDescent="0.25"/>
    <row r="119592" customFormat="1" x14ac:dyDescent="0.25"/>
    <row r="119593" customFormat="1" x14ac:dyDescent="0.25"/>
    <row r="119594" customFormat="1" x14ac:dyDescent="0.25"/>
    <row r="119595" customFormat="1" x14ac:dyDescent="0.25"/>
    <row r="119596" customFormat="1" x14ac:dyDescent="0.25"/>
    <row r="119597" customFormat="1" x14ac:dyDescent="0.25"/>
    <row r="119598" customFormat="1" x14ac:dyDescent="0.25"/>
    <row r="119599" customFormat="1" x14ac:dyDescent="0.25"/>
    <row r="119600" customFormat="1" x14ac:dyDescent="0.25"/>
    <row r="119601" customFormat="1" x14ac:dyDescent="0.25"/>
    <row r="119602" customFormat="1" x14ac:dyDescent="0.25"/>
    <row r="119603" customFormat="1" x14ac:dyDescent="0.25"/>
    <row r="119604" customFormat="1" x14ac:dyDescent="0.25"/>
    <row r="119605" customFormat="1" x14ac:dyDescent="0.25"/>
    <row r="119606" customFormat="1" x14ac:dyDescent="0.25"/>
    <row r="119607" customFormat="1" x14ac:dyDescent="0.25"/>
    <row r="119608" customFormat="1" x14ac:dyDescent="0.25"/>
    <row r="119609" customFormat="1" x14ac:dyDescent="0.25"/>
    <row r="119610" customFormat="1" x14ac:dyDescent="0.25"/>
    <row r="119611" customFormat="1" x14ac:dyDescent="0.25"/>
    <row r="119612" customFormat="1" x14ac:dyDescent="0.25"/>
    <row r="119613" customFormat="1" x14ac:dyDescent="0.25"/>
    <row r="119614" customFormat="1" x14ac:dyDescent="0.25"/>
    <row r="119615" customFormat="1" x14ac:dyDescent="0.25"/>
    <row r="119616" customFormat="1" x14ac:dyDescent="0.25"/>
    <row r="119617" customFormat="1" x14ac:dyDescent="0.25"/>
    <row r="119618" customFormat="1" x14ac:dyDescent="0.25"/>
    <row r="119619" customFormat="1" x14ac:dyDescent="0.25"/>
    <row r="119620" customFormat="1" x14ac:dyDescent="0.25"/>
    <row r="119621" customFormat="1" x14ac:dyDescent="0.25"/>
    <row r="119622" customFormat="1" x14ac:dyDescent="0.25"/>
    <row r="119623" customFormat="1" x14ac:dyDescent="0.25"/>
    <row r="119624" customFormat="1" x14ac:dyDescent="0.25"/>
    <row r="119625" customFormat="1" x14ac:dyDescent="0.25"/>
    <row r="119626" customFormat="1" x14ac:dyDescent="0.25"/>
    <row r="119627" customFormat="1" x14ac:dyDescent="0.25"/>
    <row r="119628" customFormat="1" x14ac:dyDescent="0.25"/>
    <row r="119629" customFormat="1" x14ac:dyDescent="0.25"/>
    <row r="119630" customFormat="1" x14ac:dyDescent="0.25"/>
    <row r="119631" customFormat="1" x14ac:dyDescent="0.25"/>
    <row r="119632" customFormat="1" x14ac:dyDescent="0.25"/>
    <row r="119633" customFormat="1" x14ac:dyDescent="0.25"/>
    <row r="119634" customFormat="1" x14ac:dyDescent="0.25"/>
    <row r="119635" customFormat="1" x14ac:dyDescent="0.25"/>
    <row r="119636" customFormat="1" x14ac:dyDescent="0.25"/>
    <row r="119637" customFormat="1" x14ac:dyDescent="0.25"/>
    <row r="119638" customFormat="1" x14ac:dyDescent="0.25"/>
    <row r="119639" customFormat="1" x14ac:dyDescent="0.25"/>
    <row r="119640" customFormat="1" x14ac:dyDescent="0.25"/>
    <row r="119641" customFormat="1" x14ac:dyDescent="0.25"/>
    <row r="119642" customFormat="1" x14ac:dyDescent="0.25"/>
    <row r="119643" customFormat="1" x14ac:dyDescent="0.25"/>
    <row r="119644" customFormat="1" x14ac:dyDescent="0.25"/>
    <row r="119645" customFormat="1" x14ac:dyDescent="0.25"/>
    <row r="119646" customFormat="1" x14ac:dyDescent="0.25"/>
    <row r="119647" customFormat="1" x14ac:dyDescent="0.25"/>
    <row r="119648" customFormat="1" x14ac:dyDescent="0.25"/>
    <row r="119649" customFormat="1" x14ac:dyDescent="0.25"/>
    <row r="119650" customFormat="1" x14ac:dyDescent="0.25"/>
    <row r="119651" customFormat="1" x14ac:dyDescent="0.25"/>
    <row r="119652" customFormat="1" x14ac:dyDescent="0.25"/>
    <row r="119653" customFormat="1" x14ac:dyDescent="0.25"/>
    <row r="119654" customFormat="1" x14ac:dyDescent="0.25"/>
    <row r="119655" customFormat="1" x14ac:dyDescent="0.25"/>
    <row r="119656" customFormat="1" x14ac:dyDescent="0.25"/>
    <row r="119657" customFormat="1" x14ac:dyDescent="0.25"/>
    <row r="119658" customFormat="1" x14ac:dyDescent="0.25"/>
    <row r="119659" customFormat="1" x14ac:dyDescent="0.25"/>
    <row r="119660" customFormat="1" x14ac:dyDescent="0.25"/>
    <row r="119661" customFormat="1" x14ac:dyDescent="0.25"/>
    <row r="119662" customFormat="1" x14ac:dyDescent="0.25"/>
    <row r="119663" customFormat="1" x14ac:dyDescent="0.25"/>
    <row r="119664" customFormat="1" x14ac:dyDescent="0.25"/>
    <row r="119665" customFormat="1" x14ac:dyDescent="0.25"/>
    <row r="119666" customFormat="1" x14ac:dyDescent="0.25"/>
    <row r="119667" customFormat="1" x14ac:dyDescent="0.25"/>
    <row r="119668" customFormat="1" x14ac:dyDescent="0.25"/>
    <row r="119669" customFormat="1" x14ac:dyDescent="0.25"/>
    <row r="119670" customFormat="1" x14ac:dyDescent="0.25"/>
    <row r="119671" customFormat="1" x14ac:dyDescent="0.25"/>
    <row r="119672" customFormat="1" x14ac:dyDescent="0.25"/>
    <row r="119673" customFormat="1" x14ac:dyDescent="0.25"/>
    <row r="119674" customFormat="1" x14ac:dyDescent="0.25"/>
    <row r="119675" customFormat="1" x14ac:dyDescent="0.25"/>
    <row r="119676" customFormat="1" x14ac:dyDescent="0.25"/>
    <row r="119677" customFormat="1" x14ac:dyDescent="0.25"/>
    <row r="119678" customFormat="1" x14ac:dyDescent="0.25"/>
    <row r="119679" customFormat="1" x14ac:dyDescent="0.25"/>
    <row r="119680" customFormat="1" x14ac:dyDescent="0.25"/>
    <row r="119681" customFormat="1" x14ac:dyDescent="0.25"/>
    <row r="119682" customFormat="1" x14ac:dyDescent="0.25"/>
    <row r="119683" customFormat="1" x14ac:dyDescent="0.25"/>
    <row r="119684" customFormat="1" x14ac:dyDescent="0.25"/>
    <row r="119685" customFormat="1" x14ac:dyDescent="0.25"/>
    <row r="119686" customFormat="1" x14ac:dyDescent="0.25"/>
    <row r="119687" customFormat="1" x14ac:dyDescent="0.25"/>
    <row r="119688" customFormat="1" x14ac:dyDescent="0.25"/>
    <row r="119689" customFormat="1" x14ac:dyDescent="0.25"/>
    <row r="119690" customFormat="1" x14ac:dyDescent="0.25"/>
    <row r="119691" customFormat="1" x14ac:dyDescent="0.25"/>
    <row r="119692" customFormat="1" x14ac:dyDescent="0.25"/>
    <row r="119693" customFormat="1" x14ac:dyDescent="0.25"/>
    <row r="119694" customFormat="1" x14ac:dyDescent="0.25"/>
    <row r="119695" customFormat="1" x14ac:dyDescent="0.25"/>
    <row r="119696" customFormat="1" x14ac:dyDescent="0.25"/>
    <row r="119697" customFormat="1" x14ac:dyDescent="0.25"/>
    <row r="119698" customFormat="1" x14ac:dyDescent="0.25"/>
    <row r="119699" customFormat="1" x14ac:dyDescent="0.25"/>
    <row r="119700" customFormat="1" x14ac:dyDescent="0.25"/>
    <row r="119701" customFormat="1" x14ac:dyDescent="0.25"/>
    <row r="119702" customFormat="1" x14ac:dyDescent="0.25"/>
    <row r="119703" customFormat="1" x14ac:dyDescent="0.25"/>
    <row r="119704" customFormat="1" x14ac:dyDescent="0.25"/>
    <row r="119705" customFormat="1" x14ac:dyDescent="0.25"/>
    <row r="119706" customFormat="1" x14ac:dyDescent="0.25"/>
    <row r="119707" customFormat="1" x14ac:dyDescent="0.25"/>
    <row r="119708" customFormat="1" x14ac:dyDescent="0.25"/>
    <row r="119709" customFormat="1" x14ac:dyDescent="0.25"/>
    <row r="119710" customFormat="1" x14ac:dyDescent="0.25"/>
    <row r="119711" customFormat="1" x14ac:dyDescent="0.25"/>
    <row r="119712" customFormat="1" x14ac:dyDescent="0.25"/>
    <row r="119713" customFormat="1" x14ac:dyDescent="0.25"/>
    <row r="119714" customFormat="1" x14ac:dyDescent="0.25"/>
    <row r="119715" customFormat="1" x14ac:dyDescent="0.25"/>
    <row r="119716" customFormat="1" x14ac:dyDescent="0.25"/>
    <row r="119717" customFormat="1" x14ac:dyDescent="0.25"/>
    <row r="119718" customFormat="1" x14ac:dyDescent="0.25"/>
    <row r="119719" customFormat="1" x14ac:dyDescent="0.25"/>
    <row r="119720" customFormat="1" x14ac:dyDescent="0.25"/>
    <row r="119721" customFormat="1" x14ac:dyDescent="0.25"/>
    <row r="119722" customFormat="1" x14ac:dyDescent="0.25"/>
    <row r="119723" customFormat="1" x14ac:dyDescent="0.25"/>
    <row r="119724" customFormat="1" x14ac:dyDescent="0.25"/>
    <row r="119725" customFormat="1" x14ac:dyDescent="0.25"/>
    <row r="119726" customFormat="1" x14ac:dyDescent="0.25"/>
    <row r="119727" customFormat="1" x14ac:dyDescent="0.25"/>
    <row r="119728" customFormat="1" x14ac:dyDescent="0.25"/>
    <row r="119729" customFormat="1" x14ac:dyDescent="0.25"/>
    <row r="119730" customFormat="1" x14ac:dyDescent="0.25"/>
    <row r="119731" customFormat="1" x14ac:dyDescent="0.25"/>
    <row r="119732" customFormat="1" x14ac:dyDescent="0.25"/>
    <row r="119733" customFormat="1" x14ac:dyDescent="0.25"/>
    <row r="119734" customFormat="1" x14ac:dyDescent="0.25"/>
    <row r="119735" customFormat="1" x14ac:dyDescent="0.25"/>
    <row r="119736" customFormat="1" x14ac:dyDescent="0.25"/>
    <row r="119737" customFormat="1" x14ac:dyDescent="0.25"/>
    <row r="119738" customFormat="1" x14ac:dyDescent="0.25"/>
    <row r="119739" customFormat="1" x14ac:dyDescent="0.25"/>
    <row r="119740" customFormat="1" x14ac:dyDescent="0.25"/>
    <row r="119741" customFormat="1" x14ac:dyDescent="0.25"/>
    <row r="119742" customFormat="1" x14ac:dyDescent="0.25"/>
    <row r="119743" customFormat="1" x14ac:dyDescent="0.25"/>
    <row r="119744" customFormat="1" x14ac:dyDescent="0.25"/>
    <row r="119745" customFormat="1" x14ac:dyDescent="0.25"/>
    <row r="119746" customFormat="1" x14ac:dyDescent="0.25"/>
    <row r="119747" customFormat="1" x14ac:dyDescent="0.25"/>
    <row r="119748" customFormat="1" x14ac:dyDescent="0.25"/>
    <row r="119749" customFormat="1" x14ac:dyDescent="0.25"/>
    <row r="119750" customFormat="1" x14ac:dyDescent="0.25"/>
    <row r="119751" customFormat="1" x14ac:dyDescent="0.25"/>
    <row r="119752" customFormat="1" x14ac:dyDescent="0.25"/>
    <row r="119753" customFormat="1" x14ac:dyDescent="0.25"/>
    <row r="119754" customFormat="1" x14ac:dyDescent="0.25"/>
    <row r="119755" customFormat="1" x14ac:dyDescent="0.25"/>
    <row r="119756" customFormat="1" x14ac:dyDescent="0.25"/>
    <row r="119757" customFormat="1" x14ac:dyDescent="0.25"/>
    <row r="119758" customFormat="1" x14ac:dyDescent="0.25"/>
    <row r="119759" customFormat="1" x14ac:dyDescent="0.25"/>
    <row r="119760" customFormat="1" x14ac:dyDescent="0.25"/>
    <row r="119761" customFormat="1" x14ac:dyDescent="0.25"/>
    <row r="119762" customFormat="1" x14ac:dyDescent="0.25"/>
    <row r="119763" customFormat="1" x14ac:dyDescent="0.25"/>
    <row r="119764" customFormat="1" x14ac:dyDescent="0.25"/>
    <row r="119765" customFormat="1" x14ac:dyDescent="0.25"/>
    <row r="119766" customFormat="1" x14ac:dyDescent="0.25"/>
    <row r="119767" customFormat="1" x14ac:dyDescent="0.25"/>
    <row r="119768" customFormat="1" x14ac:dyDescent="0.25"/>
    <row r="119769" customFormat="1" x14ac:dyDescent="0.25"/>
    <row r="119770" customFormat="1" x14ac:dyDescent="0.25"/>
    <row r="119771" customFormat="1" x14ac:dyDescent="0.25"/>
    <row r="119772" customFormat="1" x14ac:dyDescent="0.25"/>
    <row r="119773" customFormat="1" x14ac:dyDescent="0.25"/>
    <row r="119774" customFormat="1" x14ac:dyDescent="0.25"/>
    <row r="119775" customFormat="1" x14ac:dyDescent="0.25"/>
    <row r="119776" customFormat="1" x14ac:dyDescent="0.25"/>
    <row r="119777" customFormat="1" x14ac:dyDescent="0.25"/>
    <row r="119778" customFormat="1" x14ac:dyDescent="0.25"/>
    <row r="119779" customFormat="1" x14ac:dyDescent="0.25"/>
    <row r="119780" customFormat="1" x14ac:dyDescent="0.25"/>
    <row r="119781" customFormat="1" x14ac:dyDescent="0.25"/>
    <row r="119782" customFormat="1" x14ac:dyDescent="0.25"/>
    <row r="119783" customFormat="1" x14ac:dyDescent="0.25"/>
    <row r="119784" customFormat="1" x14ac:dyDescent="0.25"/>
    <row r="119785" customFormat="1" x14ac:dyDescent="0.25"/>
    <row r="119786" customFormat="1" x14ac:dyDescent="0.25"/>
    <row r="119787" customFormat="1" x14ac:dyDescent="0.25"/>
    <row r="119788" customFormat="1" x14ac:dyDescent="0.25"/>
    <row r="119789" customFormat="1" x14ac:dyDescent="0.25"/>
    <row r="119790" customFormat="1" x14ac:dyDescent="0.25"/>
    <row r="119791" customFormat="1" x14ac:dyDescent="0.25"/>
    <row r="119792" customFormat="1" x14ac:dyDescent="0.25"/>
    <row r="119793" customFormat="1" x14ac:dyDescent="0.25"/>
    <row r="119794" customFormat="1" x14ac:dyDescent="0.25"/>
    <row r="119795" customFormat="1" x14ac:dyDescent="0.25"/>
    <row r="119796" customFormat="1" x14ac:dyDescent="0.25"/>
    <row r="119797" customFormat="1" x14ac:dyDescent="0.25"/>
    <row r="119798" customFormat="1" x14ac:dyDescent="0.25"/>
    <row r="119799" customFormat="1" x14ac:dyDescent="0.25"/>
    <row r="119800" customFormat="1" x14ac:dyDescent="0.25"/>
    <row r="119801" customFormat="1" x14ac:dyDescent="0.25"/>
    <row r="119802" customFormat="1" x14ac:dyDescent="0.25"/>
    <row r="119803" customFormat="1" x14ac:dyDescent="0.25"/>
    <row r="119804" customFormat="1" x14ac:dyDescent="0.25"/>
    <row r="119805" customFormat="1" x14ac:dyDescent="0.25"/>
    <row r="119806" customFormat="1" x14ac:dyDescent="0.25"/>
    <row r="119807" customFormat="1" x14ac:dyDescent="0.25"/>
    <row r="119808" customFormat="1" x14ac:dyDescent="0.25"/>
    <row r="119809" customFormat="1" x14ac:dyDescent="0.25"/>
    <row r="119810" customFormat="1" x14ac:dyDescent="0.25"/>
    <row r="119811" customFormat="1" x14ac:dyDescent="0.25"/>
    <row r="119812" customFormat="1" x14ac:dyDescent="0.25"/>
    <row r="119813" customFormat="1" x14ac:dyDescent="0.25"/>
    <row r="119814" customFormat="1" x14ac:dyDescent="0.25"/>
    <row r="119815" customFormat="1" x14ac:dyDescent="0.25"/>
    <row r="119816" customFormat="1" x14ac:dyDescent="0.25"/>
    <row r="119817" customFormat="1" x14ac:dyDescent="0.25"/>
    <row r="119818" customFormat="1" x14ac:dyDescent="0.25"/>
    <row r="119819" customFormat="1" x14ac:dyDescent="0.25"/>
    <row r="119820" customFormat="1" x14ac:dyDescent="0.25"/>
    <row r="119821" customFormat="1" x14ac:dyDescent="0.25"/>
    <row r="119822" customFormat="1" x14ac:dyDescent="0.25"/>
    <row r="119823" customFormat="1" x14ac:dyDescent="0.25"/>
    <row r="119824" customFormat="1" x14ac:dyDescent="0.25"/>
    <row r="119825" customFormat="1" x14ac:dyDescent="0.25"/>
    <row r="119826" customFormat="1" x14ac:dyDescent="0.25"/>
    <row r="119827" customFormat="1" x14ac:dyDescent="0.25"/>
    <row r="119828" customFormat="1" x14ac:dyDescent="0.25"/>
    <row r="119829" customFormat="1" x14ac:dyDescent="0.25"/>
    <row r="119830" customFormat="1" x14ac:dyDescent="0.25"/>
    <row r="119831" customFormat="1" x14ac:dyDescent="0.25"/>
    <row r="119832" customFormat="1" x14ac:dyDescent="0.25"/>
    <row r="119833" customFormat="1" x14ac:dyDescent="0.25"/>
    <row r="119834" customFormat="1" x14ac:dyDescent="0.25"/>
    <row r="119835" customFormat="1" x14ac:dyDescent="0.25"/>
    <row r="119836" customFormat="1" x14ac:dyDescent="0.25"/>
    <row r="119837" customFormat="1" x14ac:dyDescent="0.25"/>
    <row r="119838" customFormat="1" x14ac:dyDescent="0.25"/>
    <row r="119839" customFormat="1" x14ac:dyDescent="0.25"/>
    <row r="119840" customFormat="1" x14ac:dyDescent="0.25"/>
    <row r="119841" customFormat="1" x14ac:dyDescent="0.25"/>
    <row r="119842" customFormat="1" x14ac:dyDescent="0.25"/>
    <row r="119843" customFormat="1" x14ac:dyDescent="0.25"/>
    <row r="119844" customFormat="1" x14ac:dyDescent="0.25"/>
    <row r="119845" customFormat="1" x14ac:dyDescent="0.25"/>
    <row r="119846" customFormat="1" x14ac:dyDescent="0.25"/>
    <row r="119847" customFormat="1" x14ac:dyDescent="0.25"/>
    <row r="119848" customFormat="1" x14ac:dyDescent="0.25"/>
    <row r="119849" customFormat="1" x14ac:dyDescent="0.25"/>
    <row r="119850" customFormat="1" x14ac:dyDescent="0.25"/>
    <row r="119851" customFormat="1" x14ac:dyDescent="0.25"/>
    <row r="119852" customFormat="1" x14ac:dyDescent="0.25"/>
    <row r="119853" customFormat="1" x14ac:dyDescent="0.25"/>
    <row r="119854" customFormat="1" x14ac:dyDescent="0.25"/>
    <row r="119855" customFormat="1" x14ac:dyDescent="0.25"/>
    <row r="119856" customFormat="1" x14ac:dyDescent="0.25"/>
    <row r="119857" customFormat="1" x14ac:dyDescent="0.25"/>
    <row r="119858" customFormat="1" x14ac:dyDescent="0.25"/>
    <row r="119859" customFormat="1" x14ac:dyDescent="0.25"/>
    <row r="119860" customFormat="1" x14ac:dyDescent="0.25"/>
    <row r="119861" customFormat="1" x14ac:dyDescent="0.25"/>
    <row r="119862" customFormat="1" x14ac:dyDescent="0.25"/>
    <row r="119863" customFormat="1" x14ac:dyDescent="0.25"/>
    <row r="119864" customFormat="1" x14ac:dyDescent="0.25"/>
    <row r="119865" customFormat="1" x14ac:dyDescent="0.25"/>
    <row r="119866" customFormat="1" x14ac:dyDescent="0.25"/>
    <row r="119867" customFormat="1" x14ac:dyDescent="0.25"/>
    <row r="119868" customFormat="1" x14ac:dyDescent="0.25"/>
    <row r="119869" customFormat="1" x14ac:dyDescent="0.25"/>
    <row r="119870" customFormat="1" x14ac:dyDescent="0.25"/>
    <row r="119871" customFormat="1" x14ac:dyDescent="0.25"/>
    <row r="119872" customFormat="1" x14ac:dyDescent="0.25"/>
    <row r="119873" customFormat="1" x14ac:dyDescent="0.25"/>
    <row r="119874" customFormat="1" x14ac:dyDescent="0.25"/>
    <row r="119875" customFormat="1" x14ac:dyDescent="0.25"/>
    <row r="119876" customFormat="1" x14ac:dyDescent="0.25"/>
    <row r="119877" customFormat="1" x14ac:dyDescent="0.25"/>
    <row r="119878" customFormat="1" x14ac:dyDescent="0.25"/>
    <row r="119879" customFormat="1" x14ac:dyDescent="0.25"/>
    <row r="119880" customFormat="1" x14ac:dyDescent="0.25"/>
    <row r="119881" customFormat="1" x14ac:dyDescent="0.25"/>
    <row r="119882" customFormat="1" x14ac:dyDescent="0.25"/>
    <row r="119883" customFormat="1" x14ac:dyDescent="0.25"/>
    <row r="119884" customFormat="1" x14ac:dyDescent="0.25"/>
    <row r="119885" customFormat="1" x14ac:dyDescent="0.25"/>
    <row r="119886" customFormat="1" x14ac:dyDescent="0.25"/>
    <row r="119887" customFormat="1" x14ac:dyDescent="0.25"/>
    <row r="119888" customFormat="1" x14ac:dyDescent="0.25"/>
    <row r="119889" customFormat="1" x14ac:dyDescent="0.25"/>
    <row r="119890" customFormat="1" x14ac:dyDescent="0.25"/>
    <row r="119891" customFormat="1" x14ac:dyDescent="0.25"/>
    <row r="119892" customFormat="1" x14ac:dyDescent="0.25"/>
    <row r="119893" customFormat="1" x14ac:dyDescent="0.25"/>
    <row r="119894" customFormat="1" x14ac:dyDescent="0.25"/>
    <row r="119895" customFormat="1" x14ac:dyDescent="0.25"/>
    <row r="119896" customFormat="1" x14ac:dyDescent="0.25"/>
    <row r="119897" customFormat="1" x14ac:dyDescent="0.25"/>
    <row r="119898" customFormat="1" x14ac:dyDescent="0.25"/>
    <row r="119899" customFormat="1" x14ac:dyDescent="0.25"/>
    <row r="119900" customFormat="1" x14ac:dyDescent="0.25"/>
    <row r="119901" customFormat="1" x14ac:dyDescent="0.25"/>
    <row r="119902" customFormat="1" x14ac:dyDescent="0.25"/>
    <row r="119903" customFormat="1" x14ac:dyDescent="0.25"/>
    <row r="119904" customFormat="1" x14ac:dyDescent="0.25"/>
    <row r="119905" customFormat="1" x14ac:dyDescent="0.25"/>
    <row r="119906" customFormat="1" x14ac:dyDescent="0.25"/>
    <row r="119907" customFormat="1" x14ac:dyDescent="0.25"/>
    <row r="119908" customFormat="1" x14ac:dyDescent="0.25"/>
    <row r="119909" customFormat="1" x14ac:dyDescent="0.25"/>
    <row r="119910" customFormat="1" x14ac:dyDescent="0.25"/>
    <row r="119911" customFormat="1" x14ac:dyDescent="0.25"/>
    <row r="119912" customFormat="1" x14ac:dyDescent="0.25"/>
    <row r="119913" customFormat="1" x14ac:dyDescent="0.25"/>
    <row r="119914" customFormat="1" x14ac:dyDescent="0.25"/>
    <row r="119915" customFormat="1" x14ac:dyDescent="0.25"/>
    <row r="119916" customFormat="1" x14ac:dyDescent="0.25"/>
    <row r="119917" customFormat="1" x14ac:dyDescent="0.25"/>
    <row r="119918" customFormat="1" x14ac:dyDescent="0.25"/>
    <row r="119919" customFormat="1" x14ac:dyDescent="0.25"/>
    <row r="119920" customFormat="1" x14ac:dyDescent="0.25"/>
    <row r="119921" customFormat="1" x14ac:dyDescent="0.25"/>
    <row r="119922" customFormat="1" x14ac:dyDescent="0.25"/>
    <row r="119923" customFormat="1" x14ac:dyDescent="0.25"/>
    <row r="119924" customFormat="1" x14ac:dyDescent="0.25"/>
    <row r="119925" customFormat="1" x14ac:dyDescent="0.25"/>
    <row r="119926" customFormat="1" x14ac:dyDescent="0.25"/>
    <row r="119927" customFormat="1" x14ac:dyDescent="0.25"/>
    <row r="119928" customFormat="1" x14ac:dyDescent="0.25"/>
    <row r="119929" customFormat="1" x14ac:dyDescent="0.25"/>
    <row r="119930" customFormat="1" x14ac:dyDescent="0.25"/>
    <row r="119931" customFormat="1" x14ac:dyDescent="0.25"/>
    <row r="119932" customFormat="1" x14ac:dyDescent="0.25"/>
    <row r="119933" customFormat="1" x14ac:dyDescent="0.25"/>
    <row r="119934" customFormat="1" x14ac:dyDescent="0.25"/>
    <row r="119935" customFormat="1" x14ac:dyDescent="0.25"/>
    <row r="119936" customFormat="1" x14ac:dyDescent="0.25"/>
    <row r="119937" customFormat="1" x14ac:dyDescent="0.25"/>
    <row r="119938" customFormat="1" x14ac:dyDescent="0.25"/>
    <row r="119939" customFormat="1" x14ac:dyDescent="0.25"/>
    <row r="119940" customFormat="1" x14ac:dyDescent="0.25"/>
    <row r="119941" customFormat="1" x14ac:dyDescent="0.25"/>
    <row r="119942" customFormat="1" x14ac:dyDescent="0.25"/>
    <row r="119943" customFormat="1" x14ac:dyDescent="0.25"/>
    <row r="119944" customFormat="1" x14ac:dyDescent="0.25"/>
    <row r="119945" customFormat="1" x14ac:dyDescent="0.25"/>
    <row r="119946" customFormat="1" x14ac:dyDescent="0.25"/>
    <row r="119947" customFormat="1" x14ac:dyDescent="0.25"/>
    <row r="119948" customFormat="1" x14ac:dyDescent="0.25"/>
    <row r="119949" customFormat="1" x14ac:dyDescent="0.25"/>
    <row r="119950" customFormat="1" x14ac:dyDescent="0.25"/>
    <row r="119951" customFormat="1" x14ac:dyDescent="0.25"/>
    <row r="119952" customFormat="1" x14ac:dyDescent="0.25"/>
    <row r="119953" customFormat="1" x14ac:dyDescent="0.25"/>
    <row r="119954" customFormat="1" x14ac:dyDescent="0.25"/>
    <row r="119955" customFormat="1" x14ac:dyDescent="0.25"/>
    <row r="119956" customFormat="1" x14ac:dyDescent="0.25"/>
    <row r="119957" customFormat="1" x14ac:dyDescent="0.25"/>
    <row r="119958" customFormat="1" x14ac:dyDescent="0.25"/>
    <row r="119959" customFormat="1" x14ac:dyDescent="0.25"/>
    <row r="119960" customFormat="1" x14ac:dyDescent="0.25"/>
    <row r="119961" customFormat="1" x14ac:dyDescent="0.25"/>
    <row r="119962" customFormat="1" x14ac:dyDescent="0.25"/>
    <row r="119963" customFormat="1" x14ac:dyDescent="0.25"/>
    <row r="119964" customFormat="1" x14ac:dyDescent="0.25"/>
    <row r="119965" customFormat="1" x14ac:dyDescent="0.25"/>
    <row r="119966" customFormat="1" x14ac:dyDescent="0.25"/>
    <row r="119967" customFormat="1" x14ac:dyDescent="0.25"/>
    <row r="119968" customFormat="1" x14ac:dyDescent="0.25"/>
    <row r="119969" customFormat="1" x14ac:dyDescent="0.25"/>
    <row r="119970" customFormat="1" x14ac:dyDescent="0.25"/>
    <row r="119971" customFormat="1" x14ac:dyDescent="0.25"/>
    <row r="119972" customFormat="1" x14ac:dyDescent="0.25"/>
    <row r="119973" customFormat="1" x14ac:dyDescent="0.25"/>
    <row r="119974" customFormat="1" x14ac:dyDescent="0.25"/>
    <row r="119975" customFormat="1" x14ac:dyDescent="0.25"/>
    <row r="119976" customFormat="1" x14ac:dyDescent="0.25"/>
    <row r="119977" customFormat="1" x14ac:dyDescent="0.25"/>
    <row r="119978" customFormat="1" x14ac:dyDescent="0.25"/>
    <row r="119979" customFormat="1" x14ac:dyDescent="0.25"/>
    <row r="119980" customFormat="1" x14ac:dyDescent="0.25"/>
    <row r="119981" customFormat="1" x14ac:dyDescent="0.25"/>
    <row r="119982" customFormat="1" x14ac:dyDescent="0.25"/>
    <row r="119983" customFormat="1" x14ac:dyDescent="0.25"/>
    <row r="119984" customFormat="1" x14ac:dyDescent="0.25"/>
    <row r="119985" customFormat="1" x14ac:dyDescent="0.25"/>
    <row r="119986" customFormat="1" x14ac:dyDescent="0.25"/>
    <row r="119987" customFormat="1" x14ac:dyDescent="0.25"/>
    <row r="119988" customFormat="1" x14ac:dyDescent="0.25"/>
    <row r="119989" customFormat="1" x14ac:dyDescent="0.25"/>
    <row r="119990" customFormat="1" x14ac:dyDescent="0.25"/>
    <row r="119991" customFormat="1" x14ac:dyDescent="0.25"/>
    <row r="119992" customFormat="1" x14ac:dyDescent="0.25"/>
    <row r="119993" customFormat="1" x14ac:dyDescent="0.25"/>
    <row r="119994" customFormat="1" x14ac:dyDescent="0.25"/>
    <row r="119995" customFormat="1" x14ac:dyDescent="0.25"/>
    <row r="119996" customFormat="1" x14ac:dyDescent="0.25"/>
    <row r="119997" customFormat="1" x14ac:dyDescent="0.25"/>
    <row r="119998" customFormat="1" x14ac:dyDescent="0.25"/>
    <row r="119999" customFormat="1" x14ac:dyDescent="0.25"/>
    <row r="120000" customFormat="1" x14ac:dyDescent="0.25"/>
    <row r="120001" customFormat="1" x14ac:dyDescent="0.25"/>
    <row r="120002" customFormat="1" x14ac:dyDescent="0.25"/>
    <row r="120003" customFormat="1" x14ac:dyDescent="0.25"/>
    <row r="120004" customFormat="1" x14ac:dyDescent="0.25"/>
    <row r="120005" customFormat="1" x14ac:dyDescent="0.25"/>
    <row r="120006" customFormat="1" x14ac:dyDescent="0.25"/>
    <row r="120007" customFormat="1" x14ac:dyDescent="0.25"/>
    <row r="120008" customFormat="1" x14ac:dyDescent="0.25"/>
    <row r="120009" customFormat="1" x14ac:dyDescent="0.25"/>
    <row r="120010" customFormat="1" x14ac:dyDescent="0.25"/>
    <row r="120011" customFormat="1" x14ac:dyDescent="0.25"/>
    <row r="120012" customFormat="1" x14ac:dyDescent="0.25"/>
    <row r="120013" customFormat="1" x14ac:dyDescent="0.25"/>
    <row r="120014" customFormat="1" x14ac:dyDescent="0.25"/>
    <row r="120015" customFormat="1" x14ac:dyDescent="0.25"/>
    <row r="120016" customFormat="1" x14ac:dyDescent="0.25"/>
    <row r="120017" customFormat="1" x14ac:dyDescent="0.25"/>
    <row r="120018" customFormat="1" x14ac:dyDescent="0.25"/>
    <row r="120019" customFormat="1" x14ac:dyDescent="0.25"/>
    <row r="120020" customFormat="1" x14ac:dyDescent="0.25"/>
    <row r="120021" customFormat="1" x14ac:dyDescent="0.25"/>
    <row r="120022" customFormat="1" x14ac:dyDescent="0.25"/>
    <row r="120023" customFormat="1" x14ac:dyDescent="0.25"/>
    <row r="120024" customFormat="1" x14ac:dyDescent="0.25"/>
    <row r="120025" customFormat="1" x14ac:dyDescent="0.25"/>
    <row r="120026" customFormat="1" x14ac:dyDescent="0.25"/>
    <row r="120027" customFormat="1" x14ac:dyDescent="0.25"/>
    <row r="120028" customFormat="1" x14ac:dyDescent="0.25"/>
    <row r="120029" customFormat="1" x14ac:dyDescent="0.25"/>
    <row r="120030" customFormat="1" x14ac:dyDescent="0.25"/>
    <row r="120031" customFormat="1" x14ac:dyDescent="0.25"/>
    <row r="120032" customFormat="1" x14ac:dyDescent="0.25"/>
    <row r="120033" customFormat="1" x14ac:dyDescent="0.25"/>
    <row r="120034" customFormat="1" x14ac:dyDescent="0.25"/>
    <row r="120035" customFormat="1" x14ac:dyDescent="0.25"/>
    <row r="120036" customFormat="1" x14ac:dyDescent="0.25"/>
    <row r="120037" customFormat="1" x14ac:dyDescent="0.25"/>
    <row r="120038" customFormat="1" x14ac:dyDescent="0.25"/>
    <row r="120039" customFormat="1" x14ac:dyDescent="0.25"/>
    <row r="120040" customFormat="1" x14ac:dyDescent="0.25"/>
    <row r="120041" customFormat="1" x14ac:dyDescent="0.25"/>
    <row r="120042" customFormat="1" x14ac:dyDescent="0.25"/>
    <row r="120043" customFormat="1" x14ac:dyDescent="0.25"/>
    <row r="120044" customFormat="1" x14ac:dyDescent="0.25"/>
    <row r="120045" customFormat="1" x14ac:dyDescent="0.25"/>
    <row r="120046" customFormat="1" x14ac:dyDescent="0.25"/>
    <row r="120047" customFormat="1" x14ac:dyDescent="0.25"/>
    <row r="120048" customFormat="1" x14ac:dyDescent="0.25"/>
    <row r="120049" customFormat="1" x14ac:dyDescent="0.25"/>
    <row r="120050" customFormat="1" x14ac:dyDescent="0.25"/>
    <row r="120051" customFormat="1" x14ac:dyDescent="0.25"/>
    <row r="120052" customFormat="1" x14ac:dyDescent="0.25"/>
    <row r="120053" customFormat="1" x14ac:dyDescent="0.25"/>
    <row r="120054" customFormat="1" x14ac:dyDescent="0.25"/>
    <row r="120055" customFormat="1" x14ac:dyDescent="0.25"/>
    <row r="120056" customFormat="1" x14ac:dyDescent="0.25"/>
    <row r="120057" customFormat="1" x14ac:dyDescent="0.25"/>
    <row r="120058" customFormat="1" x14ac:dyDescent="0.25"/>
    <row r="120059" customFormat="1" x14ac:dyDescent="0.25"/>
    <row r="120060" customFormat="1" x14ac:dyDescent="0.25"/>
    <row r="120061" customFormat="1" x14ac:dyDescent="0.25"/>
    <row r="120062" customFormat="1" x14ac:dyDescent="0.25"/>
    <row r="120063" customFormat="1" x14ac:dyDescent="0.25"/>
    <row r="120064" customFormat="1" x14ac:dyDescent="0.25"/>
    <row r="120065" customFormat="1" x14ac:dyDescent="0.25"/>
    <row r="120066" customFormat="1" x14ac:dyDescent="0.25"/>
    <row r="120067" customFormat="1" x14ac:dyDescent="0.25"/>
    <row r="120068" customFormat="1" x14ac:dyDescent="0.25"/>
    <row r="120069" customFormat="1" x14ac:dyDescent="0.25"/>
    <row r="120070" customFormat="1" x14ac:dyDescent="0.25"/>
    <row r="120071" customFormat="1" x14ac:dyDescent="0.25"/>
    <row r="120072" customFormat="1" x14ac:dyDescent="0.25"/>
    <row r="120073" customFormat="1" x14ac:dyDescent="0.25"/>
    <row r="120074" customFormat="1" x14ac:dyDescent="0.25"/>
    <row r="120075" customFormat="1" x14ac:dyDescent="0.25"/>
    <row r="120076" customFormat="1" x14ac:dyDescent="0.25"/>
    <row r="120077" customFormat="1" x14ac:dyDescent="0.25"/>
    <row r="120078" customFormat="1" x14ac:dyDescent="0.25"/>
    <row r="120079" customFormat="1" x14ac:dyDescent="0.25"/>
    <row r="120080" customFormat="1" x14ac:dyDescent="0.25"/>
    <row r="120081" customFormat="1" x14ac:dyDescent="0.25"/>
    <row r="120082" customFormat="1" x14ac:dyDescent="0.25"/>
    <row r="120083" customFormat="1" x14ac:dyDescent="0.25"/>
    <row r="120084" customFormat="1" x14ac:dyDescent="0.25"/>
    <row r="120085" customFormat="1" x14ac:dyDescent="0.25"/>
    <row r="120086" customFormat="1" x14ac:dyDescent="0.25"/>
    <row r="120087" customFormat="1" x14ac:dyDescent="0.25"/>
    <row r="120088" customFormat="1" x14ac:dyDescent="0.25"/>
    <row r="120089" customFormat="1" x14ac:dyDescent="0.25"/>
    <row r="120090" customFormat="1" x14ac:dyDescent="0.25"/>
    <row r="120091" customFormat="1" x14ac:dyDescent="0.25"/>
    <row r="120092" customFormat="1" x14ac:dyDescent="0.25"/>
    <row r="120093" customFormat="1" x14ac:dyDescent="0.25"/>
    <row r="120094" customFormat="1" x14ac:dyDescent="0.25"/>
    <row r="120095" customFormat="1" x14ac:dyDescent="0.25"/>
    <row r="120096" customFormat="1" x14ac:dyDescent="0.25"/>
    <row r="120097" customFormat="1" x14ac:dyDescent="0.25"/>
    <row r="120098" customFormat="1" x14ac:dyDescent="0.25"/>
    <row r="120099" customFormat="1" x14ac:dyDescent="0.25"/>
    <row r="120100" customFormat="1" x14ac:dyDescent="0.25"/>
    <row r="120101" customFormat="1" x14ac:dyDescent="0.25"/>
    <row r="120102" customFormat="1" x14ac:dyDescent="0.25"/>
    <row r="120103" customFormat="1" x14ac:dyDescent="0.25"/>
    <row r="120104" customFormat="1" x14ac:dyDescent="0.25"/>
    <row r="120105" customFormat="1" x14ac:dyDescent="0.25"/>
    <row r="120106" customFormat="1" x14ac:dyDescent="0.25"/>
    <row r="120107" customFormat="1" x14ac:dyDescent="0.25"/>
    <row r="120108" customFormat="1" x14ac:dyDescent="0.25"/>
    <row r="120109" customFormat="1" x14ac:dyDescent="0.25"/>
    <row r="120110" customFormat="1" x14ac:dyDescent="0.25"/>
    <row r="120111" customFormat="1" x14ac:dyDescent="0.25"/>
    <row r="120112" customFormat="1" x14ac:dyDescent="0.25"/>
    <row r="120113" customFormat="1" x14ac:dyDescent="0.25"/>
    <row r="120114" customFormat="1" x14ac:dyDescent="0.25"/>
    <row r="120115" customFormat="1" x14ac:dyDescent="0.25"/>
    <row r="120116" customFormat="1" x14ac:dyDescent="0.25"/>
    <row r="120117" customFormat="1" x14ac:dyDescent="0.25"/>
    <row r="120118" customFormat="1" x14ac:dyDescent="0.25"/>
    <row r="120119" customFormat="1" x14ac:dyDescent="0.25"/>
    <row r="120120" customFormat="1" x14ac:dyDescent="0.25"/>
    <row r="120121" customFormat="1" x14ac:dyDescent="0.25"/>
    <row r="120122" customFormat="1" x14ac:dyDescent="0.25"/>
    <row r="120123" customFormat="1" x14ac:dyDescent="0.25"/>
    <row r="120124" customFormat="1" x14ac:dyDescent="0.25"/>
    <row r="120125" customFormat="1" x14ac:dyDescent="0.25"/>
    <row r="120126" customFormat="1" x14ac:dyDescent="0.25"/>
    <row r="120127" customFormat="1" x14ac:dyDescent="0.25"/>
    <row r="120128" customFormat="1" x14ac:dyDescent="0.25"/>
    <row r="120129" customFormat="1" x14ac:dyDescent="0.25"/>
    <row r="120130" customFormat="1" x14ac:dyDescent="0.25"/>
    <row r="120131" customFormat="1" x14ac:dyDescent="0.25"/>
    <row r="120132" customFormat="1" x14ac:dyDescent="0.25"/>
    <row r="120133" customFormat="1" x14ac:dyDescent="0.25"/>
    <row r="120134" customFormat="1" x14ac:dyDescent="0.25"/>
    <row r="120135" customFormat="1" x14ac:dyDescent="0.25"/>
    <row r="120136" customFormat="1" x14ac:dyDescent="0.25"/>
    <row r="120137" customFormat="1" x14ac:dyDescent="0.25"/>
    <row r="120138" customFormat="1" x14ac:dyDescent="0.25"/>
    <row r="120139" customFormat="1" x14ac:dyDescent="0.25"/>
    <row r="120140" customFormat="1" x14ac:dyDescent="0.25"/>
    <row r="120141" customFormat="1" x14ac:dyDescent="0.25"/>
    <row r="120142" customFormat="1" x14ac:dyDescent="0.25"/>
    <row r="120143" customFormat="1" x14ac:dyDescent="0.25"/>
    <row r="120144" customFormat="1" x14ac:dyDescent="0.25"/>
    <row r="120145" customFormat="1" x14ac:dyDescent="0.25"/>
    <row r="120146" customFormat="1" x14ac:dyDescent="0.25"/>
    <row r="120147" customFormat="1" x14ac:dyDescent="0.25"/>
    <row r="120148" customFormat="1" x14ac:dyDescent="0.25"/>
    <row r="120149" customFormat="1" x14ac:dyDescent="0.25"/>
    <row r="120150" customFormat="1" x14ac:dyDescent="0.25"/>
    <row r="120151" customFormat="1" x14ac:dyDescent="0.25"/>
    <row r="120152" customFormat="1" x14ac:dyDescent="0.25"/>
    <row r="120153" customFormat="1" x14ac:dyDescent="0.25"/>
    <row r="120154" customFormat="1" x14ac:dyDescent="0.25"/>
    <row r="120155" customFormat="1" x14ac:dyDescent="0.25"/>
    <row r="120156" customFormat="1" x14ac:dyDescent="0.25"/>
    <row r="120157" customFormat="1" x14ac:dyDescent="0.25"/>
    <row r="120158" customFormat="1" x14ac:dyDescent="0.25"/>
    <row r="120159" customFormat="1" x14ac:dyDescent="0.25"/>
    <row r="120160" customFormat="1" x14ac:dyDescent="0.25"/>
    <row r="120161" customFormat="1" x14ac:dyDescent="0.25"/>
    <row r="120162" customFormat="1" x14ac:dyDescent="0.25"/>
    <row r="120163" customFormat="1" x14ac:dyDescent="0.25"/>
    <row r="120164" customFormat="1" x14ac:dyDescent="0.25"/>
    <row r="120165" customFormat="1" x14ac:dyDescent="0.25"/>
    <row r="120166" customFormat="1" x14ac:dyDescent="0.25"/>
    <row r="120167" customFormat="1" x14ac:dyDescent="0.25"/>
    <row r="120168" customFormat="1" x14ac:dyDescent="0.25"/>
    <row r="120169" customFormat="1" x14ac:dyDescent="0.25"/>
    <row r="120170" customFormat="1" x14ac:dyDescent="0.25"/>
    <row r="120171" customFormat="1" x14ac:dyDescent="0.25"/>
    <row r="120172" customFormat="1" x14ac:dyDescent="0.25"/>
    <row r="120173" customFormat="1" x14ac:dyDescent="0.25"/>
    <row r="120174" customFormat="1" x14ac:dyDescent="0.25"/>
    <row r="120175" customFormat="1" x14ac:dyDescent="0.25"/>
    <row r="120176" customFormat="1" x14ac:dyDescent="0.25"/>
    <row r="120177" customFormat="1" x14ac:dyDescent="0.25"/>
    <row r="120178" customFormat="1" x14ac:dyDescent="0.25"/>
    <row r="120179" customFormat="1" x14ac:dyDescent="0.25"/>
    <row r="120180" customFormat="1" x14ac:dyDescent="0.25"/>
    <row r="120181" customFormat="1" x14ac:dyDescent="0.25"/>
    <row r="120182" customFormat="1" x14ac:dyDescent="0.25"/>
    <row r="120183" customFormat="1" x14ac:dyDescent="0.25"/>
    <row r="120184" customFormat="1" x14ac:dyDescent="0.25"/>
    <row r="120185" customFormat="1" x14ac:dyDescent="0.25"/>
    <row r="120186" customFormat="1" x14ac:dyDescent="0.25"/>
    <row r="120187" customFormat="1" x14ac:dyDescent="0.25"/>
    <row r="120188" customFormat="1" x14ac:dyDescent="0.25"/>
    <row r="120189" customFormat="1" x14ac:dyDescent="0.25"/>
    <row r="120190" customFormat="1" x14ac:dyDescent="0.25"/>
    <row r="120191" customFormat="1" x14ac:dyDescent="0.25"/>
    <row r="120192" customFormat="1" x14ac:dyDescent="0.25"/>
    <row r="120193" customFormat="1" x14ac:dyDescent="0.25"/>
    <row r="120194" customFormat="1" x14ac:dyDescent="0.25"/>
    <row r="120195" customFormat="1" x14ac:dyDescent="0.25"/>
    <row r="120196" customFormat="1" x14ac:dyDescent="0.25"/>
    <row r="120197" customFormat="1" x14ac:dyDescent="0.25"/>
    <row r="120198" customFormat="1" x14ac:dyDescent="0.25"/>
    <row r="120199" customFormat="1" x14ac:dyDescent="0.25"/>
    <row r="120200" customFormat="1" x14ac:dyDescent="0.25"/>
    <row r="120201" customFormat="1" x14ac:dyDescent="0.25"/>
    <row r="120202" customFormat="1" x14ac:dyDescent="0.25"/>
    <row r="120203" customFormat="1" x14ac:dyDescent="0.25"/>
    <row r="120204" customFormat="1" x14ac:dyDescent="0.25"/>
    <row r="120205" customFormat="1" x14ac:dyDescent="0.25"/>
    <row r="120206" customFormat="1" x14ac:dyDescent="0.25"/>
    <row r="120207" customFormat="1" x14ac:dyDescent="0.25"/>
    <row r="120208" customFormat="1" x14ac:dyDescent="0.25"/>
    <row r="120209" customFormat="1" x14ac:dyDescent="0.25"/>
    <row r="120210" customFormat="1" x14ac:dyDescent="0.25"/>
    <row r="120211" customFormat="1" x14ac:dyDescent="0.25"/>
    <row r="120212" customFormat="1" x14ac:dyDescent="0.25"/>
    <row r="120213" customFormat="1" x14ac:dyDescent="0.25"/>
    <row r="120214" customFormat="1" x14ac:dyDescent="0.25"/>
    <row r="120215" customFormat="1" x14ac:dyDescent="0.25"/>
    <row r="120216" customFormat="1" x14ac:dyDescent="0.25"/>
    <row r="120217" customFormat="1" x14ac:dyDescent="0.25"/>
    <row r="120218" customFormat="1" x14ac:dyDescent="0.25"/>
    <row r="120219" customFormat="1" x14ac:dyDescent="0.25"/>
    <row r="120220" customFormat="1" x14ac:dyDescent="0.25"/>
    <row r="120221" customFormat="1" x14ac:dyDescent="0.25"/>
    <row r="120222" customFormat="1" x14ac:dyDescent="0.25"/>
    <row r="120223" customFormat="1" x14ac:dyDescent="0.25"/>
    <row r="120224" customFormat="1" x14ac:dyDescent="0.25"/>
    <row r="120225" customFormat="1" x14ac:dyDescent="0.25"/>
    <row r="120226" customFormat="1" x14ac:dyDescent="0.25"/>
    <row r="120227" customFormat="1" x14ac:dyDescent="0.25"/>
    <row r="120228" customFormat="1" x14ac:dyDescent="0.25"/>
    <row r="120229" customFormat="1" x14ac:dyDescent="0.25"/>
    <row r="120230" customFormat="1" x14ac:dyDescent="0.25"/>
    <row r="120231" customFormat="1" x14ac:dyDescent="0.25"/>
    <row r="120232" customFormat="1" x14ac:dyDescent="0.25"/>
    <row r="120233" customFormat="1" x14ac:dyDescent="0.25"/>
    <row r="120234" customFormat="1" x14ac:dyDescent="0.25"/>
    <row r="120235" customFormat="1" x14ac:dyDescent="0.25"/>
    <row r="120236" customFormat="1" x14ac:dyDescent="0.25"/>
    <row r="120237" customFormat="1" x14ac:dyDescent="0.25"/>
    <row r="120238" customFormat="1" x14ac:dyDescent="0.25"/>
    <row r="120239" customFormat="1" x14ac:dyDescent="0.25"/>
    <row r="120240" customFormat="1" x14ac:dyDescent="0.25"/>
    <row r="120241" customFormat="1" x14ac:dyDescent="0.25"/>
    <row r="120242" customFormat="1" x14ac:dyDescent="0.25"/>
    <row r="120243" customFormat="1" x14ac:dyDescent="0.25"/>
    <row r="120244" customFormat="1" x14ac:dyDescent="0.25"/>
    <row r="120245" customFormat="1" x14ac:dyDescent="0.25"/>
    <row r="120246" customFormat="1" x14ac:dyDescent="0.25"/>
    <row r="120247" customFormat="1" x14ac:dyDescent="0.25"/>
    <row r="120248" customFormat="1" x14ac:dyDescent="0.25"/>
    <row r="120249" customFormat="1" x14ac:dyDescent="0.25"/>
    <row r="120250" customFormat="1" x14ac:dyDescent="0.25"/>
    <row r="120251" customFormat="1" x14ac:dyDescent="0.25"/>
    <row r="120252" customFormat="1" x14ac:dyDescent="0.25"/>
    <row r="120253" customFormat="1" x14ac:dyDescent="0.25"/>
    <row r="120254" customFormat="1" x14ac:dyDescent="0.25"/>
    <row r="120255" customFormat="1" x14ac:dyDescent="0.25"/>
    <row r="120256" customFormat="1" x14ac:dyDescent="0.25"/>
    <row r="120257" customFormat="1" x14ac:dyDescent="0.25"/>
    <row r="120258" customFormat="1" x14ac:dyDescent="0.25"/>
    <row r="120259" customFormat="1" x14ac:dyDescent="0.25"/>
    <row r="120260" customFormat="1" x14ac:dyDescent="0.25"/>
    <row r="120261" customFormat="1" x14ac:dyDescent="0.25"/>
    <row r="120262" customFormat="1" x14ac:dyDescent="0.25"/>
    <row r="120263" customFormat="1" x14ac:dyDescent="0.25"/>
    <row r="120264" customFormat="1" x14ac:dyDescent="0.25"/>
    <row r="120265" customFormat="1" x14ac:dyDescent="0.25"/>
    <row r="120266" customFormat="1" x14ac:dyDescent="0.25"/>
    <row r="120267" customFormat="1" x14ac:dyDescent="0.25"/>
    <row r="120268" customFormat="1" x14ac:dyDescent="0.25"/>
    <row r="120269" customFormat="1" x14ac:dyDescent="0.25"/>
    <row r="120270" customFormat="1" x14ac:dyDescent="0.25"/>
    <row r="120271" customFormat="1" x14ac:dyDescent="0.25"/>
    <row r="120272" customFormat="1" x14ac:dyDescent="0.25"/>
    <row r="120273" customFormat="1" x14ac:dyDescent="0.25"/>
    <row r="120274" customFormat="1" x14ac:dyDescent="0.25"/>
    <row r="120275" customFormat="1" x14ac:dyDescent="0.25"/>
    <row r="120276" customFormat="1" x14ac:dyDescent="0.25"/>
    <row r="120277" customFormat="1" x14ac:dyDescent="0.25"/>
    <row r="120278" customFormat="1" x14ac:dyDescent="0.25"/>
    <row r="120279" customFormat="1" x14ac:dyDescent="0.25"/>
    <row r="120280" customFormat="1" x14ac:dyDescent="0.25"/>
    <row r="120281" customFormat="1" x14ac:dyDescent="0.25"/>
    <row r="120282" customFormat="1" x14ac:dyDescent="0.25"/>
    <row r="120283" customFormat="1" x14ac:dyDescent="0.25"/>
    <row r="120284" customFormat="1" x14ac:dyDescent="0.25"/>
    <row r="120285" customFormat="1" x14ac:dyDescent="0.25"/>
    <row r="120286" customFormat="1" x14ac:dyDescent="0.25"/>
    <row r="120287" customFormat="1" x14ac:dyDescent="0.25"/>
    <row r="120288" customFormat="1" x14ac:dyDescent="0.25"/>
    <row r="120289" customFormat="1" x14ac:dyDescent="0.25"/>
    <row r="120290" customFormat="1" x14ac:dyDescent="0.25"/>
    <row r="120291" customFormat="1" x14ac:dyDescent="0.25"/>
    <row r="120292" customFormat="1" x14ac:dyDescent="0.25"/>
    <row r="120293" customFormat="1" x14ac:dyDescent="0.25"/>
    <row r="120294" customFormat="1" x14ac:dyDescent="0.25"/>
    <row r="120295" customFormat="1" x14ac:dyDescent="0.25"/>
    <row r="120296" customFormat="1" x14ac:dyDescent="0.25"/>
    <row r="120297" customFormat="1" x14ac:dyDescent="0.25"/>
    <row r="120298" customFormat="1" x14ac:dyDescent="0.25"/>
    <row r="120299" customFormat="1" x14ac:dyDescent="0.25"/>
    <row r="120300" customFormat="1" x14ac:dyDescent="0.25"/>
    <row r="120301" customFormat="1" x14ac:dyDescent="0.25"/>
    <row r="120302" customFormat="1" x14ac:dyDescent="0.25"/>
    <row r="120303" customFormat="1" x14ac:dyDescent="0.25"/>
    <row r="120304" customFormat="1" x14ac:dyDescent="0.25"/>
    <row r="120305" customFormat="1" x14ac:dyDescent="0.25"/>
    <row r="120306" customFormat="1" x14ac:dyDescent="0.25"/>
    <row r="120307" customFormat="1" x14ac:dyDescent="0.25"/>
    <row r="120308" customFormat="1" x14ac:dyDescent="0.25"/>
    <row r="120309" customFormat="1" x14ac:dyDescent="0.25"/>
    <row r="120310" customFormat="1" x14ac:dyDescent="0.25"/>
    <row r="120311" customFormat="1" x14ac:dyDescent="0.25"/>
    <row r="120312" customFormat="1" x14ac:dyDescent="0.25"/>
    <row r="120313" customFormat="1" x14ac:dyDescent="0.25"/>
    <row r="120314" customFormat="1" x14ac:dyDescent="0.25"/>
    <row r="120315" customFormat="1" x14ac:dyDescent="0.25"/>
    <row r="120316" customFormat="1" x14ac:dyDescent="0.25"/>
    <row r="120317" customFormat="1" x14ac:dyDescent="0.25"/>
    <row r="120318" customFormat="1" x14ac:dyDescent="0.25"/>
    <row r="120319" customFormat="1" x14ac:dyDescent="0.25"/>
    <row r="120320" customFormat="1" x14ac:dyDescent="0.25"/>
    <row r="120321" customFormat="1" x14ac:dyDescent="0.25"/>
    <row r="120322" customFormat="1" x14ac:dyDescent="0.25"/>
    <row r="120323" customFormat="1" x14ac:dyDescent="0.25"/>
    <row r="120324" customFormat="1" x14ac:dyDescent="0.25"/>
    <row r="120325" customFormat="1" x14ac:dyDescent="0.25"/>
    <row r="120326" customFormat="1" x14ac:dyDescent="0.25"/>
    <row r="120327" customFormat="1" x14ac:dyDescent="0.25"/>
    <row r="120328" customFormat="1" x14ac:dyDescent="0.25"/>
    <row r="120329" customFormat="1" x14ac:dyDescent="0.25"/>
    <row r="120330" customFormat="1" x14ac:dyDescent="0.25"/>
    <row r="120331" customFormat="1" x14ac:dyDescent="0.25"/>
    <row r="120332" customFormat="1" x14ac:dyDescent="0.25"/>
    <row r="120333" customFormat="1" x14ac:dyDescent="0.25"/>
    <row r="120334" customFormat="1" x14ac:dyDescent="0.25"/>
    <row r="120335" customFormat="1" x14ac:dyDescent="0.25"/>
    <row r="120336" customFormat="1" x14ac:dyDescent="0.25"/>
    <row r="120337" customFormat="1" x14ac:dyDescent="0.25"/>
    <row r="120338" customFormat="1" x14ac:dyDescent="0.25"/>
    <row r="120339" customFormat="1" x14ac:dyDescent="0.25"/>
    <row r="120340" customFormat="1" x14ac:dyDescent="0.25"/>
    <row r="120341" customFormat="1" x14ac:dyDescent="0.25"/>
    <row r="120342" customFormat="1" x14ac:dyDescent="0.25"/>
    <row r="120343" customFormat="1" x14ac:dyDescent="0.25"/>
    <row r="120344" customFormat="1" x14ac:dyDescent="0.25"/>
    <row r="120345" customFormat="1" x14ac:dyDescent="0.25"/>
    <row r="120346" customFormat="1" x14ac:dyDescent="0.25"/>
    <row r="120347" customFormat="1" x14ac:dyDescent="0.25"/>
    <row r="120348" customFormat="1" x14ac:dyDescent="0.25"/>
    <row r="120349" customFormat="1" x14ac:dyDescent="0.25"/>
    <row r="120350" customFormat="1" x14ac:dyDescent="0.25"/>
    <row r="120351" customFormat="1" x14ac:dyDescent="0.25"/>
    <row r="120352" customFormat="1" x14ac:dyDescent="0.25"/>
    <row r="120353" customFormat="1" x14ac:dyDescent="0.25"/>
    <row r="120354" customFormat="1" x14ac:dyDescent="0.25"/>
    <row r="120355" customFormat="1" x14ac:dyDescent="0.25"/>
    <row r="120356" customFormat="1" x14ac:dyDescent="0.25"/>
    <row r="120357" customFormat="1" x14ac:dyDescent="0.25"/>
    <row r="120358" customFormat="1" x14ac:dyDescent="0.25"/>
    <row r="120359" customFormat="1" x14ac:dyDescent="0.25"/>
    <row r="120360" customFormat="1" x14ac:dyDescent="0.25"/>
    <row r="120361" customFormat="1" x14ac:dyDescent="0.25"/>
    <row r="120362" customFormat="1" x14ac:dyDescent="0.25"/>
    <row r="120363" customFormat="1" x14ac:dyDescent="0.25"/>
    <row r="120364" customFormat="1" x14ac:dyDescent="0.25"/>
    <row r="120365" customFormat="1" x14ac:dyDescent="0.25"/>
    <row r="120366" customFormat="1" x14ac:dyDescent="0.25"/>
    <row r="120367" customFormat="1" x14ac:dyDescent="0.25"/>
    <row r="120368" customFormat="1" x14ac:dyDescent="0.25"/>
    <row r="120369" customFormat="1" x14ac:dyDescent="0.25"/>
    <row r="120370" customFormat="1" x14ac:dyDescent="0.25"/>
    <row r="120371" customFormat="1" x14ac:dyDescent="0.25"/>
    <row r="120372" customFormat="1" x14ac:dyDescent="0.25"/>
    <row r="120373" customFormat="1" x14ac:dyDescent="0.25"/>
    <row r="120374" customFormat="1" x14ac:dyDescent="0.25"/>
    <row r="120375" customFormat="1" x14ac:dyDescent="0.25"/>
    <row r="120376" customFormat="1" x14ac:dyDescent="0.25"/>
    <row r="120377" customFormat="1" x14ac:dyDescent="0.25"/>
    <row r="120378" customFormat="1" x14ac:dyDescent="0.25"/>
    <row r="120379" customFormat="1" x14ac:dyDescent="0.25"/>
    <row r="120380" customFormat="1" x14ac:dyDescent="0.25"/>
    <row r="120381" customFormat="1" x14ac:dyDescent="0.25"/>
    <row r="120382" customFormat="1" x14ac:dyDescent="0.25"/>
    <row r="120383" customFormat="1" x14ac:dyDescent="0.25"/>
    <row r="120384" customFormat="1" x14ac:dyDescent="0.25"/>
    <row r="120385" customFormat="1" x14ac:dyDescent="0.25"/>
    <row r="120386" customFormat="1" x14ac:dyDescent="0.25"/>
    <row r="120387" customFormat="1" x14ac:dyDescent="0.25"/>
    <row r="120388" customFormat="1" x14ac:dyDescent="0.25"/>
    <row r="120389" customFormat="1" x14ac:dyDescent="0.25"/>
    <row r="120390" customFormat="1" x14ac:dyDescent="0.25"/>
    <row r="120391" customFormat="1" x14ac:dyDescent="0.25"/>
    <row r="120392" customFormat="1" x14ac:dyDescent="0.25"/>
    <row r="120393" customFormat="1" x14ac:dyDescent="0.25"/>
    <row r="120394" customFormat="1" x14ac:dyDescent="0.25"/>
    <row r="120395" customFormat="1" x14ac:dyDescent="0.25"/>
    <row r="120396" customFormat="1" x14ac:dyDescent="0.25"/>
    <row r="120397" customFormat="1" x14ac:dyDescent="0.25"/>
    <row r="120398" customFormat="1" x14ac:dyDescent="0.25"/>
    <row r="120399" customFormat="1" x14ac:dyDescent="0.25"/>
    <row r="120400" customFormat="1" x14ac:dyDescent="0.25"/>
    <row r="120401" customFormat="1" x14ac:dyDescent="0.25"/>
    <row r="120402" customFormat="1" x14ac:dyDescent="0.25"/>
    <row r="120403" customFormat="1" x14ac:dyDescent="0.25"/>
    <row r="120404" customFormat="1" x14ac:dyDescent="0.25"/>
    <row r="120405" customFormat="1" x14ac:dyDescent="0.25"/>
    <row r="120406" customFormat="1" x14ac:dyDescent="0.25"/>
    <row r="120407" customFormat="1" x14ac:dyDescent="0.25"/>
    <row r="120408" customFormat="1" x14ac:dyDescent="0.25"/>
    <row r="120409" customFormat="1" x14ac:dyDescent="0.25"/>
    <row r="120410" customFormat="1" x14ac:dyDescent="0.25"/>
    <row r="120411" customFormat="1" x14ac:dyDescent="0.25"/>
    <row r="120412" customFormat="1" x14ac:dyDescent="0.25"/>
    <row r="120413" customFormat="1" x14ac:dyDescent="0.25"/>
    <row r="120414" customFormat="1" x14ac:dyDescent="0.25"/>
    <row r="120415" customFormat="1" x14ac:dyDescent="0.25"/>
    <row r="120416" customFormat="1" x14ac:dyDescent="0.25"/>
    <row r="120417" customFormat="1" x14ac:dyDescent="0.25"/>
    <row r="120418" customFormat="1" x14ac:dyDescent="0.25"/>
    <row r="120419" customFormat="1" x14ac:dyDescent="0.25"/>
    <row r="120420" customFormat="1" x14ac:dyDescent="0.25"/>
    <row r="120421" customFormat="1" x14ac:dyDescent="0.25"/>
    <row r="120422" customFormat="1" x14ac:dyDescent="0.25"/>
    <row r="120423" customFormat="1" x14ac:dyDescent="0.25"/>
    <row r="120424" customFormat="1" x14ac:dyDescent="0.25"/>
    <row r="120425" customFormat="1" x14ac:dyDescent="0.25"/>
    <row r="120426" customFormat="1" x14ac:dyDescent="0.25"/>
    <row r="120427" customFormat="1" x14ac:dyDescent="0.25"/>
    <row r="120428" customFormat="1" x14ac:dyDescent="0.25"/>
    <row r="120429" customFormat="1" x14ac:dyDescent="0.25"/>
    <row r="120430" customFormat="1" x14ac:dyDescent="0.25"/>
    <row r="120431" customFormat="1" x14ac:dyDescent="0.25"/>
    <row r="120432" customFormat="1" x14ac:dyDescent="0.25"/>
    <row r="120433" customFormat="1" x14ac:dyDescent="0.25"/>
    <row r="120434" customFormat="1" x14ac:dyDescent="0.25"/>
    <row r="120435" customFormat="1" x14ac:dyDescent="0.25"/>
    <row r="120436" customFormat="1" x14ac:dyDescent="0.25"/>
    <row r="120437" customFormat="1" x14ac:dyDescent="0.25"/>
    <row r="120438" customFormat="1" x14ac:dyDescent="0.25"/>
    <row r="120439" customFormat="1" x14ac:dyDescent="0.25"/>
    <row r="120440" customFormat="1" x14ac:dyDescent="0.25"/>
    <row r="120441" customFormat="1" x14ac:dyDescent="0.25"/>
    <row r="120442" customFormat="1" x14ac:dyDescent="0.25"/>
    <row r="120443" customFormat="1" x14ac:dyDescent="0.25"/>
    <row r="120444" customFormat="1" x14ac:dyDescent="0.25"/>
    <row r="120445" customFormat="1" x14ac:dyDescent="0.25"/>
    <row r="120446" customFormat="1" x14ac:dyDescent="0.25"/>
    <row r="120447" customFormat="1" x14ac:dyDescent="0.25"/>
    <row r="120448" customFormat="1" x14ac:dyDescent="0.25"/>
    <row r="120449" customFormat="1" x14ac:dyDescent="0.25"/>
    <row r="120450" customFormat="1" x14ac:dyDescent="0.25"/>
    <row r="120451" customFormat="1" x14ac:dyDescent="0.25"/>
    <row r="120452" customFormat="1" x14ac:dyDescent="0.25"/>
    <row r="120453" customFormat="1" x14ac:dyDescent="0.25"/>
    <row r="120454" customFormat="1" x14ac:dyDescent="0.25"/>
    <row r="120455" customFormat="1" x14ac:dyDescent="0.25"/>
    <row r="120456" customFormat="1" x14ac:dyDescent="0.25"/>
    <row r="120457" customFormat="1" x14ac:dyDescent="0.25"/>
    <row r="120458" customFormat="1" x14ac:dyDescent="0.25"/>
    <row r="120459" customFormat="1" x14ac:dyDescent="0.25"/>
    <row r="120460" customFormat="1" x14ac:dyDescent="0.25"/>
    <row r="120461" customFormat="1" x14ac:dyDescent="0.25"/>
    <row r="120462" customFormat="1" x14ac:dyDescent="0.25"/>
    <row r="120463" customFormat="1" x14ac:dyDescent="0.25"/>
    <row r="120464" customFormat="1" x14ac:dyDescent="0.25"/>
    <row r="120465" customFormat="1" x14ac:dyDescent="0.25"/>
    <row r="120466" customFormat="1" x14ac:dyDescent="0.25"/>
    <row r="120467" customFormat="1" x14ac:dyDescent="0.25"/>
    <row r="120468" customFormat="1" x14ac:dyDescent="0.25"/>
    <row r="120469" customFormat="1" x14ac:dyDescent="0.25"/>
    <row r="120470" customFormat="1" x14ac:dyDescent="0.25"/>
    <row r="120471" customFormat="1" x14ac:dyDescent="0.25"/>
    <row r="120472" customFormat="1" x14ac:dyDescent="0.25"/>
    <row r="120473" customFormat="1" x14ac:dyDescent="0.25"/>
    <row r="120474" customFormat="1" x14ac:dyDescent="0.25"/>
    <row r="120475" customFormat="1" x14ac:dyDescent="0.25"/>
    <row r="120476" customFormat="1" x14ac:dyDescent="0.25"/>
    <row r="120477" customFormat="1" x14ac:dyDescent="0.25"/>
    <row r="120478" customFormat="1" x14ac:dyDescent="0.25"/>
    <row r="120479" customFormat="1" x14ac:dyDescent="0.25"/>
    <row r="120480" customFormat="1" x14ac:dyDescent="0.25"/>
    <row r="120481" customFormat="1" x14ac:dyDescent="0.25"/>
    <row r="120482" customFormat="1" x14ac:dyDescent="0.25"/>
    <row r="120483" customFormat="1" x14ac:dyDescent="0.25"/>
    <row r="120484" customFormat="1" x14ac:dyDescent="0.25"/>
    <row r="120485" customFormat="1" x14ac:dyDescent="0.25"/>
    <row r="120486" customFormat="1" x14ac:dyDescent="0.25"/>
    <row r="120487" customFormat="1" x14ac:dyDescent="0.25"/>
    <row r="120488" customFormat="1" x14ac:dyDescent="0.25"/>
    <row r="120489" customFormat="1" x14ac:dyDescent="0.25"/>
    <row r="120490" customFormat="1" x14ac:dyDescent="0.25"/>
    <row r="120491" customFormat="1" x14ac:dyDescent="0.25"/>
    <row r="120492" customFormat="1" x14ac:dyDescent="0.25"/>
    <row r="120493" customFormat="1" x14ac:dyDescent="0.25"/>
    <row r="120494" customFormat="1" x14ac:dyDescent="0.25"/>
    <row r="120495" customFormat="1" x14ac:dyDescent="0.25"/>
    <row r="120496" customFormat="1" x14ac:dyDescent="0.25"/>
    <row r="120497" customFormat="1" x14ac:dyDescent="0.25"/>
    <row r="120498" customFormat="1" x14ac:dyDescent="0.25"/>
    <row r="120499" customFormat="1" x14ac:dyDescent="0.25"/>
    <row r="120500" customFormat="1" x14ac:dyDescent="0.25"/>
    <row r="120501" customFormat="1" x14ac:dyDescent="0.25"/>
    <row r="120502" customFormat="1" x14ac:dyDescent="0.25"/>
    <row r="120503" customFormat="1" x14ac:dyDescent="0.25"/>
    <row r="120504" customFormat="1" x14ac:dyDescent="0.25"/>
    <row r="120505" customFormat="1" x14ac:dyDescent="0.25"/>
    <row r="120506" customFormat="1" x14ac:dyDescent="0.25"/>
    <row r="120507" customFormat="1" x14ac:dyDescent="0.25"/>
    <row r="120508" customFormat="1" x14ac:dyDescent="0.25"/>
    <row r="120509" customFormat="1" x14ac:dyDescent="0.25"/>
    <row r="120510" customFormat="1" x14ac:dyDescent="0.25"/>
    <row r="120511" customFormat="1" x14ac:dyDescent="0.25"/>
    <row r="120512" customFormat="1" x14ac:dyDescent="0.25"/>
    <row r="120513" customFormat="1" x14ac:dyDescent="0.25"/>
    <row r="120514" customFormat="1" x14ac:dyDescent="0.25"/>
    <row r="120515" customFormat="1" x14ac:dyDescent="0.25"/>
    <row r="120516" customFormat="1" x14ac:dyDescent="0.25"/>
    <row r="120517" customFormat="1" x14ac:dyDescent="0.25"/>
    <row r="120518" customFormat="1" x14ac:dyDescent="0.25"/>
    <row r="120519" customFormat="1" x14ac:dyDescent="0.25"/>
    <row r="120520" customFormat="1" x14ac:dyDescent="0.25"/>
    <row r="120521" customFormat="1" x14ac:dyDescent="0.25"/>
    <row r="120522" customFormat="1" x14ac:dyDescent="0.25"/>
    <row r="120523" customFormat="1" x14ac:dyDescent="0.25"/>
    <row r="120524" customFormat="1" x14ac:dyDescent="0.25"/>
    <row r="120525" customFormat="1" x14ac:dyDescent="0.25"/>
    <row r="120526" customFormat="1" x14ac:dyDescent="0.25"/>
    <row r="120527" customFormat="1" x14ac:dyDescent="0.25"/>
    <row r="120528" customFormat="1" x14ac:dyDescent="0.25"/>
    <row r="120529" customFormat="1" x14ac:dyDescent="0.25"/>
    <row r="120530" customFormat="1" x14ac:dyDescent="0.25"/>
    <row r="120531" customFormat="1" x14ac:dyDescent="0.25"/>
    <row r="120532" customFormat="1" x14ac:dyDescent="0.25"/>
    <row r="120533" customFormat="1" x14ac:dyDescent="0.25"/>
    <row r="120534" customFormat="1" x14ac:dyDescent="0.25"/>
    <row r="120535" customFormat="1" x14ac:dyDescent="0.25"/>
    <row r="120536" customFormat="1" x14ac:dyDescent="0.25"/>
    <row r="120537" customFormat="1" x14ac:dyDescent="0.25"/>
    <row r="120538" customFormat="1" x14ac:dyDescent="0.25"/>
    <row r="120539" customFormat="1" x14ac:dyDescent="0.25"/>
    <row r="120540" customFormat="1" x14ac:dyDescent="0.25"/>
    <row r="120541" customFormat="1" x14ac:dyDescent="0.25"/>
    <row r="120542" customFormat="1" x14ac:dyDescent="0.25"/>
    <row r="120543" customFormat="1" x14ac:dyDescent="0.25"/>
    <row r="120544" customFormat="1" x14ac:dyDescent="0.25"/>
    <row r="120545" customFormat="1" x14ac:dyDescent="0.25"/>
    <row r="120546" customFormat="1" x14ac:dyDescent="0.25"/>
    <row r="120547" customFormat="1" x14ac:dyDescent="0.25"/>
    <row r="120548" customFormat="1" x14ac:dyDescent="0.25"/>
    <row r="120549" customFormat="1" x14ac:dyDescent="0.25"/>
    <row r="120550" customFormat="1" x14ac:dyDescent="0.25"/>
    <row r="120551" customFormat="1" x14ac:dyDescent="0.25"/>
    <row r="120552" customFormat="1" x14ac:dyDescent="0.25"/>
    <row r="120553" customFormat="1" x14ac:dyDescent="0.25"/>
    <row r="120554" customFormat="1" x14ac:dyDescent="0.25"/>
    <row r="120555" customFormat="1" x14ac:dyDescent="0.25"/>
    <row r="120556" customFormat="1" x14ac:dyDescent="0.25"/>
    <row r="120557" customFormat="1" x14ac:dyDescent="0.25"/>
    <row r="120558" customFormat="1" x14ac:dyDescent="0.25"/>
    <row r="120559" customFormat="1" x14ac:dyDescent="0.25"/>
    <row r="120560" customFormat="1" x14ac:dyDescent="0.25"/>
    <row r="120561" customFormat="1" x14ac:dyDescent="0.25"/>
    <row r="120562" customFormat="1" x14ac:dyDescent="0.25"/>
    <row r="120563" customFormat="1" x14ac:dyDescent="0.25"/>
    <row r="120564" customFormat="1" x14ac:dyDescent="0.25"/>
    <row r="120565" customFormat="1" x14ac:dyDescent="0.25"/>
    <row r="120566" customFormat="1" x14ac:dyDescent="0.25"/>
    <row r="120567" customFormat="1" x14ac:dyDescent="0.25"/>
    <row r="120568" customFormat="1" x14ac:dyDescent="0.25"/>
    <row r="120569" customFormat="1" x14ac:dyDescent="0.25"/>
    <row r="120570" customFormat="1" x14ac:dyDescent="0.25"/>
    <row r="120571" customFormat="1" x14ac:dyDescent="0.25"/>
    <row r="120572" customFormat="1" x14ac:dyDescent="0.25"/>
    <row r="120573" customFormat="1" x14ac:dyDescent="0.25"/>
    <row r="120574" customFormat="1" x14ac:dyDescent="0.25"/>
    <row r="120575" customFormat="1" x14ac:dyDescent="0.25"/>
    <row r="120576" customFormat="1" x14ac:dyDescent="0.25"/>
    <row r="120577" customFormat="1" x14ac:dyDescent="0.25"/>
    <row r="120578" customFormat="1" x14ac:dyDescent="0.25"/>
    <row r="120579" customFormat="1" x14ac:dyDescent="0.25"/>
    <row r="120580" customFormat="1" x14ac:dyDescent="0.25"/>
    <row r="120581" customFormat="1" x14ac:dyDescent="0.25"/>
    <row r="120582" customFormat="1" x14ac:dyDescent="0.25"/>
    <row r="120583" customFormat="1" x14ac:dyDescent="0.25"/>
    <row r="120584" customFormat="1" x14ac:dyDescent="0.25"/>
    <row r="120585" customFormat="1" x14ac:dyDescent="0.25"/>
    <row r="120586" customFormat="1" x14ac:dyDescent="0.25"/>
    <row r="120587" customFormat="1" x14ac:dyDescent="0.25"/>
    <row r="120588" customFormat="1" x14ac:dyDescent="0.25"/>
    <row r="120589" customFormat="1" x14ac:dyDescent="0.25"/>
    <row r="120590" customFormat="1" x14ac:dyDescent="0.25"/>
    <row r="120591" customFormat="1" x14ac:dyDescent="0.25"/>
    <row r="120592" customFormat="1" x14ac:dyDescent="0.25"/>
    <row r="120593" customFormat="1" x14ac:dyDescent="0.25"/>
    <row r="120594" customFormat="1" x14ac:dyDescent="0.25"/>
    <row r="120595" customFormat="1" x14ac:dyDescent="0.25"/>
    <row r="120596" customFormat="1" x14ac:dyDescent="0.25"/>
    <row r="120597" customFormat="1" x14ac:dyDescent="0.25"/>
    <row r="120598" customFormat="1" x14ac:dyDescent="0.25"/>
    <row r="120599" customFormat="1" x14ac:dyDescent="0.25"/>
    <row r="120600" customFormat="1" x14ac:dyDescent="0.25"/>
    <row r="120601" customFormat="1" x14ac:dyDescent="0.25"/>
    <row r="120602" customFormat="1" x14ac:dyDescent="0.25"/>
    <row r="120603" customFormat="1" x14ac:dyDescent="0.25"/>
    <row r="120604" customFormat="1" x14ac:dyDescent="0.25"/>
    <row r="120605" customFormat="1" x14ac:dyDescent="0.25"/>
    <row r="120606" customFormat="1" x14ac:dyDescent="0.25"/>
    <row r="120607" customFormat="1" x14ac:dyDescent="0.25"/>
    <row r="120608" customFormat="1" x14ac:dyDescent="0.25"/>
    <row r="120609" customFormat="1" x14ac:dyDescent="0.25"/>
    <row r="120610" customFormat="1" x14ac:dyDescent="0.25"/>
    <row r="120611" customFormat="1" x14ac:dyDescent="0.25"/>
    <row r="120612" customFormat="1" x14ac:dyDescent="0.25"/>
    <row r="120613" customFormat="1" x14ac:dyDescent="0.25"/>
    <row r="120614" customFormat="1" x14ac:dyDescent="0.25"/>
    <row r="120615" customFormat="1" x14ac:dyDescent="0.25"/>
    <row r="120616" customFormat="1" x14ac:dyDescent="0.25"/>
    <row r="120617" customFormat="1" x14ac:dyDescent="0.25"/>
    <row r="120618" customFormat="1" x14ac:dyDescent="0.25"/>
    <row r="120619" customFormat="1" x14ac:dyDescent="0.25"/>
    <row r="120620" customFormat="1" x14ac:dyDescent="0.25"/>
    <row r="120621" customFormat="1" x14ac:dyDescent="0.25"/>
    <row r="120622" customFormat="1" x14ac:dyDescent="0.25"/>
    <row r="120623" customFormat="1" x14ac:dyDescent="0.25"/>
    <row r="120624" customFormat="1" x14ac:dyDescent="0.25"/>
    <row r="120625" customFormat="1" x14ac:dyDescent="0.25"/>
    <row r="120626" customFormat="1" x14ac:dyDescent="0.25"/>
    <row r="120627" customFormat="1" x14ac:dyDescent="0.25"/>
    <row r="120628" customFormat="1" x14ac:dyDescent="0.25"/>
    <row r="120629" customFormat="1" x14ac:dyDescent="0.25"/>
    <row r="120630" customFormat="1" x14ac:dyDescent="0.25"/>
    <row r="120631" customFormat="1" x14ac:dyDescent="0.25"/>
    <row r="120632" customFormat="1" x14ac:dyDescent="0.25"/>
    <row r="120633" customFormat="1" x14ac:dyDescent="0.25"/>
    <row r="120634" customFormat="1" x14ac:dyDescent="0.25"/>
    <row r="120635" customFormat="1" x14ac:dyDescent="0.25"/>
    <row r="120636" customFormat="1" x14ac:dyDescent="0.25"/>
    <row r="120637" customFormat="1" x14ac:dyDescent="0.25"/>
    <row r="120638" customFormat="1" x14ac:dyDescent="0.25"/>
    <row r="120639" customFormat="1" x14ac:dyDescent="0.25"/>
    <row r="120640" customFormat="1" x14ac:dyDescent="0.25"/>
    <row r="120641" customFormat="1" x14ac:dyDescent="0.25"/>
    <row r="120642" customFormat="1" x14ac:dyDescent="0.25"/>
    <row r="120643" customFormat="1" x14ac:dyDescent="0.25"/>
    <row r="120644" customFormat="1" x14ac:dyDescent="0.25"/>
    <row r="120645" customFormat="1" x14ac:dyDescent="0.25"/>
    <row r="120646" customFormat="1" x14ac:dyDescent="0.25"/>
    <row r="120647" customFormat="1" x14ac:dyDescent="0.25"/>
    <row r="120648" customFormat="1" x14ac:dyDescent="0.25"/>
    <row r="120649" customFormat="1" x14ac:dyDescent="0.25"/>
    <row r="120650" customFormat="1" x14ac:dyDescent="0.25"/>
    <row r="120651" customFormat="1" x14ac:dyDescent="0.25"/>
    <row r="120652" customFormat="1" x14ac:dyDescent="0.25"/>
    <row r="120653" customFormat="1" x14ac:dyDescent="0.25"/>
    <row r="120654" customFormat="1" x14ac:dyDescent="0.25"/>
    <row r="120655" customFormat="1" x14ac:dyDescent="0.25"/>
    <row r="120656" customFormat="1" x14ac:dyDescent="0.25"/>
    <row r="120657" customFormat="1" x14ac:dyDescent="0.25"/>
    <row r="120658" customFormat="1" x14ac:dyDescent="0.25"/>
    <row r="120659" customFormat="1" x14ac:dyDescent="0.25"/>
    <row r="120660" customFormat="1" x14ac:dyDescent="0.25"/>
    <row r="120661" customFormat="1" x14ac:dyDescent="0.25"/>
    <row r="120662" customFormat="1" x14ac:dyDescent="0.25"/>
    <row r="120663" customFormat="1" x14ac:dyDescent="0.25"/>
    <row r="120664" customFormat="1" x14ac:dyDescent="0.25"/>
    <row r="120665" customFormat="1" x14ac:dyDescent="0.25"/>
    <row r="120666" customFormat="1" x14ac:dyDescent="0.25"/>
    <row r="120667" customFormat="1" x14ac:dyDescent="0.25"/>
    <row r="120668" customFormat="1" x14ac:dyDescent="0.25"/>
    <row r="120669" customFormat="1" x14ac:dyDescent="0.25"/>
    <row r="120670" customFormat="1" x14ac:dyDescent="0.25"/>
    <row r="120671" customFormat="1" x14ac:dyDescent="0.25"/>
    <row r="120672" customFormat="1" x14ac:dyDescent="0.25"/>
    <row r="120673" customFormat="1" x14ac:dyDescent="0.25"/>
    <row r="120674" customFormat="1" x14ac:dyDescent="0.25"/>
    <row r="120675" customFormat="1" x14ac:dyDescent="0.25"/>
    <row r="120676" customFormat="1" x14ac:dyDescent="0.25"/>
    <row r="120677" customFormat="1" x14ac:dyDescent="0.25"/>
    <row r="120678" customFormat="1" x14ac:dyDescent="0.25"/>
    <row r="120679" customFormat="1" x14ac:dyDescent="0.25"/>
    <row r="120680" customFormat="1" x14ac:dyDescent="0.25"/>
    <row r="120681" customFormat="1" x14ac:dyDescent="0.25"/>
    <row r="120682" customFormat="1" x14ac:dyDescent="0.25"/>
    <row r="120683" customFormat="1" x14ac:dyDescent="0.25"/>
    <row r="120684" customFormat="1" x14ac:dyDescent="0.25"/>
    <row r="120685" customFormat="1" x14ac:dyDescent="0.25"/>
    <row r="120686" customFormat="1" x14ac:dyDescent="0.25"/>
    <row r="120687" customFormat="1" x14ac:dyDescent="0.25"/>
    <row r="120688" customFormat="1" x14ac:dyDescent="0.25"/>
    <row r="120689" customFormat="1" x14ac:dyDescent="0.25"/>
    <row r="120690" customFormat="1" x14ac:dyDescent="0.25"/>
    <row r="120691" customFormat="1" x14ac:dyDescent="0.25"/>
    <row r="120692" customFormat="1" x14ac:dyDescent="0.25"/>
    <row r="120693" customFormat="1" x14ac:dyDescent="0.25"/>
    <row r="120694" customFormat="1" x14ac:dyDescent="0.25"/>
    <row r="120695" customFormat="1" x14ac:dyDescent="0.25"/>
    <row r="120696" customFormat="1" x14ac:dyDescent="0.25"/>
    <row r="120697" customFormat="1" x14ac:dyDescent="0.25"/>
    <row r="120698" customFormat="1" x14ac:dyDescent="0.25"/>
    <row r="120699" customFormat="1" x14ac:dyDescent="0.25"/>
    <row r="120700" customFormat="1" x14ac:dyDescent="0.25"/>
    <row r="120701" customFormat="1" x14ac:dyDescent="0.25"/>
    <row r="120702" customFormat="1" x14ac:dyDescent="0.25"/>
    <row r="120703" customFormat="1" x14ac:dyDescent="0.25"/>
    <row r="120704" customFormat="1" x14ac:dyDescent="0.25"/>
    <row r="120705" customFormat="1" x14ac:dyDescent="0.25"/>
    <row r="120706" customFormat="1" x14ac:dyDescent="0.25"/>
    <row r="120707" customFormat="1" x14ac:dyDescent="0.25"/>
    <row r="120708" customFormat="1" x14ac:dyDescent="0.25"/>
    <row r="120709" customFormat="1" x14ac:dyDescent="0.25"/>
    <row r="120710" customFormat="1" x14ac:dyDescent="0.25"/>
    <row r="120711" customFormat="1" x14ac:dyDescent="0.25"/>
    <row r="120712" customFormat="1" x14ac:dyDescent="0.25"/>
    <row r="120713" customFormat="1" x14ac:dyDescent="0.25"/>
    <row r="120714" customFormat="1" x14ac:dyDescent="0.25"/>
    <row r="120715" customFormat="1" x14ac:dyDescent="0.25"/>
    <row r="120716" customFormat="1" x14ac:dyDescent="0.25"/>
    <row r="120717" customFormat="1" x14ac:dyDescent="0.25"/>
    <row r="120718" customFormat="1" x14ac:dyDescent="0.25"/>
    <row r="120719" customFormat="1" x14ac:dyDescent="0.25"/>
    <row r="120720" customFormat="1" x14ac:dyDescent="0.25"/>
    <row r="120721" customFormat="1" x14ac:dyDescent="0.25"/>
    <row r="120722" customFormat="1" x14ac:dyDescent="0.25"/>
    <row r="120723" customFormat="1" x14ac:dyDescent="0.25"/>
    <row r="120724" customFormat="1" x14ac:dyDescent="0.25"/>
    <row r="120725" customFormat="1" x14ac:dyDescent="0.25"/>
    <row r="120726" customFormat="1" x14ac:dyDescent="0.25"/>
    <row r="120727" customFormat="1" x14ac:dyDescent="0.25"/>
    <row r="120728" customFormat="1" x14ac:dyDescent="0.25"/>
    <row r="120729" customFormat="1" x14ac:dyDescent="0.25"/>
    <row r="120730" customFormat="1" x14ac:dyDescent="0.25"/>
    <row r="120731" customFormat="1" x14ac:dyDescent="0.25"/>
    <row r="120732" customFormat="1" x14ac:dyDescent="0.25"/>
    <row r="120733" customFormat="1" x14ac:dyDescent="0.25"/>
    <row r="120734" customFormat="1" x14ac:dyDescent="0.25"/>
    <row r="120735" customFormat="1" x14ac:dyDescent="0.25"/>
    <row r="120736" customFormat="1" x14ac:dyDescent="0.25"/>
    <row r="120737" customFormat="1" x14ac:dyDescent="0.25"/>
    <row r="120738" customFormat="1" x14ac:dyDescent="0.25"/>
    <row r="120739" customFormat="1" x14ac:dyDescent="0.25"/>
    <row r="120740" customFormat="1" x14ac:dyDescent="0.25"/>
    <row r="120741" customFormat="1" x14ac:dyDescent="0.25"/>
    <row r="120742" customFormat="1" x14ac:dyDescent="0.25"/>
    <row r="120743" customFormat="1" x14ac:dyDescent="0.25"/>
    <row r="120744" customFormat="1" x14ac:dyDescent="0.25"/>
    <row r="120745" customFormat="1" x14ac:dyDescent="0.25"/>
    <row r="120746" customFormat="1" x14ac:dyDescent="0.25"/>
    <row r="120747" customFormat="1" x14ac:dyDescent="0.25"/>
    <row r="120748" customFormat="1" x14ac:dyDescent="0.25"/>
    <row r="120749" customFormat="1" x14ac:dyDescent="0.25"/>
    <row r="120750" customFormat="1" x14ac:dyDescent="0.25"/>
    <row r="120751" customFormat="1" x14ac:dyDescent="0.25"/>
    <row r="120752" customFormat="1" x14ac:dyDescent="0.25"/>
    <row r="120753" customFormat="1" x14ac:dyDescent="0.25"/>
    <row r="120754" customFormat="1" x14ac:dyDescent="0.25"/>
    <row r="120755" customFormat="1" x14ac:dyDescent="0.25"/>
    <row r="120756" customFormat="1" x14ac:dyDescent="0.25"/>
    <row r="120757" customFormat="1" x14ac:dyDescent="0.25"/>
    <row r="120758" customFormat="1" x14ac:dyDescent="0.25"/>
    <row r="120759" customFormat="1" x14ac:dyDescent="0.25"/>
    <row r="120760" customFormat="1" x14ac:dyDescent="0.25"/>
    <row r="120761" customFormat="1" x14ac:dyDescent="0.25"/>
    <row r="120762" customFormat="1" x14ac:dyDescent="0.25"/>
    <row r="120763" customFormat="1" x14ac:dyDescent="0.25"/>
    <row r="120764" customFormat="1" x14ac:dyDescent="0.25"/>
    <row r="120765" customFormat="1" x14ac:dyDescent="0.25"/>
    <row r="120766" customFormat="1" x14ac:dyDescent="0.25"/>
    <row r="120767" customFormat="1" x14ac:dyDescent="0.25"/>
    <row r="120768" customFormat="1" x14ac:dyDescent="0.25"/>
    <row r="120769" customFormat="1" x14ac:dyDescent="0.25"/>
    <row r="120770" customFormat="1" x14ac:dyDescent="0.25"/>
    <row r="120771" customFormat="1" x14ac:dyDescent="0.25"/>
    <row r="120772" customFormat="1" x14ac:dyDescent="0.25"/>
    <row r="120773" customFormat="1" x14ac:dyDescent="0.25"/>
    <row r="120774" customFormat="1" x14ac:dyDescent="0.25"/>
    <row r="120775" customFormat="1" x14ac:dyDescent="0.25"/>
    <row r="120776" customFormat="1" x14ac:dyDescent="0.25"/>
    <row r="120777" customFormat="1" x14ac:dyDescent="0.25"/>
    <row r="120778" customFormat="1" x14ac:dyDescent="0.25"/>
    <row r="120779" customFormat="1" x14ac:dyDescent="0.25"/>
    <row r="120780" customFormat="1" x14ac:dyDescent="0.25"/>
    <row r="120781" customFormat="1" x14ac:dyDescent="0.25"/>
    <row r="120782" customFormat="1" x14ac:dyDescent="0.25"/>
    <row r="120783" customFormat="1" x14ac:dyDescent="0.25"/>
    <row r="120784" customFormat="1" x14ac:dyDescent="0.25"/>
    <row r="120785" customFormat="1" x14ac:dyDescent="0.25"/>
    <row r="120786" customFormat="1" x14ac:dyDescent="0.25"/>
    <row r="120787" customFormat="1" x14ac:dyDescent="0.25"/>
    <row r="120788" customFormat="1" x14ac:dyDescent="0.25"/>
    <row r="120789" customFormat="1" x14ac:dyDescent="0.25"/>
    <row r="120790" customFormat="1" x14ac:dyDescent="0.25"/>
    <row r="120791" customFormat="1" x14ac:dyDescent="0.25"/>
    <row r="120792" customFormat="1" x14ac:dyDescent="0.25"/>
    <row r="120793" customFormat="1" x14ac:dyDescent="0.25"/>
    <row r="120794" customFormat="1" x14ac:dyDescent="0.25"/>
    <row r="120795" customFormat="1" x14ac:dyDescent="0.25"/>
    <row r="120796" customFormat="1" x14ac:dyDescent="0.25"/>
    <row r="120797" customFormat="1" x14ac:dyDescent="0.25"/>
    <row r="120798" customFormat="1" x14ac:dyDescent="0.25"/>
    <row r="120799" customFormat="1" x14ac:dyDescent="0.25"/>
    <row r="120800" customFormat="1" x14ac:dyDescent="0.25"/>
    <row r="120801" customFormat="1" x14ac:dyDescent="0.25"/>
    <row r="120802" customFormat="1" x14ac:dyDescent="0.25"/>
    <row r="120803" customFormat="1" x14ac:dyDescent="0.25"/>
    <row r="120804" customFormat="1" x14ac:dyDescent="0.25"/>
    <row r="120805" customFormat="1" x14ac:dyDescent="0.25"/>
    <row r="120806" customFormat="1" x14ac:dyDescent="0.25"/>
    <row r="120807" customFormat="1" x14ac:dyDescent="0.25"/>
    <row r="120808" customFormat="1" x14ac:dyDescent="0.25"/>
    <row r="120809" customFormat="1" x14ac:dyDescent="0.25"/>
    <row r="120810" customFormat="1" x14ac:dyDescent="0.25"/>
    <row r="120811" customFormat="1" x14ac:dyDescent="0.25"/>
    <row r="120812" customFormat="1" x14ac:dyDescent="0.25"/>
    <row r="120813" customFormat="1" x14ac:dyDescent="0.25"/>
    <row r="120814" customFormat="1" x14ac:dyDescent="0.25"/>
    <row r="120815" customFormat="1" x14ac:dyDescent="0.25"/>
    <row r="120816" customFormat="1" x14ac:dyDescent="0.25"/>
    <row r="120817" customFormat="1" x14ac:dyDescent="0.25"/>
    <row r="120818" customFormat="1" x14ac:dyDescent="0.25"/>
    <row r="120819" customFormat="1" x14ac:dyDescent="0.25"/>
    <row r="120820" customFormat="1" x14ac:dyDescent="0.25"/>
    <row r="120821" customFormat="1" x14ac:dyDescent="0.25"/>
    <row r="120822" customFormat="1" x14ac:dyDescent="0.25"/>
    <row r="120823" customFormat="1" x14ac:dyDescent="0.25"/>
    <row r="120824" customFormat="1" x14ac:dyDescent="0.25"/>
    <row r="120825" customFormat="1" x14ac:dyDescent="0.25"/>
    <row r="120826" customFormat="1" x14ac:dyDescent="0.25"/>
    <row r="120827" customFormat="1" x14ac:dyDescent="0.25"/>
    <row r="120828" customFormat="1" x14ac:dyDescent="0.25"/>
    <row r="120829" customFormat="1" x14ac:dyDescent="0.25"/>
    <row r="120830" customFormat="1" x14ac:dyDescent="0.25"/>
    <row r="120831" customFormat="1" x14ac:dyDescent="0.25"/>
    <row r="120832" customFormat="1" x14ac:dyDescent="0.25"/>
    <row r="120833" customFormat="1" x14ac:dyDescent="0.25"/>
    <row r="120834" customFormat="1" x14ac:dyDescent="0.25"/>
    <row r="120835" customFormat="1" x14ac:dyDescent="0.25"/>
    <row r="120836" customFormat="1" x14ac:dyDescent="0.25"/>
    <row r="120837" customFormat="1" x14ac:dyDescent="0.25"/>
    <row r="120838" customFormat="1" x14ac:dyDescent="0.25"/>
    <row r="120839" customFormat="1" x14ac:dyDescent="0.25"/>
    <row r="120840" customFormat="1" x14ac:dyDescent="0.25"/>
    <row r="120841" customFormat="1" x14ac:dyDescent="0.25"/>
    <row r="120842" customFormat="1" x14ac:dyDescent="0.25"/>
    <row r="120843" customFormat="1" x14ac:dyDescent="0.25"/>
    <row r="120844" customFormat="1" x14ac:dyDescent="0.25"/>
    <row r="120845" customFormat="1" x14ac:dyDescent="0.25"/>
    <row r="120846" customFormat="1" x14ac:dyDescent="0.25"/>
    <row r="120847" customFormat="1" x14ac:dyDescent="0.25"/>
    <row r="120848" customFormat="1" x14ac:dyDescent="0.25"/>
    <row r="120849" customFormat="1" x14ac:dyDescent="0.25"/>
    <row r="120850" customFormat="1" x14ac:dyDescent="0.25"/>
    <row r="120851" customFormat="1" x14ac:dyDescent="0.25"/>
    <row r="120852" customFormat="1" x14ac:dyDescent="0.25"/>
    <row r="120853" customFormat="1" x14ac:dyDescent="0.25"/>
    <row r="120854" customFormat="1" x14ac:dyDescent="0.25"/>
    <row r="120855" customFormat="1" x14ac:dyDescent="0.25"/>
    <row r="120856" customFormat="1" x14ac:dyDescent="0.25"/>
    <row r="120857" customFormat="1" x14ac:dyDescent="0.25"/>
    <row r="120858" customFormat="1" x14ac:dyDescent="0.25"/>
    <row r="120859" customFormat="1" x14ac:dyDescent="0.25"/>
    <row r="120860" customFormat="1" x14ac:dyDescent="0.25"/>
    <row r="120861" customFormat="1" x14ac:dyDescent="0.25"/>
    <row r="120862" customFormat="1" x14ac:dyDescent="0.25"/>
    <row r="120863" customFormat="1" x14ac:dyDescent="0.25"/>
    <row r="120864" customFormat="1" x14ac:dyDescent="0.25"/>
    <row r="120865" customFormat="1" x14ac:dyDescent="0.25"/>
    <row r="120866" customFormat="1" x14ac:dyDescent="0.25"/>
    <row r="120867" customFormat="1" x14ac:dyDescent="0.25"/>
    <row r="120868" customFormat="1" x14ac:dyDescent="0.25"/>
    <row r="120869" customFormat="1" x14ac:dyDescent="0.25"/>
    <row r="120870" customFormat="1" x14ac:dyDescent="0.25"/>
    <row r="120871" customFormat="1" x14ac:dyDescent="0.25"/>
    <row r="120872" customFormat="1" x14ac:dyDescent="0.25"/>
    <row r="120873" customFormat="1" x14ac:dyDescent="0.25"/>
    <row r="120874" customFormat="1" x14ac:dyDescent="0.25"/>
    <row r="120875" customFormat="1" x14ac:dyDescent="0.25"/>
    <row r="120876" customFormat="1" x14ac:dyDescent="0.25"/>
    <row r="120877" customFormat="1" x14ac:dyDescent="0.25"/>
    <row r="120878" customFormat="1" x14ac:dyDescent="0.25"/>
    <row r="120879" customFormat="1" x14ac:dyDescent="0.25"/>
    <row r="120880" customFormat="1" x14ac:dyDescent="0.25"/>
    <row r="120881" customFormat="1" x14ac:dyDescent="0.25"/>
    <row r="120882" customFormat="1" x14ac:dyDescent="0.25"/>
    <row r="120883" customFormat="1" x14ac:dyDescent="0.25"/>
    <row r="120884" customFormat="1" x14ac:dyDescent="0.25"/>
    <row r="120885" customFormat="1" x14ac:dyDescent="0.25"/>
    <row r="120886" customFormat="1" x14ac:dyDescent="0.25"/>
    <row r="120887" customFormat="1" x14ac:dyDescent="0.25"/>
    <row r="120888" customFormat="1" x14ac:dyDescent="0.25"/>
    <row r="120889" customFormat="1" x14ac:dyDescent="0.25"/>
    <row r="120890" customFormat="1" x14ac:dyDescent="0.25"/>
    <row r="120891" customFormat="1" x14ac:dyDescent="0.25"/>
    <row r="120892" customFormat="1" x14ac:dyDescent="0.25"/>
    <row r="120893" customFormat="1" x14ac:dyDescent="0.25"/>
    <row r="120894" customFormat="1" x14ac:dyDescent="0.25"/>
    <row r="120895" customFormat="1" x14ac:dyDescent="0.25"/>
    <row r="120896" customFormat="1" x14ac:dyDescent="0.25"/>
    <row r="120897" customFormat="1" x14ac:dyDescent="0.25"/>
    <row r="120898" customFormat="1" x14ac:dyDescent="0.25"/>
    <row r="120899" customFormat="1" x14ac:dyDescent="0.25"/>
    <row r="120900" customFormat="1" x14ac:dyDescent="0.25"/>
    <row r="120901" customFormat="1" x14ac:dyDescent="0.25"/>
    <row r="120902" customFormat="1" x14ac:dyDescent="0.25"/>
    <row r="120903" customFormat="1" x14ac:dyDescent="0.25"/>
    <row r="120904" customFormat="1" x14ac:dyDescent="0.25"/>
    <row r="120905" customFormat="1" x14ac:dyDescent="0.25"/>
    <row r="120906" customFormat="1" x14ac:dyDescent="0.25"/>
    <row r="120907" customFormat="1" x14ac:dyDescent="0.25"/>
    <row r="120908" customFormat="1" x14ac:dyDescent="0.25"/>
    <row r="120909" customFormat="1" x14ac:dyDescent="0.25"/>
    <row r="120910" customFormat="1" x14ac:dyDescent="0.25"/>
    <row r="120911" customFormat="1" x14ac:dyDescent="0.25"/>
    <row r="120912" customFormat="1" x14ac:dyDescent="0.25"/>
    <row r="120913" customFormat="1" x14ac:dyDescent="0.25"/>
    <row r="120914" customFormat="1" x14ac:dyDescent="0.25"/>
    <row r="120915" customFormat="1" x14ac:dyDescent="0.25"/>
    <row r="120916" customFormat="1" x14ac:dyDescent="0.25"/>
    <row r="120917" customFormat="1" x14ac:dyDescent="0.25"/>
    <row r="120918" customFormat="1" x14ac:dyDescent="0.25"/>
    <row r="120919" customFormat="1" x14ac:dyDescent="0.25"/>
    <row r="120920" customFormat="1" x14ac:dyDescent="0.25"/>
    <row r="120921" customFormat="1" x14ac:dyDescent="0.25"/>
    <row r="120922" customFormat="1" x14ac:dyDescent="0.25"/>
    <row r="120923" customFormat="1" x14ac:dyDescent="0.25"/>
    <row r="120924" customFormat="1" x14ac:dyDescent="0.25"/>
    <row r="120925" customFormat="1" x14ac:dyDescent="0.25"/>
    <row r="120926" customFormat="1" x14ac:dyDescent="0.25"/>
    <row r="120927" customFormat="1" x14ac:dyDescent="0.25"/>
    <row r="120928" customFormat="1" x14ac:dyDescent="0.25"/>
    <row r="120929" customFormat="1" x14ac:dyDescent="0.25"/>
    <row r="120930" customFormat="1" x14ac:dyDescent="0.25"/>
    <row r="120931" customFormat="1" x14ac:dyDescent="0.25"/>
    <row r="120932" customFormat="1" x14ac:dyDescent="0.25"/>
    <row r="120933" customFormat="1" x14ac:dyDescent="0.25"/>
    <row r="120934" customFormat="1" x14ac:dyDescent="0.25"/>
    <row r="120935" customFormat="1" x14ac:dyDescent="0.25"/>
    <row r="120936" customFormat="1" x14ac:dyDescent="0.25"/>
    <row r="120937" customFormat="1" x14ac:dyDescent="0.25"/>
    <row r="120938" customFormat="1" x14ac:dyDescent="0.25"/>
    <row r="120939" customFormat="1" x14ac:dyDescent="0.25"/>
    <row r="120940" customFormat="1" x14ac:dyDescent="0.25"/>
    <row r="120941" customFormat="1" x14ac:dyDescent="0.25"/>
    <row r="120942" customFormat="1" x14ac:dyDescent="0.25"/>
    <row r="120943" customFormat="1" x14ac:dyDescent="0.25"/>
    <row r="120944" customFormat="1" x14ac:dyDescent="0.25"/>
    <row r="120945" customFormat="1" x14ac:dyDescent="0.25"/>
    <row r="120946" customFormat="1" x14ac:dyDescent="0.25"/>
    <row r="120947" customFormat="1" x14ac:dyDescent="0.25"/>
    <row r="120948" customFormat="1" x14ac:dyDescent="0.25"/>
    <row r="120949" customFormat="1" x14ac:dyDescent="0.25"/>
    <row r="120950" customFormat="1" x14ac:dyDescent="0.25"/>
    <row r="120951" customFormat="1" x14ac:dyDescent="0.25"/>
    <row r="120952" customFormat="1" x14ac:dyDescent="0.25"/>
    <row r="120953" customFormat="1" x14ac:dyDescent="0.25"/>
    <row r="120954" customFormat="1" x14ac:dyDescent="0.25"/>
    <row r="120955" customFormat="1" x14ac:dyDescent="0.25"/>
    <row r="120956" customFormat="1" x14ac:dyDescent="0.25"/>
    <row r="120957" customFormat="1" x14ac:dyDescent="0.25"/>
    <row r="120958" customFormat="1" x14ac:dyDescent="0.25"/>
    <row r="120959" customFormat="1" x14ac:dyDescent="0.25"/>
    <row r="120960" customFormat="1" x14ac:dyDescent="0.25"/>
    <row r="120961" customFormat="1" x14ac:dyDescent="0.25"/>
    <row r="120962" customFormat="1" x14ac:dyDescent="0.25"/>
    <row r="120963" customFormat="1" x14ac:dyDescent="0.25"/>
    <row r="120964" customFormat="1" x14ac:dyDescent="0.25"/>
    <row r="120965" customFormat="1" x14ac:dyDescent="0.25"/>
    <row r="120966" customFormat="1" x14ac:dyDescent="0.25"/>
    <row r="120967" customFormat="1" x14ac:dyDescent="0.25"/>
    <row r="120968" customFormat="1" x14ac:dyDescent="0.25"/>
    <row r="120969" customFormat="1" x14ac:dyDescent="0.25"/>
    <row r="120970" customFormat="1" x14ac:dyDescent="0.25"/>
    <row r="120971" customFormat="1" x14ac:dyDescent="0.25"/>
    <row r="120972" customFormat="1" x14ac:dyDescent="0.25"/>
    <row r="120973" customFormat="1" x14ac:dyDescent="0.25"/>
    <row r="120974" customFormat="1" x14ac:dyDescent="0.25"/>
    <row r="120975" customFormat="1" x14ac:dyDescent="0.25"/>
    <row r="120976" customFormat="1" x14ac:dyDescent="0.25"/>
    <row r="120977" customFormat="1" x14ac:dyDescent="0.25"/>
    <row r="120978" customFormat="1" x14ac:dyDescent="0.25"/>
    <row r="120979" customFormat="1" x14ac:dyDescent="0.25"/>
    <row r="120980" customFormat="1" x14ac:dyDescent="0.25"/>
    <row r="120981" customFormat="1" x14ac:dyDescent="0.25"/>
    <row r="120982" customFormat="1" x14ac:dyDescent="0.25"/>
    <row r="120983" customFormat="1" x14ac:dyDescent="0.25"/>
    <row r="120984" customFormat="1" x14ac:dyDescent="0.25"/>
    <row r="120985" customFormat="1" x14ac:dyDescent="0.25"/>
    <row r="120986" customFormat="1" x14ac:dyDescent="0.25"/>
    <row r="120987" customFormat="1" x14ac:dyDescent="0.25"/>
    <row r="120988" customFormat="1" x14ac:dyDescent="0.25"/>
    <row r="120989" customFormat="1" x14ac:dyDescent="0.25"/>
    <row r="120990" customFormat="1" x14ac:dyDescent="0.25"/>
    <row r="120991" customFormat="1" x14ac:dyDescent="0.25"/>
    <row r="120992" customFormat="1" x14ac:dyDescent="0.25"/>
    <row r="120993" customFormat="1" x14ac:dyDescent="0.25"/>
    <row r="120994" customFormat="1" x14ac:dyDescent="0.25"/>
    <row r="120995" customFormat="1" x14ac:dyDescent="0.25"/>
    <row r="120996" customFormat="1" x14ac:dyDescent="0.25"/>
    <row r="120997" customFormat="1" x14ac:dyDescent="0.25"/>
    <row r="120998" customFormat="1" x14ac:dyDescent="0.25"/>
    <row r="120999" customFormat="1" x14ac:dyDescent="0.25"/>
    <row r="121000" customFormat="1" x14ac:dyDescent="0.25"/>
    <row r="121001" customFormat="1" x14ac:dyDescent="0.25"/>
    <row r="121002" customFormat="1" x14ac:dyDescent="0.25"/>
    <row r="121003" customFormat="1" x14ac:dyDescent="0.25"/>
    <row r="121004" customFormat="1" x14ac:dyDescent="0.25"/>
    <row r="121005" customFormat="1" x14ac:dyDescent="0.25"/>
    <row r="121006" customFormat="1" x14ac:dyDescent="0.25"/>
    <row r="121007" customFormat="1" x14ac:dyDescent="0.25"/>
    <row r="121008" customFormat="1" x14ac:dyDescent="0.25"/>
    <row r="121009" customFormat="1" x14ac:dyDescent="0.25"/>
    <row r="121010" customFormat="1" x14ac:dyDescent="0.25"/>
    <row r="121011" customFormat="1" x14ac:dyDescent="0.25"/>
    <row r="121012" customFormat="1" x14ac:dyDescent="0.25"/>
    <row r="121013" customFormat="1" x14ac:dyDescent="0.25"/>
    <row r="121014" customFormat="1" x14ac:dyDescent="0.25"/>
    <row r="121015" customFormat="1" x14ac:dyDescent="0.25"/>
    <row r="121016" customFormat="1" x14ac:dyDescent="0.25"/>
    <row r="121017" customFormat="1" x14ac:dyDescent="0.25"/>
    <row r="121018" customFormat="1" x14ac:dyDescent="0.25"/>
    <row r="121019" customFormat="1" x14ac:dyDescent="0.25"/>
    <row r="121020" customFormat="1" x14ac:dyDescent="0.25"/>
    <row r="121021" customFormat="1" x14ac:dyDescent="0.25"/>
    <row r="121022" customFormat="1" x14ac:dyDescent="0.25"/>
    <row r="121023" customFormat="1" x14ac:dyDescent="0.25"/>
    <row r="121024" customFormat="1" x14ac:dyDescent="0.25"/>
    <row r="121025" customFormat="1" x14ac:dyDescent="0.25"/>
    <row r="121026" customFormat="1" x14ac:dyDescent="0.25"/>
    <row r="121027" customFormat="1" x14ac:dyDescent="0.25"/>
    <row r="121028" customFormat="1" x14ac:dyDescent="0.25"/>
    <row r="121029" customFormat="1" x14ac:dyDescent="0.25"/>
    <row r="121030" customFormat="1" x14ac:dyDescent="0.25"/>
    <row r="121031" customFormat="1" x14ac:dyDescent="0.25"/>
    <row r="121032" customFormat="1" x14ac:dyDescent="0.25"/>
    <row r="121033" customFormat="1" x14ac:dyDescent="0.25"/>
    <row r="121034" customFormat="1" x14ac:dyDescent="0.25"/>
    <row r="121035" customFormat="1" x14ac:dyDescent="0.25"/>
    <row r="121036" customFormat="1" x14ac:dyDescent="0.25"/>
    <row r="121037" customFormat="1" x14ac:dyDescent="0.25"/>
    <row r="121038" customFormat="1" x14ac:dyDescent="0.25"/>
    <row r="121039" customFormat="1" x14ac:dyDescent="0.25"/>
    <row r="121040" customFormat="1" x14ac:dyDescent="0.25"/>
    <row r="121041" customFormat="1" x14ac:dyDescent="0.25"/>
    <row r="121042" customFormat="1" x14ac:dyDescent="0.25"/>
    <row r="121043" customFormat="1" x14ac:dyDescent="0.25"/>
    <row r="121044" customFormat="1" x14ac:dyDescent="0.25"/>
    <row r="121045" customFormat="1" x14ac:dyDescent="0.25"/>
    <row r="121046" customFormat="1" x14ac:dyDescent="0.25"/>
    <row r="121047" customFormat="1" x14ac:dyDescent="0.25"/>
    <row r="121048" customFormat="1" x14ac:dyDescent="0.25"/>
    <row r="121049" customFormat="1" x14ac:dyDescent="0.25"/>
    <row r="121050" customFormat="1" x14ac:dyDescent="0.25"/>
    <row r="121051" customFormat="1" x14ac:dyDescent="0.25"/>
    <row r="121052" customFormat="1" x14ac:dyDescent="0.25"/>
    <row r="121053" customFormat="1" x14ac:dyDescent="0.25"/>
    <row r="121054" customFormat="1" x14ac:dyDescent="0.25"/>
    <row r="121055" customFormat="1" x14ac:dyDescent="0.25"/>
    <row r="121056" customFormat="1" x14ac:dyDescent="0.25"/>
    <row r="121057" customFormat="1" x14ac:dyDescent="0.25"/>
    <row r="121058" customFormat="1" x14ac:dyDescent="0.25"/>
    <row r="121059" customFormat="1" x14ac:dyDescent="0.25"/>
    <row r="121060" customFormat="1" x14ac:dyDescent="0.25"/>
    <row r="121061" customFormat="1" x14ac:dyDescent="0.25"/>
    <row r="121062" customFormat="1" x14ac:dyDescent="0.25"/>
    <row r="121063" customFormat="1" x14ac:dyDescent="0.25"/>
    <row r="121064" customFormat="1" x14ac:dyDescent="0.25"/>
    <row r="121065" customFormat="1" x14ac:dyDescent="0.25"/>
    <row r="121066" customFormat="1" x14ac:dyDescent="0.25"/>
    <row r="121067" customFormat="1" x14ac:dyDescent="0.25"/>
    <row r="121068" customFormat="1" x14ac:dyDescent="0.25"/>
    <row r="121069" customFormat="1" x14ac:dyDescent="0.25"/>
    <row r="121070" customFormat="1" x14ac:dyDescent="0.25"/>
    <row r="121071" customFormat="1" x14ac:dyDescent="0.25"/>
    <row r="121072" customFormat="1" x14ac:dyDescent="0.25"/>
    <row r="121073" customFormat="1" x14ac:dyDescent="0.25"/>
    <row r="121074" customFormat="1" x14ac:dyDescent="0.25"/>
    <row r="121075" customFormat="1" x14ac:dyDescent="0.25"/>
    <row r="121076" customFormat="1" x14ac:dyDescent="0.25"/>
    <row r="121077" customFormat="1" x14ac:dyDescent="0.25"/>
    <row r="121078" customFormat="1" x14ac:dyDescent="0.25"/>
    <row r="121079" customFormat="1" x14ac:dyDescent="0.25"/>
    <row r="121080" customFormat="1" x14ac:dyDescent="0.25"/>
    <row r="121081" customFormat="1" x14ac:dyDescent="0.25"/>
    <row r="121082" customFormat="1" x14ac:dyDescent="0.25"/>
    <row r="121083" customFormat="1" x14ac:dyDescent="0.25"/>
    <row r="121084" customFormat="1" x14ac:dyDescent="0.25"/>
    <row r="121085" customFormat="1" x14ac:dyDescent="0.25"/>
    <row r="121086" customFormat="1" x14ac:dyDescent="0.25"/>
    <row r="121087" customFormat="1" x14ac:dyDescent="0.25"/>
    <row r="121088" customFormat="1" x14ac:dyDescent="0.25"/>
    <row r="121089" customFormat="1" x14ac:dyDescent="0.25"/>
    <row r="121090" customFormat="1" x14ac:dyDescent="0.25"/>
    <row r="121091" customFormat="1" x14ac:dyDescent="0.25"/>
    <row r="121092" customFormat="1" x14ac:dyDescent="0.25"/>
    <row r="121093" customFormat="1" x14ac:dyDescent="0.25"/>
    <row r="121094" customFormat="1" x14ac:dyDescent="0.25"/>
    <row r="121095" customFormat="1" x14ac:dyDescent="0.25"/>
    <row r="121096" customFormat="1" x14ac:dyDescent="0.25"/>
    <row r="121097" customFormat="1" x14ac:dyDescent="0.25"/>
    <row r="121098" customFormat="1" x14ac:dyDescent="0.25"/>
    <row r="121099" customFormat="1" x14ac:dyDescent="0.25"/>
    <row r="121100" customFormat="1" x14ac:dyDescent="0.25"/>
    <row r="121101" customFormat="1" x14ac:dyDescent="0.25"/>
    <row r="121102" customFormat="1" x14ac:dyDescent="0.25"/>
    <row r="121103" customFormat="1" x14ac:dyDescent="0.25"/>
    <row r="121104" customFormat="1" x14ac:dyDescent="0.25"/>
    <row r="121105" customFormat="1" x14ac:dyDescent="0.25"/>
    <row r="121106" customFormat="1" x14ac:dyDescent="0.25"/>
    <row r="121107" customFormat="1" x14ac:dyDescent="0.25"/>
    <row r="121108" customFormat="1" x14ac:dyDescent="0.25"/>
    <row r="121109" customFormat="1" x14ac:dyDescent="0.25"/>
    <row r="121110" customFormat="1" x14ac:dyDescent="0.25"/>
    <row r="121111" customFormat="1" x14ac:dyDescent="0.25"/>
    <row r="121112" customFormat="1" x14ac:dyDescent="0.25"/>
    <row r="121113" customFormat="1" x14ac:dyDescent="0.25"/>
    <row r="121114" customFormat="1" x14ac:dyDescent="0.25"/>
    <row r="121115" customFormat="1" x14ac:dyDescent="0.25"/>
    <row r="121116" customFormat="1" x14ac:dyDescent="0.25"/>
    <row r="121117" customFormat="1" x14ac:dyDescent="0.25"/>
    <row r="121118" customFormat="1" x14ac:dyDescent="0.25"/>
    <row r="121119" customFormat="1" x14ac:dyDescent="0.25"/>
    <row r="121120" customFormat="1" x14ac:dyDescent="0.25"/>
    <row r="121121" customFormat="1" x14ac:dyDescent="0.25"/>
    <row r="121122" customFormat="1" x14ac:dyDescent="0.25"/>
    <row r="121123" customFormat="1" x14ac:dyDescent="0.25"/>
    <row r="121124" customFormat="1" x14ac:dyDescent="0.25"/>
    <row r="121125" customFormat="1" x14ac:dyDescent="0.25"/>
    <row r="121126" customFormat="1" x14ac:dyDescent="0.25"/>
    <row r="121127" customFormat="1" x14ac:dyDescent="0.25"/>
    <row r="121128" customFormat="1" x14ac:dyDescent="0.25"/>
    <row r="121129" customFormat="1" x14ac:dyDescent="0.25"/>
    <row r="121130" customFormat="1" x14ac:dyDescent="0.25"/>
    <row r="121131" customFormat="1" x14ac:dyDescent="0.25"/>
    <row r="121132" customFormat="1" x14ac:dyDescent="0.25"/>
    <row r="121133" customFormat="1" x14ac:dyDescent="0.25"/>
    <row r="121134" customFormat="1" x14ac:dyDescent="0.25"/>
    <row r="121135" customFormat="1" x14ac:dyDescent="0.25"/>
    <row r="121136" customFormat="1" x14ac:dyDescent="0.25"/>
    <row r="121137" customFormat="1" x14ac:dyDescent="0.25"/>
    <row r="121138" customFormat="1" x14ac:dyDescent="0.25"/>
    <row r="121139" customFormat="1" x14ac:dyDescent="0.25"/>
    <row r="121140" customFormat="1" x14ac:dyDescent="0.25"/>
    <row r="121141" customFormat="1" x14ac:dyDescent="0.25"/>
    <row r="121142" customFormat="1" x14ac:dyDescent="0.25"/>
    <row r="121143" customFormat="1" x14ac:dyDescent="0.25"/>
    <row r="121144" customFormat="1" x14ac:dyDescent="0.25"/>
    <row r="121145" customFormat="1" x14ac:dyDescent="0.25"/>
    <row r="121146" customFormat="1" x14ac:dyDescent="0.25"/>
    <row r="121147" customFormat="1" x14ac:dyDescent="0.25"/>
    <row r="121148" customFormat="1" x14ac:dyDescent="0.25"/>
    <row r="121149" customFormat="1" x14ac:dyDescent="0.25"/>
    <row r="121150" customFormat="1" x14ac:dyDescent="0.25"/>
    <row r="121151" customFormat="1" x14ac:dyDescent="0.25"/>
    <row r="121152" customFormat="1" x14ac:dyDescent="0.25"/>
    <row r="121153" customFormat="1" x14ac:dyDescent="0.25"/>
    <row r="121154" customFormat="1" x14ac:dyDescent="0.25"/>
    <row r="121155" customFormat="1" x14ac:dyDescent="0.25"/>
    <row r="121156" customFormat="1" x14ac:dyDescent="0.25"/>
    <row r="121157" customFormat="1" x14ac:dyDescent="0.25"/>
    <row r="121158" customFormat="1" x14ac:dyDescent="0.25"/>
    <row r="121159" customFormat="1" x14ac:dyDescent="0.25"/>
    <row r="121160" customFormat="1" x14ac:dyDescent="0.25"/>
    <row r="121161" customFormat="1" x14ac:dyDescent="0.25"/>
    <row r="121162" customFormat="1" x14ac:dyDescent="0.25"/>
    <row r="121163" customFormat="1" x14ac:dyDescent="0.25"/>
    <row r="121164" customFormat="1" x14ac:dyDescent="0.25"/>
    <row r="121165" customFormat="1" x14ac:dyDescent="0.25"/>
    <row r="121166" customFormat="1" x14ac:dyDescent="0.25"/>
    <row r="121167" customFormat="1" x14ac:dyDescent="0.25"/>
    <row r="121168" customFormat="1" x14ac:dyDescent="0.25"/>
    <row r="121169" customFormat="1" x14ac:dyDescent="0.25"/>
    <row r="121170" customFormat="1" x14ac:dyDescent="0.25"/>
    <row r="121171" customFormat="1" x14ac:dyDescent="0.25"/>
    <row r="121172" customFormat="1" x14ac:dyDescent="0.25"/>
    <row r="121173" customFormat="1" x14ac:dyDescent="0.25"/>
    <row r="121174" customFormat="1" x14ac:dyDescent="0.25"/>
    <row r="121175" customFormat="1" x14ac:dyDescent="0.25"/>
    <row r="121176" customFormat="1" x14ac:dyDescent="0.25"/>
    <row r="121177" customFormat="1" x14ac:dyDescent="0.25"/>
    <row r="121178" customFormat="1" x14ac:dyDescent="0.25"/>
    <row r="121179" customFormat="1" x14ac:dyDescent="0.25"/>
    <row r="121180" customFormat="1" x14ac:dyDescent="0.25"/>
    <row r="121181" customFormat="1" x14ac:dyDescent="0.25"/>
    <row r="121182" customFormat="1" x14ac:dyDescent="0.25"/>
    <row r="121183" customFormat="1" x14ac:dyDescent="0.25"/>
    <row r="121184" customFormat="1" x14ac:dyDescent="0.25"/>
    <row r="121185" customFormat="1" x14ac:dyDescent="0.25"/>
    <row r="121186" customFormat="1" x14ac:dyDescent="0.25"/>
    <row r="121187" customFormat="1" x14ac:dyDescent="0.25"/>
    <row r="121188" customFormat="1" x14ac:dyDescent="0.25"/>
    <row r="121189" customFormat="1" x14ac:dyDescent="0.25"/>
    <row r="121190" customFormat="1" x14ac:dyDescent="0.25"/>
    <row r="121191" customFormat="1" x14ac:dyDescent="0.25"/>
    <row r="121192" customFormat="1" x14ac:dyDescent="0.25"/>
    <row r="121193" customFormat="1" x14ac:dyDescent="0.25"/>
    <row r="121194" customFormat="1" x14ac:dyDescent="0.25"/>
    <row r="121195" customFormat="1" x14ac:dyDescent="0.25"/>
    <row r="121196" customFormat="1" x14ac:dyDescent="0.25"/>
    <row r="121197" customFormat="1" x14ac:dyDescent="0.25"/>
    <row r="121198" customFormat="1" x14ac:dyDescent="0.25"/>
    <row r="121199" customFormat="1" x14ac:dyDescent="0.25"/>
    <row r="121200" customFormat="1" x14ac:dyDescent="0.25"/>
    <row r="121201" customFormat="1" x14ac:dyDescent="0.25"/>
    <row r="121202" customFormat="1" x14ac:dyDescent="0.25"/>
    <row r="121203" customFormat="1" x14ac:dyDescent="0.25"/>
    <row r="121204" customFormat="1" x14ac:dyDescent="0.25"/>
    <row r="121205" customFormat="1" x14ac:dyDescent="0.25"/>
    <row r="121206" customFormat="1" x14ac:dyDescent="0.25"/>
    <row r="121207" customFormat="1" x14ac:dyDescent="0.25"/>
    <row r="121208" customFormat="1" x14ac:dyDescent="0.25"/>
    <row r="121209" customFormat="1" x14ac:dyDescent="0.25"/>
    <row r="121210" customFormat="1" x14ac:dyDescent="0.25"/>
    <row r="121211" customFormat="1" x14ac:dyDescent="0.25"/>
    <row r="121212" customFormat="1" x14ac:dyDescent="0.25"/>
    <row r="121213" customFormat="1" x14ac:dyDescent="0.25"/>
    <row r="121214" customFormat="1" x14ac:dyDescent="0.25"/>
    <row r="121215" customFormat="1" x14ac:dyDescent="0.25"/>
    <row r="121216" customFormat="1" x14ac:dyDescent="0.25"/>
    <row r="121217" customFormat="1" x14ac:dyDescent="0.25"/>
    <row r="121218" customFormat="1" x14ac:dyDescent="0.25"/>
    <row r="121219" customFormat="1" x14ac:dyDescent="0.25"/>
    <row r="121220" customFormat="1" x14ac:dyDescent="0.25"/>
    <row r="121221" customFormat="1" x14ac:dyDescent="0.25"/>
    <row r="121222" customFormat="1" x14ac:dyDescent="0.25"/>
    <row r="121223" customFormat="1" x14ac:dyDescent="0.25"/>
    <row r="121224" customFormat="1" x14ac:dyDescent="0.25"/>
    <row r="121225" customFormat="1" x14ac:dyDescent="0.25"/>
    <row r="121226" customFormat="1" x14ac:dyDescent="0.25"/>
    <row r="121227" customFormat="1" x14ac:dyDescent="0.25"/>
    <row r="121228" customFormat="1" x14ac:dyDescent="0.25"/>
    <row r="121229" customFormat="1" x14ac:dyDescent="0.25"/>
    <row r="121230" customFormat="1" x14ac:dyDescent="0.25"/>
    <row r="121231" customFormat="1" x14ac:dyDescent="0.25"/>
    <row r="121232" customFormat="1" x14ac:dyDescent="0.25"/>
    <row r="121233" customFormat="1" x14ac:dyDescent="0.25"/>
    <row r="121234" customFormat="1" x14ac:dyDescent="0.25"/>
    <row r="121235" customFormat="1" x14ac:dyDescent="0.25"/>
    <row r="121236" customFormat="1" x14ac:dyDescent="0.25"/>
    <row r="121237" customFormat="1" x14ac:dyDescent="0.25"/>
    <row r="121238" customFormat="1" x14ac:dyDescent="0.25"/>
    <row r="121239" customFormat="1" x14ac:dyDescent="0.25"/>
    <row r="121240" customFormat="1" x14ac:dyDescent="0.25"/>
    <row r="121241" customFormat="1" x14ac:dyDescent="0.25"/>
    <row r="121242" customFormat="1" x14ac:dyDescent="0.25"/>
    <row r="121243" customFormat="1" x14ac:dyDescent="0.25"/>
    <row r="121244" customFormat="1" x14ac:dyDescent="0.25"/>
    <row r="121245" customFormat="1" x14ac:dyDescent="0.25"/>
    <row r="121246" customFormat="1" x14ac:dyDescent="0.25"/>
    <row r="121247" customFormat="1" x14ac:dyDescent="0.25"/>
    <row r="121248" customFormat="1" x14ac:dyDescent="0.25"/>
    <row r="121249" customFormat="1" x14ac:dyDescent="0.25"/>
    <row r="121250" customFormat="1" x14ac:dyDescent="0.25"/>
    <row r="121251" customFormat="1" x14ac:dyDescent="0.25"/>
    <row r="121252" customFormat="1" x14ac:dyDescent="0.25"/>
    <row r="121253" customFormat="1" x14ac:dyDescent="0.25"/>
    <row r="121254" customFormat="1" x14ac:dyDescent="0.25"/>
    <row r="121255" customFormat="1" x14ac:dyDescent="0.25"/>
    <row r="121256" customFormat="1" x14ac:dyDescent="0.25"/>
    <row r="121257" customFormat="1" x14ac:dyDescent="0.25"/>
    <row r="121258" customFormat="1" x14ac:dyDescent="0.25"/>
    <row r="121259" customFormat="1" x14ac:dyDescent="0.25"/>
    <row r="121260" customFormat="1" x14ac:dyDescent="0.25"/>
    <row r="121261" customFormat="1" x14ac:dyDescent="0.25"/>
    <row r="121262" customFormat="1" x14ac:dyDescent="0.25"/>
    <row r="121263" customFormat="1" x14ac:dyDescent="0.25"/>
    <row r="121264" customFormat="1" x14ac:dyDescent="0.25"/>
    <row r="121265" customFormat="1" x14ac:dyDescent="0.25"/>
    <row r="121266" customFormat="1" x14ac:dyDescent="0.25"/>
    <row r="121267" customFormat="1" x14ac:dyDescent="0.25"/>
    <row r="121268" customFormat="1" x14ac:dyDescent="0.25"/>
    <row r="121269" customFormat="1" x14ac:dyDescent="0.25"/>
    <row r="121270" customFormat="1" x14ac:dyDescent="0.25"/>
    <row r="121271" customFormat="1" x14ac:dyDescent="0.25"/>
    <row r="121272" customFormat="1" x14ac:dyDescent="0.25"/>
    <row r="121273" customFormat="1" x14ac:dyDescent="0.25"/>
    <row r="121274" customFormat="1" x14ac:dyDescent="0.25"/>
    <row r="121275" customFormat="1" x14ac:dyDescent="0.25"/>
    <row r="121276" customFormat="1" x14ac:dyDescent="0.25"/>
    <row r="121277" customFormat="1" x14ac:dyDescent="0.25"/>
    <row r="121278" customFormat="1" x14ac:dyDescent="0.25"/>
    <row r="121279" customFormat="1" x14ac:dyDescent="0.25"/>
    <row r="121280" customFormat="1" x14ac:dyDescent="0.25"/>
    <row r="121281" customFormat="1" x14ac:dyDescent="0.25"/>
    <row r="121282" customFormat="1" x14ac:dyDescent="0.25"/>
    <row r="121283" customFormat="1" x14ac:dyDescent="0.25"/>
    <row r="121284" customFormat="1" x14ac:dyDescent="0.25"/>
    <row r="121285" customFormat="1" x14ac:dyDescent="0.25"/>
    <row r="121286" customFormat="1" x14ac:dyDescent="0.25"/>
    <row r="121287" customFormat="1" x14ac:dyDescent="0.25"/>
    <row r="121288" customFormat="1" x14ac:dyDescent="0.25"/>
    <row r="121289" customFormat="1" x14ac:dyDescent="0.25"/>
    <row r="121290" customFormat="1" x14ac:dyDescent="0.25"/>
    <row r="121291" customFormat="1" x14ac:dyDescent="0.25"/>
    <row r="121292" customFormat="1" x14ac:dyDescent="0.25"/>
    <row r="121293" customFormat="1" x14ac:dyDescent="0.25"/>
    <row r="121294" customFormat="1" x14ac:dyDescent="0.25"/>
    <row r="121295" customFormat="1" x14ac:dyDescent="0.25"/>
    <row r="121296" customFormat="1" x14ac:dyDescent="0.25"/>
    <row r="121297" customFormat="1" x14ac:dyDescent="0.25"/>
    <row r="121298" customFormat="1" x14ac:dyDescent="0.25"/>
    <row r="121299" customFormat="1" x14ac:dyDescent="0.25"/>
    <row r="121300" customFormat="1" x14ac:dyDescent="0.25"/>
    <row r="121301" customFormat="1" x14ac:dyDescent="0.25"/>
    <row r="121302" customFormat="1" x14ac:dyDescent="0.25"/>
    <row r="121303" customFormat="1" x14ac:dyDescent="0.25"/>
    <row r="121304" customFormat="1" x14ac:dyDescent="0.25"/>
    <row r="121305" customFormat="1" x14ac:dyDescent="0.25"/>
    <row r="121306" customFormat="1" x14ac:dyDescent="0.25"/>
    <row r="121307" customFormat="1" x14ac:dyDescent="0.25"/>
    <row r="121308" customFormat="1" x14ac:dyDescent="0.25"/>
    <row r="121309" customFormat="1" x14ac:dyDescent="0.25"/>
    <row r="121310" customFormat="1" x14ac:dyDescent="0.25"/>
    <row r="121311" customFormat="1" x14ac:dyDescent="0.25"/>
    <row r="121312" customFormat="1" x14ac:dyDescent="0.25"/>
    <row r="121313" customFormat="1" x14ac:dyDescent="0.25"/>
    <row r="121314" customFormat="1" x14ac:dyDescent="0.25"/>
    <row r="121315" customFormat="1" x14ac:dyDescent="0.25"/>
    <row r="121316" customFormat="1" x14ac:dyDescent="0.25"/>
    <row r="121317" customFormat="1" x14ac:dyDescent="0.25"/>
    <row r="121318" customFormat="1" x14ac:dyDescent="0.25"/>
    <row r="121319" customFormat="1" x14ac:dyDescent="0.25"/>
    <row r="121320" customFormat="1" x14ac:dyDescent="0.25"/>
    <row r="121321" customFormat="1" x14ac:dyDescent="0.25"/>
    <row r="121322" customFormat="1" x14ac:dyDescent="0.25"/>
    <row r="121323" customFormat="1" x14ac:dyDescent="0.25"/>
    <row r="121324" customFormat="1" x14ac:dyDescent="0.25"/>
    <row r="121325" customFormat="1" x14ac:dyDescent="0.25"/>
    <row r="121326" customFormat="1" x14ac:dyDescent="0.25"/>
    <row r="121327" customFormat="1" x14ac:dyDescent="0.25"/>
    <row r="121328" customFormat="1" x14ac:dyDescent="0.25"/>
    <row r="121329" customFormat="1" x14ac:dyDescent="0.25"/>
    <row r="121330" customFormat="1" x14ac:dyDescent="0.25"/>
    <row r="121331" customFormat="1" x14ac:dyDescent="0.25"/>
    <row r="121332" customFormat="1" x14ac:dyDescent="0.25"/>
    <row r="121333" customFormat="1" x14ac:dyDescent="0.25"/>
    <row r="121334" customFormat="1" x14ac:dyDescent="0.25"/>
    <row r="121335" customFormat="1" x14ac:dyDescent="0.25"/>
    <row r="121336" customFormat="1" x14ac:dyDescent="0.25"/>
    <row r="121337" customFormat="1" x14ac:dyDescent="0.25"/>
    <row r="121338" customFormat="1" x14ac:dyDescent="0.25"/>
    <row r="121339" customFormat="1" x14ac:dyDescent="0.25"/>
    <row r="121340" customFormat="1" x14ac:dyDescent="0.25"/>
    <row r="121341" customFormat="1" x14ac:dyDescent="0.25"/>
    <row r="121342" customFormat="1" x14ac:dyDescent="0.25"/>
    <row r="121343" customFormat="1" x14ac:dyDescent="0.25"/>
    <row r="121344" customFormat="1" x14ac:dyDescent="0.25"/>
    <row r="121345" customFormat="1" x14ac:dyDescent="0.25"/>
    <row r="121346" customFormat="1" x14ac:dyDescent="0.25"/>
    <row r="121347" customFormat="1" x14ac:dyDescent="0.25"/>
    <row r="121348" customFormat="1" x14ac:dyDescent="0.25"/>
    <row r="121349" customFormat="1" x14ac:dyDescent="0.25"/>
    <row r="121350" customFormat="1" x14ac:dyDescent="0.25"/>
    <row r="121351" customFormat="1" x14ac:dyDescent="0.25"/>
    <row r="121352" customFormat="1" x14ac:dyDescent="0.25"/>
    <row r="121353" customFormat="1" x14ac:dyDescent="0.25"/>
    <row r="121354" customFormat="1" x14ac:dyDescent="0.25"/>
    <row r="121355" customFormat="1" x14ac:dyDescent="0.25"/>
    <row r="121356" customFormat="1" x14ac:dyDescent="0.25"/>
    <row r="121357" customFormat="1" x14ac:dyDescent="0.25"/>
    <row r="121358" customFormat="1" x14ac:dyDescent="0.25"/>
    <row r="121359" customFormat="1" x14ac:dyDescent="0.25"/>
    <row r="121360" customFormat="1" x14ac:dyDescent="0.25"/>
    <row r="121361" customFormat="1" x14ac:dyDescent="0.25"/>
    <row r="121362" customFormat="1" x14ac:dyDescent="0.25"/>
    <row r="121363" customFormat="1" x14ac:dyDescent="0.25"/>
    <row r="121364" customFormat="1" x14ac:dyDescent="0.25"/>
    <row r="121365" customFormat="1" x14ac:dyDescent="0.25"/>
    <row r="121366" customFormat="1" x14ac:dyDescent="0.25"/>
    <row r="121367" customFormat="1" x14ac:dyDescent="0.25"/>
    <row r="121368" customFormat="1" x14ac:dyDescent="0.25"/>
    <row r="121369" customFormat="1" x14ac:dyDescent="0.25"/>
    <row r="121370" customFormat="1" x14ac:dyDescent="0.25"/>
    <row r="121371" customFormat="1" x14ac:dyDescent="0.25"/>
    <row r="121372" customFormat="1" x14ac:dyDescent="0.25"/>
    <row r="121373" customFormat="1" x14ac:dyDescent="0.25"/>
    <row r="121374" customFormat="1" x14ac:dyDescent="0.25"/>
    <row r="121375" customFormat="1" x14ac:dyDescent="0.25"/>
    <row r="121376" customFormat="1" x14ac:dyDescent="0.25"/>
    <row r="121377" customFormat="1" x14ac:dyDescent="0.25"/>
    <row r="121378" customFormat="1" x14ac:dyDescent="0.25"/>
    <row r="121379" customFormat="1" x14ac:dyDescent="0.25"/>
    <row r="121380" customFormat="1" x14ac:dyDescent="0.25"/>
    <row r="121381" customFormat="1" x14ac:dyDescent="0.25"/>
    <row r="121382" customFormat="1" x14ac:dyDescent="0.25"/>
    <row r="121383" customFormat="1" x14ac:dyDescent="0.25"/>
    <row r="121384" customFormat="1" x14ac:dyDescent="0.25"/>
    <row r="121385" customFormat="1" x14ac:dyDescent="0.25"/>
    <row r="121386" customFormat="1" x14ac:dyDescent="0.25"/>
    <row r="121387" customFormat="1" x14ac:dyDescent="0.25"/>
    <row r="121388" customFormat="1" x14ac:dyDescent="0.25"/>
    <row r="121389" customFormat="1" x14ac:dyDescent="0.25"/>
    <row r="121390" customFormat="1" x14ac:dyDescent="0.25"/>
    <row r="121391" customFormat="1" x14ac:dyDescent="0.25"/>
    <row r="121392" customFormat="1" x14ac:dyDescent="0.25"/>
    <row r="121393" customFormat="1" x14ac:dyDescent="0.25"/>
    <row r="121394" customFormat="1" x14ac:dyDescent="0.25"/>
    <row r="121395" customFormat="1" x14ac:dyDescent="0.25"/>
    <row r="121396" customFormat="1" x14ac:dyDescent="0.25"/>
    <row r="121397" customFormat="1" x14ac:dyDescent="0.25"/>
    <row r="121398" customFormat="1" x14ac:dyDescent="0.25"/>
    <row r="121399" customFormat="1" x14ac:dyDescent="0.25"/>
    <row r="121400" customFormat="1" x14ac:dyDescent="0.25"/>
    <row r="121401" customFormat="1" x14ac:dyDescent="0.25"/>
    <row r="121402" customFormat="1" x14ac:dyDescent="0.25"/>
    <row r="121403" customFormat="1" x14ac:dyDescent="0.25"/>
    <row r="121404" customFormat="1" x14ac:dyDescent="0.25"/>
    <row r="121405" customFormat="1" x14ac:dyDescent="0.25"/>
    <row r="121406" customFormat="1" x14ac:dyDescent="0.25"/>
    <row r="121407" customFormat="1" x14ac:dyDescent="0.25"/>
    <row r="121408" customFormat="1" x14ac:dyDescent="0.25"/>
    <row r="121409" customFormat="1" x14ac:dyDescent="0.25"/>
    <row r="121410" customFormat="1" x14ac:dyDescent="0.25"/>
    <row r="121411" customFormat="1" x14ac:dyDescent="0.25"/>
    <row r="121412" customFormat="1" x14ac:dyDescent="0.25"/>
    <row r="121413" customFormat="1" x14ac:dyDescent="0.25"/>
    <row r="121414" customFormat="1" x14ac:dyDescent="0.25"/>
    <row r="121415" customFormat="1" x14ac:dyDescent="0.25"/>
    <row r="121416" customFormat="1" x14ac:dyDescent="0.25"/>
    <row r="121417" customFormat="1" x14ac:dyDescent="0.25"/>
    <row r="121418" customFormat="1" x14ac:dyDescent="0.25"/>
    <row r="121419" customFormat="1" x14ac:dyDescent="0.25"/>
    <row r="121420" customFormat="1" x14ac:dyDescent="0.25"/>
    <row r="121421" customFormat="1" x14ac:dyDescent="0.25"/>
    <row r="121422" customFormat="1" x14ac:dyDescent="0.25"/>
    <row r="121423" customFormat="1" x14ac:dyDescent="0.25"/>
    <row r="121424" customFormat="1" x14ac:dyDescent="0.25"/>
    <row r="121425" customFormat="1" x14ac:dyDescent="0.25"/>
    <row r="121426" customFormat="1" x14ac:dyDescent="0.25"/>
    <row r="121427" customFormat="1" x14ac:dyDescent="0.25"/>
    <row r="121428" customFormat="1" x14ac:dyDescent="0.25"/>
    <row r="121429" customFormat="1" x14ac:dyDescent="0.25"/>
    <row r="121430" customFormat="1" x14ac:dyDescent="0.25"/>
    <row r="121431" customFormat="1" x14ac:dyDescent="0.25"/>
    <row r="121432" customFormat="1" x14ac:dyDescent="0.25"/>
    <row r="121433" customFormat="1" x14ac:dyDescent="0.25"/>
    <row r="121434" customFormat="1" x14ac:dyDescent="0.25"/>
    <row r="121435" customFormat="1" x14ac:dyDescent="0.25"/>
    <row r="121436" customFormat="1" x14ac:dyDescent="0.25"/>
    <row r="121437" customFormat="1" x14ac:dyDescent="0.25"/>
    <row r="121438" customFormat="1" x14ac:dyDescent="0.25"/>
    <row r="121439" customFormat="1" x14ac:dyDescent="0.25"/>
    <row r="121440" customFormat="1" x14ac:dyDescent="0.25"/>
    <row r="121441" customFormat="1" x14ac:dyDescent="0.25"/>
    <row r="121442" customFormat="1" x14ac:dyDescent="0.25"/>
    <row r="121443" customFormat="1" x14ac:dyDescent="0.25"/>
    <row r="121444" customFormat="1" x14ac:dyDescent="0.25"/>
    <row r="121445" customFormat="1" x14ac:dyDescent="0.25"/>
    <row r="121446" customFormat="1" x14ac:dyDescent="0.25"/>
    <row r="121447" customFormat="1" x14ac:dyDescent="0.25"/>
    <row r="121448" customFormat="1" x14ac:dyDescent="0.25"/>
    <row r="121449" customFormat="1" x14ac:dyDescent="0.25"/>
    <row r="121450" customFormat="1" x14ac:dyDescent="0.25"/>
    <row r="121451" customFormat="1" x14ac:dyDescent="0.25"/>
    <row r="121452" customFormat="1" x14ac:dyDescent="0.25"/>
    <row r="121453" customFormat="1" x14ac:dyDescent="0.25"/>
    <row r="121454" customFormat="1" x14ac:dyDescent="0.25"/>
    <row r="121455" customFormat="1" x14ac:dyDescent="0.25"/>
    <row r="121456" customFormat="1" x14ac:dyDescent="0.25"/>
    <row r="121457" customFormat="1" x14ac:dyDescent="0.25"/>
    <row r="121458" customFormat="1" x14ac:dyDescent="0.25"/>
    <row r="121459" customFormat="1" x14ac:dyDescent="0.25"/>
    <row r="121460" customFormat="1" x14ac:dyDescent="0.25"/>
    <row r="121461" customFormat="1" x14ac:dyDescent="0.25"/>
    <row r="121462" customFormat="1" x14ac:dyDescent="0.25"/>
    <row r="121463" customFormat="1" x14ac:dyDescent="0.25"/>
    <row r="121464" customFormat="1" x14ac:dyDescent="0.25"/>
    <row r="121465" customFormat="1" x14ac:dyDescent="0.25"/>
    <row r="121466" customFormat="1" x14ac:dyDescent="0.25"/>
    <row r="121467" customFormat="1" x14ac:dyDescent="0.25"/>
    <row r="121468" customFormat="1" x14ac:dyDescent="0.25"/>
    <row r="121469" customFormat="1" x14ac:dyDescent="0.25"/>
    <row r="121470" customFormat="1" x14ac:dyDescent="0.25"/>
    <row r="121471" customFormat="1" x14ac:dyDescent="0.25"/>
    <row r="121472" customFormat="1" x14ac:dyDescent="0.25"/>
    <row r="121473" customFormat="1" x14ac:dyDescent="0.25"/>
    <row r="121474" customFormat="1" x14ac:dyDescent="0.25"/>
    <row r="121475" customFormat="1" x14ac:dyDescent="0.25"/>
    <row r="121476" customFormat="1" x14ac:dyDescent="0.25"/>
    <row r="121477" customFormat="1" x14ac:dyDescent="0.25"/>
    <row r="121478" customFormat="1" x14ac:dyDescent="0.25"/>
    <row r="121479" customFormat="1" x14ac:dyDescent="0.25"/>
    <row r="121480" customFormat="1" x14ac:dyDescent="0.25"/>
    <row r="121481" customFormat="1" x14ac:dyDescent="0.25"/>
    <row r="121482" customFormat="1" x14ac:dyDescent="0.25"/>
    <row r="121483" customFormat="1" x14ac:dyDescent="0.25"/>
    <row r="121484" customFormat="1" x14ac:dyDescent="0.25"/>
    <row r="121485" customFormat="1" x14ac:dyDescent="0.25"/>
    <row r="121486" customFormat="1" x14ac:dyDescent="0.25"/>
    <row r="121487" customFormat="1" x14ac:dyDescent="0.25"/>
    <row r="121488" customFormat="1" x14ac:dyDescent="0.25"/>
    <row r="121489" customFormat="1" x14ac:dyDescent="0.25"/>
    <row r="121490" customFormat="1" x14ac:dyDescent="0.25"/>
    <row r="121491" customFormat="1" x14ac:dyDescent="0.25"/>
    <row r="121492" customFormat="1" x14ac:dyDescent="0.25"/>
    <row r="121493" customFormat="1" x14ac:dyDescent="0.25"/>
    <row r="121494" customFormat="1" x14ac:dyDescent="0.25"/>
    <row r="121495" customFormat="1" x14ac:dyDescent="0.25"/>
    <row r="121496" customFormat="1" x14ac:dyDescent="0.25"/>
    <row r="121497" customFormat="1" x14ac:dyDescent="0.25"/>
    <row r="121498" customFormat="1" x14ac:dyDescent="0.25"/>
    <row r="121499" customFormat="1" x14ac:dyDescent="0.25"/>
    <row r="121500" customFormat="1" x14ac:dyDescent="0.25"/>
    <row r="121501" customFormat="1" x14ac:dyDescent="0.25"/>
    <row r="121502" customFormat="1" x14ac:dyDescent="0.25"/>
    <row r="121503" customFormat="1" x14ac:dyDescent="0.25"/>
    <row r="121504" customFormat="1" x14ac:dyDescent="0.25"/>
    <row r="121505" customFormat="1" x14ac:dyDescent="0.25"/>
    <row r="121506" customFormat="1" x14ac:dyDescent="0.25"/>
    <row r="121507" customFormat="1" x14ac:dyDescent="0.25"/>
    <row r="121508" customFormat="1" x14ac:dyDescent="0.25"/>
    <row r="121509" customFormat="1" x14ac:dyDescent="0.25"/>
    <row r="121510" customFormat="1" x14ac:dyDescent="0.25"/>
    <row r="121511" customFormat="1" x14ac:dyDescent="0.25"/>
    <row r="121512" customFormat="1" x14ac:dyDescent="0.25"/>
    <row r="121513" customFormat="1" x14ac:dyDescent="0.25"/>
    <row r="121514" customFormat="1" x14ac:dyDescent="0.25"/>
    <row r="121515" customFormat="1" x14ac:dyDescent="0.25"/>
    <row r="121516" customFormat="1" x14ac:dyDescent="0.25"/>
    <row r="121517" customFormat="1" x14ac:dyDescent="0.25"/>
    <row r="121518" customFormat="1" x14ac:dyDescent="0.25"/>
    <row r="121519" customFormat="1" x14ac:dyDescent="0.25"/>
    <row r="121520" customFormat="1" x14ac:dyDescent="0.25"/>
    <row r="121521" customFormat="1" x14ac:dyDescent="0.25"/>
    <row r="121522" customFormat="1" x14ac:dyDescent="0.25"/>
    <row r="121523" customFormat="1" x14ac:dyDescent="0.25"/>
    <row r="121524" customFormat="1" x14ac:dyDescent="0.25"/>
    <row r="121525" customFormat="1" x14ac:dyDescent="0.25"/>
    <row r="121526" customFormat="1" x14ac:dyDescent="0.25"/>
    <row r="121527" customFormat="1" x14ac:dyDescent="0.25"/>
    <row r="121528" customFormat="1" x14ac:dyDescent="0.25"/>
    <row r="121529" customFormat="1" x14ac:dyDescent="0.25"/>
    <row r="121530" customFormat="1" x14ac:dyDescent="0.25"/>
    <row r="121531" customFormat="1" x14ac:dyDescent="0.25"/>
    <row r="121532" customFormat="1" x14ac:dyDescent="0.25"/>
    <row r="121533" customFormat="1" x14ac:dyDescent="0.25"/>
    <row r="121534" customFormat="1" x14ac:dyDescent="0.25"/>
    <row r="121535" customFormat="1" x14ac:dyDescent="0.25"/>
    <row r="121536" customFormat="1" x14ac:dyDescent="0.25"/>
    <row r="121537" customFormat="1" x14ac:dyDescent="0.25"/>
    <row r="121538" customFormat="1" x14ac:dyDescent="0.25"/>
    <row r="121539" customFormat="1" x14ac:dyDescent="0.25"/>
    <row r="121540" customFormat="1" x14ac:dyDescent="0.25"/>
    <row r="121541" customFormat="1" x14ac:dyDescent="0.25"/>
    <row r="121542" customFormat="1" x14ac:dyDescent="0.25"/>
    <row r="121543" customFormat="1" x14ac:dyDescent="0.25"/>
    <row r="121544" customFormat="1" x14ac:dyDescent="0.25"/>
    <row r="121545" customFormat="1" x14ac:dyDescent="0.25"/>
    <row r="121546" customFormat="1" x14ac:dyDescent="0.25"/>
    <row r="121547" customFormat="1" x14ac:dyDescent="0.25"/>
    <row r="121548" customFormat="1" x14ac:dyDescent="0.25"/>
    <row r="121549" customFormat="1" x14ac:dyDescent="0.25"/>
    <row r="121550" customFormat="1" x14ac:dyDescent="0.25"/>
    <row r="121551" customFormat="1" x14ac:dyDescent="0.25"/>
    <row r="121552" customFormat="1" x14ac:dyDescent="0.25"/>
    <row r="121553" customFormat="1" x14ac:dyDescent="0.25"/>
    <row r="121554" customFormat="1" x14ac:dyDescent="0.25"/>
    <row r="121555" customFormat="1" x14ac:dyDescent="0.25"/>
    <row r="121556" customFormat="1" x14ac:dyDescent="0.25"/>
    <row r="121557" customFormat="1" x14ac:dyDescent="0.25"/>
    <row r="121558" customFormat="1" x14ac:dyDescent="0.25"/>
    <row r="121559" customFormat="1" x14ac:dyDescent="0.25"/>
    <row r="121560" customFormat="1" x14ac:dyDescent="0.25"/>
    <row r="121561" customFormat="1" x14ac:dyDescent="0.25"/>
    <row r="121562" customFormat="1" x14ac:dyDescent="0.25"/>
    <row r="121563" customFormat="1" x14ac:dyDescent="0.25"/>
    <row r="121564" customFormat="1" x14ac:dyDescent="0.25"/>
    <row r="121565" customFormat="1" x14ac:dyDescent="0.25"/>
    <row r="121566" customFormat="1" x14ac:dyDescent="0.25"/>
    <row r="121567" customFormat="1" x14ac:dyDescent="0.25"/>
    <row r="121568" customFormat="1" x14ac:dyDescent="0.25"/>
    <row r="121569" customFormat="1" x14ac:dyDescent="0.25"/>
    <row r="121570" customFormat="1" x14ac:dyDescent="0.25"/>
    <row r="121571" customFormat="1" x14ac:dyDescent="0.25"/>
    <row r="121572" customFormat="1" x14ac:dyDescent="0.25"/>
    <row r="121573" customFormat="1" x14ac:dyDescent="0.25"/>
    <row r="121574" customFormat="1" x14ac:dyDescent="0.25"/>
    <row r="121575" customFormat="1" x14ac:dyDescent="0.25"/>
    <row r="121576" customFormat="1" x14ac:dyDescent="0.25"/>
    <row r="121577" customFormat="1" x14ac:dyDescent="0.25"/>
    <row r="121578" customFormat="1" x14ac:dyDescent="0.25"/>
    <row r="121579" customFormat="1" x14ac:dyDescent="0.25"/>
    <row r="121580" customFormat="1" x14ac:dyDescent="0.25"/>
    <row r="121581" customFormat="1" x14ac:dyDescent="0.25"/>
    <row r="121582" customFormat="1" x14ac:dyDescent="0.25"/>
    <row r="121583" customFormat="1" x14ac:dyDescent="0.25"/>
    <row r="121584" customFormat="1" x14ac:dyDescent="0.25"/>
    <row r="121585" customFormat="1" x14ac:dyDescent="0.25"/>
    <row r="121586" customFormat="1" x14ac:dyDescent="0.25"/>
    <row r="121587" customFormat="1" x14ac:dyDescent="0.25"/>
    <row r="121588" customFormat="1" x14ac:dyDescent="0.25"/>
    <row r="121589" customFormat="1" x14ac:dyDescent="0.25"/>
    <row r="121590" customFormat="1" x14ac:dyDescent="0.25"/>
    <row r="121591" customFormat="1" x14ac:dyDescent="0.25"/>
    <row r="121592" customFormat="1" x14ac:dyDescent="0.25"/>
    <row r="121593" customFormat="1" x14ac:dyDescent="0.25"/>
    <row r="121594" customFormat="1" x14ac:dyDescent="0.25"/>
    <row r="121595" customFormat="1" x14ac:dyDescent="0.25"/>
    <row r="121596" customFormat="1" x14ac:dyDescent="0.25"/>
    <row r="121597" customFormat="1" x14ac:dyDescent="0.25"/>
    <row r="121598" customFormat="1" x14ac:dyDescent="0.25"/>
    <row r="121599" customFormat="1" x14ac:dyDescent="0.25"/>
    <row r="121600" customFormat="1" x14ac:dyDescent="0.25"/>
    <row r="121601" customFormat="1" x14ac:dyDescent="0.25"/>
    <row r="121602" customFormat="1" x14ac:dyDescent="0.25"/>
    <row r="121603" customFormat="1" x14ac:dyDescent="0.25"/>
    <row r="121604" customFormat="1" x14ac:dyDescent="0.25"/>
    <row r="121605" customFormat="1" x14ac:dyDescent="0.25"/>
    <row r="121606" customFormat="1" x14ac:dyDescent="0.25"/>
    <row r="121607" customFormat="1" x14ac:dyDescent="0.25"/>
    <row r="121608" customFormat="1" x14ac:dyDescent="0.25"/>
    <row r="121609" customFormat="1" x14ac:dyDescent="0.25"/>
    <row r="121610" customFormat="1" x14ac:dyDescent="0.25"/>
    <row r="121611" customFormat="1" x14ac:dyDescent="0.25"/>
    <row r="121612" customFormat="1" x14ac:dyDescent="0.25"/>
    <row r="121613" customFormat="1" x14ac:dyDescent="0.25"/>
    <row r="121614" customFormat="1" x14ac:dyDescent="0.25"/>
    <row r="121615" customFormat="1" x14ac:dyDescent="0.25"/>
    <row r="121616" customFormat="1" x14ac:dyDescent="0.25"/>
    <row r="121617" customFormat="1" x14ac:dyDescent="0.25"/>
    <row r="121618" customFormat="1" x14ac:dyDescent="0.25"/>
    <row r="121619" customFormat="1" x14ac:dyDescent="0.25"/>
    <row r="121620" customFormat="1" x14ac:dyDescent="0.25"/>
    <row r="121621" customFormat="1" x14ac:dyDescent="0.25"/>
    <row r="121622" customFormat="1" x14ac:dyDescent="0.25"/>
    <row r="121623" customFormat="1" x14ac:dyDescent="0.25"/>
    <row r="121624" customFormat="1" x14ac:dyDescent="0.25"/>
    <row r="121625" customFormat="1" x14ac:dyDescent="0.25"/>
    <row r="121626" customFormat="1" x14ac:dyDescent="0.25"/>
    <row r="121627" customFormat="1" x14ac:dyDescent="0.25"/>
    <row r="121628" customFormat="1" x14ac:dyDescent="0.25"/>
    <row r="121629" customFormat="1" x14ac:dyDescent="0.25"/>
    <row r="121630" customFormat="1" x14ac:dyDescent="0.25"/>
    <row r="121631" customFormat="1" x14ac:dyDescent="0.25"/>
    <row r="121632" customFormat="1" x14ac:dyDescent="0.25"/>
    <row r="121633" customFormat="1" x14ac:dyDescent="0.25"/>
    <row r="121634" customFormat="1" x14ac:dyDescent="0.25"/>
    <row r="121635" customFormat="1" x14ac:dyDescent="0.25"/>
    <row r="121636" customFormat="1" x14ac:dyDescent="0.25"/>
    <row r="121637" customFormat="1" x14ac:dyDescent="0.25"/>
    <row r="121638" customFormat="1" x14ac:dyDescent="0.25"/>
    <row r="121639" customFormat="1" x14ac:dyDescent="0.25"/>
    <row r="121640" customFormat="1" x14ac:dyDescent="0.25"/>
    <row r="121641" customFormat="1" x14ac:dyDescent="0.25"/>
    <row r="121642" customFormat="1" x14ac:dyDescent="0.25"/>
    <row r="121643" customFormat="1" x14ac:dyDescent="0.25"/>
    <row r="121644" customFormat="1" x14ac:dyDescent="0.25"/>
    <row r="121645" customFormat="1" x14ac:dyDescent="0.25"/>
    <row r="121646" customFormat="1" x14ac:dyDescent="0.25"/>
    <row r="121647" customFormat="1" x14ac:dyDescent="0.25"/>
    <row r="121648" customFormat="1" x14ac:dyDescent="0.25"/>
    <row r="121649" customFormat="1" x14ac:dyDescent="0.25"/>
    <row r="121650" customFormat="1" x14ac:dyDescent="0.25"/>
    <row r="121651" customFormat="1" x14ac:dyDescent="0.25"/>
    <row r="121652" customFormat="1" x14ac:dyDescent="0.25"/>
    <row r="121653" customFormat="1" x14ac:dyDescent="0.25"/>
    <row r="121654" customFormat="1" x14ac:dyDescent="0.25"/>
    <row r="121655" customFormat="1" x14ac:dyDescent="0.25"/>
    <row r="121656" customFormat="1" x14ac:dyDescent="0.25"/>
    <row r="121657" customFormat="1" x14ac:dyDescent="0.25"/>
    <row r="121658" customFormat="1" x14ac:dyDescent="0.25"/>
    <row r="121659" customFormat="1" x14ac:dyDescent="0.25"/>
    <row r="121660" customFormat="1" x14ac:dyDescent="0.25"/>
    <row r="121661" customFormat="1" x14ac:dyDescent="0.25"/>
    <row r="121662" customFormat="1" x14ac:dyDescent="0.25"/>
    <row r="121663" customFormat="1" x14ac:dyDescent="0.25"/>
    <row r="121664" customFormat="1" x14ac:dyDescent="0.25"/>
    <row r="121665" customFormat="1" x14ac:dyDescent="0.25"/>
    <row r="121666" customFormat="1" x14ac:dyDescent="0.25"/>
    <row r="121667" customFormat="1" x14ac:dyDescent="0.25"/>
    <row r="121668" customFormat="1" x14ac:dyDescent="0.25"/>
    <row r="121669" customFormat="1" x14ac:dyDescent="0.25"/>
    <row r="121670" customFormat="1" x14ac:dyDescent="0.25"/>
    <row r="121671" customFormat="1" x14ac:dyDescent="0.25"/>
    <row r="121672" customFormat="1" x14ac:dyDescent="0.25"/>
    <row r="121673" customFormat="1" x14ac:dyDescent="0.25"/>
    <row r="121674" customFormat="1" x14ac:dyDescent="0.25"/>
    <row r="121675" customFormat="1" x14ac:dyDescent="0.25"/>
    <row r="121676" customFormat="1" x14ac:dyDescent="0.25"/>
    <row r="121677" customFormat="1" x14ac:dyDescent="0.25"/>
    <row r="121678" customFormat="1" x14ac:dyDescent="0.25"/>
    <row r="121679" customFormat="1" x14ac:dyDescent="0.25"/>
    <row r="121680" customFormat="1" x14ac:dyDescent="0.25"/>
    <row r="121681" customFormat="1" x14ac:dyDescent="0.25"/>
    <row r="121682" customFormat="1" x14ac:dyDescent="0.25"/>
    <row r="121683" customFormat="1" x14ac:dyDescent="0.25"/>
    <row r="121684" customFormat="1" x14ac:dyDescent="0.25"/>
    <row r="121685" customFormat="1" x14ac:dyDescent="0.25"/>
    <row r="121686" customFormat="1" x14ac:dyDescent="0.25"/>
    <row r="121687" customFormat="1" x14ac:dyDescent="0.25"/>
    <row r="121688" customFormat="1" x14ac:dyDescent="0.25"/>
    <row r="121689" customFormat="1" x14ac:dyDescent="0.25"/>
    <row r="121690" customFormat="1" x14ac:dyDescent="0.25"/>
    <row r="121691" customFormat="1" x14ac:dyDescent="0.25"/>
    <row r="121692" customFormat="1" x14ac:dyDescent="0.25"/>
    <row r="121693" customFormat="1" x14ac:dyDescent="0.25"/>
    <row r="121694" customFormat="1" x14ac:dyDescent="0.25"/>
    <row r="121695" customFormat="1" x14ac:dyDescent="0.25"/>
    <row r="121696" customFormat="1" x14ac:dyDescent="0.25"/>
    <row r="121697" customFormat="1" x14ac:dyDescent="0.25"/>
    <row r="121698" customFormat="1" x14ac:dyDescent="0.25"/>
    <row r="121699" customFormat="1" x14ac:dyDescent="0.25"/>
    <row r="121700" customFormat="1" x14ac:dyDescent="0.25"/>
    <row r="121701" customFormat="1" x14ac:dyDescent="0.25"/>
    <row r="121702" customFormat="1" x14ac:dyDescent="0.25"/>
    <row r="121703" customFormat="1" x14ac:dyDescent="0.25"/>
    <row r="121704" customFormat="1" x14ac:dyDescent="0.25"/>
    <row r="121705" customFormat="1" x14ac:dyDescent="0.25"/>
    <row r="121706" customFormat="1" x14ac:dyDescent="0.25"/>
    <row r="121707" customFormat="1" x14ac:dyDescent="0.25"/>
    <row r="121708" customFormat="1" x14ac:dyDescent="0.25"/>
    <row r="121709" customFormat="1" x14ac:dyDescent="0.25"/>
    <row r="121710" customFormat="1" x14ac:dyDescent="0.25"/>
    <row r="121711" customFormat="1" x14ac:dyDescent="0.25"/>
    <row r="121712" customFormat="1" x14ac:dyDescent="0.25"/>
    <row r="121713" customFormat="1" x14ac:dyDescent="0.25"/>
    <row r="121714" customFormat="1" x14ac:dyDescent="0.25"/>
    <row r="121715" customFormat="1" x14ac:dyDescent="0.25"/>
    <row r="121716" customFormat="1" x14ac:dyDescent="0.25"/>
    <row r="121717" customFormat="1" x14ac:dyDescent="0.25"/>
    <row r="121718" customFormat="1" x14ac:dyDescent="0.25"/>
    <row r="121719" customFormat="1" x14ac:dyDescent="0.25"/>
    <row r="121720" customFormat="1" x14ac:dyDescent="0.25"/>
    <row r="121721" customFormat="1" x14ac:dyDescent="0.25"/>
    <row r="121722" customFormat="1" x14ac:dyDescent="0.25"/>
    <row r="121723" customFormat="1" x14ac:dyDescent="0.25"/>
    <row r="121724" customFormat="1" x14ac:dyDescent="0.25"/>
    <row r="121725" customFormat="1" x14ac:dyDescent="0.25"/>
    <row r="121726" customFormat="1" x14ac:dyDescent="0.25"/>
    <row r="121727" customFormat="1" x14ac:dyDescent="0.25"/>
    <row r="121728" customFormat="1" x14ac:dyDescent="0.25"/>
    <row r="121729" customFormat="1" x14ac:dyDescent="0.25"/>
    <row r="121730" customFormat="1" x14ac:dyDescent="0.25"/>
    <row r="121731" customFormat="1" x14ac:dyDescent="0.25"/>
    <row r="121732" customFormat="1" x14ac:dyDescent="0.25"/>
    <row r="121733" customFormat="1" x14ac:dyDescent="0.25"/>
    <row r="121734" customFormat="1" x14ac:dyDescent="0.25"/>
    <row r="121735" customFormat="1" x14ac:dyDescent="0.25"/>
    <row r="121736" customFormat="1" x14ac:dyDescent="0.25"/>
    <row r="121737" customFormat="1" x14ac:dyDescent="0.25"/>
    <row r="121738" customFormat="1" x14ac:dyDescent="0.25"/>
    <row r="121739" customFormat="1" x14ac:dyDescent="0.25"/>
    <row r="121740" customFormat="1" x14ac:dyDescent="0.25"/>
    <row r="121741" customFormat="1" x14ac:dyDescent="0.25"/>
    <row r="121742" customFormat="1" x14ac:dyDescent="0.25"/>
    <row r="121743" customFormat="1" x14ac:dyDescent="0.25"/>
    <row r="121744" customFormat="1" x14ac:dyDescent="0.25"/>
    <row r="121745" customFormat="1" x14ac:dyDescent="0.25"/>
    <row r="121746" customFormat="1" x14ac:dyDescent="0.25"/>
    <row r="121747" customFormat="1" x14ac:dyDescent="0.25"/>
    <row r="121748" customFormat="1" x14ac:dyDescent="0.25"/>
    <row r="121749" customFormat="1" x14ac:dyDescent="0.25"/>
    <row r="121750" customFormat="1" x14ac:dyDescent="0.25"/>
    <row r="121751" customFormat="1" x14ac:dyDescent="0.25"/>
    <row r="121752" customFormat="1" x14ac:dyDescent="0.25"/>
    <row r="121753" customFormat="1" x14ac:dyDescent="0.25"/>
    <row r="121754" customFormat="1" x14ac:dyDescent="0.25"/>
    <row r="121755" customFormat="1" x14ac:dyDescent="0.25"/>
    <row r="121756" customFormat="1" x14ac:dyDescent="0.25"/>
    <row r="121757" customFormat="1" x14ac:dyDescent="0.25"/>
    <row r="121758" customFormat="1" x14ac:dyDescent="0.25"/>
    <row r="121759" customFormat="1" x14ac:dyDescent="0.25"/>
    <row r="121760" customFormat="1" x14ac:dyDescent="0.25"/>
    <row r="121761" customFormat="1" x14ac:dyDescent="0.25"/>
    <row r="121762" customFormat="1" x14ac:dyDescent="0.25"/>
    <row r="121763" customFormat="1" x14ac:dyDescent="0.25"/>
    <row r="121764" customFormat="1" x14ac:dyDescent="0.25"/>
    <row r="121765" customFormat="1" x14ac:dyDescent="0.25"/>
    <row r="121766" customFormat="1" x14ac:dyDescent="0.25"/>
    <row r="121767" customFormat="1" x14ac:dyDescent="0.25"/>
    <row r="121768" customFormat="1" x14ac:dyDescent="0.25"/>
    <row r="121769" customFormat="1" x14ac:dyDescent="0.25"/>
    <row r="121770" customFormat="1" x14ac:dyDescent="0.25"/>
    <row r="121771" customFormat="1" x14ac:dyDescent="0.25"/>
    <row r="121772" customFormat="1" x14ac:dyDescent="0.25"/>
    <row r="121773" customFormat="1" x14ac:dyDescent="0.25"/>
    <row r="121774" customFormat="1" x14ac:dyDescent="0.25"/>
    <row r="121775" customFormat="1" x14ac:dyDescent="0.25"/>
    <row r="121776" customFormat="1" x14ac:dyDescent="0.25"/>
    <row r="121777" customFormat="1" x14ac:dyDescent="0.25"/>
    <row r="121778" customFormat="1" x14ac:dyDescent="0.25"/>
    <row r="121779" customFormat="1" x14ac:dyDescent="0.25"/>
    <row r="121780" customFormat="1" x14ac:dyDescent="0.25"/>
    <row r="121781" customFormat="1" x14ac:dyDescent="0.25"/>
    <row r="121782" customFormat="1" x14ac:dyDescent="0.25"/>
    <row r="121783" customFormat="1" x14ac:dyDescent="0.25"/>
    <row r="121784" customFormat="1" x14ac:dyDescent="0.25"/>
    <row r="121785" customFormat="1" x14ac:dyDescent="0.25"/>
    <row r="121786" customFormat="1" x14ac:dyDescent="0.25"/>
    <row r="121787" customFormat="1" x14ac:dyDescent="0.25"/>
    <row r="121788" customFormat="1" x14ac:dyDescent="0.25"/>
    <row r="121789" customFormat="1" x14ac:dyDescent="0.25"/>
    <row r="121790" customFormat="1" x14ac:dyDescent="0.25"/>
    <row r="121791" customFormat="1" x14ac:dyDescent="0.25"/>
    <row r="121792" customFormat="1" x14ac:dyDescent="0.25"/>
    <row r="121793" customFormat="1" x14ac:dyDescent="0.25"/>
    <row r="121794" customFormat="1" x14ac:dyDescent="0.25"/>
    <row r="121795" customFormat="1" x14ac:dyDescent="0.25"/>
    <row r="121796" customFormat="1" x14ac:dyDescent="0.25"/>
    <row r="121797" customFormat="1" x14ac:dyDescent="0.25"/>
    <row r="121798" customFormat="1" x14ac:dyDescent="0.25"/>
    <row r="121799" customFormat="1" x14ac:dyDescent="0.25"/>
    <row r="121800" customFormat="1" x14ac:dyDescent="0.25"/>
    <row r="121801" customFormat="1" x14ac:dyDescent="0.25"/>
    <row r="121802" customFormat="1" x14ac:dyDescent="0.25"/>
    <row r="121803" customFormat="1" x14ac:dyDescent="0.25"/>
    <row r="121804" customFormat="1" x14ac:dyDescent="0.25"/>
    <row r="121805" customFormat="1" x14ac:dyDescent="0.25"/>
    <row r="121806" customFormat="1" x14ac:dyDescent="0.25"/>
    <row r="121807" customFormat="1" x14ac:dyDescent="0.25"/>
    <row r="121808" customFormat="1" x14ac:dyDescent="0.25"/>
    <row r="121809" customFormat="1" x14ac:dyDescent="0.25"/>
    <row r="121810" customFormat="1" x14ac:dyDescent="0.25"/>
    <row r="121811" customFormat="1" x14ac:dyDescent="0.25"/>
    <row r="121812" customFormat="1" x14ac:dyDescent="0.25"/>
    <row r="121813" customFormat="1" x14ac:dyDescent="0.25"/>
    <row r="121814" customFormat="1" x14ac:dyDescent="0.25"/>
    <row r="121815" customFormat="1" x14ac:dyDescent="0.25"/>
    <row r="121816" customFormat="1" x14ac:dyDescent="0.25"/>
    <row r="121817" customFormat="1" x14ac:dyDescent="0.25"/>
    <row r="121818" customFormat="1" x14ac:dyDescent="0.25"/>
    <row r="121819" customFormat="1" x14ac:dyDescent="0.25"/>
    <row r="121820" customFormat="1" x14ac:dyDescent="0.25"/>
    <row r="121821" customFormat="1" x14ac:dyDescent="0.25"/>
    <row r="121822" customFormat="1" x14ac:dyDescent="0.25"/>
    <row r="121823" customFormat="1" x14ac:dyDescent="0.25"/>
    <row r="121824" customFormat="1" x14ac:dyDescent="0.25"/>
    <row r="121825" customFormat="1" x14ac:dyDescent="0.25"/>
    <row r="121826" customFormat="1" x14ac:dyDescent="0.25"/>
    <row r="121827" customFormat="1" x14ac:dyDescent="0.25"/>
    <row r="121828" customFormat="1" x14ac:dyDescent="0.25"/>
    <row r="121829" customFormat="1" x14ac:dyDescent="0.25"/>
    <row r="121830" customFormat="1" x14ac:dyDescent="0.25"/>
    <row r="121831" customFormat="1" x14ac:dyDescent="0.25"/>
    <row r="121832" customFormat="1" x14ac:dyDescent="0.25"/>
    <row r="121833" customFormat="1" x14ac:dyDescent="0.25"/>
    <row r="121834" customFormat="1" x14ac:dyDescent="0.25"/>
    <row r="121835" customFormat="1" x14ac:dyDescent="0.25"/>
    <row r="121836" customFormat="1" x14ac:dyDescent="0.25"/>
    <row r="121837" customFormat="1" x14ac:dyDescent="0.25"/>
    <row r="121838" customFormat="1" x14ac:dyDescent="0.25"/>
    <row r="121839" customFormat="1" x14ac:dyDescent="0.25"/>
    <row r="121840" customFormat="1" x14ac:dyDescent="0.25"/>
    <row r="121841" customFormat="1" x14ac:dyDescent="0.25"/>
    <row r="121842" customFormat="1" x14ac:dyDescent="0.25"/>
    <row r="121843" customFormat="1" x14ac:dyDescent="0.25"/>
    <row r="121844" customFormat="1" x14ac:dyDescent="0.25"/>
    <row r="121845" customFormat="1" x14ac:dyDescent="0.25"/>
    <row r="121846" customFormat="1" x14ac:dyDescent="0.25"/>
    <row r="121847" customFormat="1" x14ac:dyDescent="0.25"/>
    <row r="121848" customFormat="1" x14ac:dyDescent="0.25"/>
    <row r="121849" customFormat="1" x14ac:dyDescent="0.25"/>
    <row r="121850" customFormat="1" x14ac:dyDescent="0.25"/>
    <row r="121851" customFormat="1" x14ac:dyDescent="0.25"/>
    <row r="121852" customFormat="1" x14ac:dyDescent="0.25"/>
    <row r="121853" customFormat="1" x14ac:dyDescent="0.25"/>
    <row r="121854" customFormat="1" x14ac:dyDescent="0.25"/>
    <row r="121855" customFormat="1" x14ac:dyDescent="0.25"/>
    <row r="121856" customFormat="1" x14ac:dyDescent="0.25"/>
    <row r="121857" customFormat="1" x14ac:dyDescent="0.25"/>
    <row r="121858" customFormat="1" x14ac:dyDescent="0.25"/>
    <row r="121859" customFormat="1" x14ac:dyDescent="0.25"/>
    <row r="121860" customFormat="1" x14ac:dyDescent="0.25"/>
    <row r="121861" customFormat="1" x14ac:dyDescent="0.25"/>
    <row r="121862" customFormat="1" x14ac:dyDescent="0.25"/>
    <row r="121863" customFormat="1" x14ac:dyDescent="0.25"/>
    <row r="121864" customFormat="1" x14ac:dyDescent="0.25"/>
    <row r="121865" customFormat="1" x14ac:dyDescent="0.25"/>
    <row r="121866" customFormat="1" x14ac:dyDescent="0.25"/>
    <row r="121867" customFormat="1" x14ac:dyDescent="0.25"/>
    <row r="121868" customFormat="1" x14ac:dyDescent="0.25"/>
    <row r="121869" customFormat="1" x14ac:dyDescent="0.25"/>
    <row r="121870" customFormat="1" x14ac:dyDescent="0.25"/>
    <row r="121871" customFormat="1" x14ac:dyDescent="0.25"/>
    <row r="121872" customFormat="1" x14ac:dyDescent="0.25"/>
    <row r="121873" customFormat="1" x14ac:dyDescent="0.25"/>
    <row r="121874" customFormat="1" x14ac:dyDescent="0.25"/>
    <row r="121875" customFormat="1" x14ac:dyDescent="0.25"/>
    <row r="121876" customFormat="1" x14ac:dyDescent="0.25"/>
    <row r="121877" customFormat="1" x14ac:dyDescent="0.25"/>
    <row r="121878" customFormat="1" x14ac:dyDescent="0.25"/>
    <row r="121879" customFormat="1" x14ac:dyDescent="0.25"/>
    <row r="121880" customFormat="1" x14ac:dyDescent="0.25"/>
    <row r="121881" customFormat="1" x14ac:dyDescent="0.25"/>
    <row r="121882" customFormat="1" x14ac:dyDescent="0.25"/>
    <row r="121883" customFormat="1" x14ac:dyDescent="0.25"/>
    <row r="121884" customFormat="1" x14ac:dyDescent="0.25"/>
    <row r="121885" customFormat="1" x14ac:dyDescent="0.25"/>
    <row r="121886" customFormat="1" x14ac:dyDescent="0.25"/>
    <row r="121887" customFormat="1" x14ac:dyDescent="0.25"/>
    <row r="121888" customFormat="1" x14ac:dyDescent="0.25"/>
    <row r="121889" customFormat="1" x14ac:dyDescent="0.25"/>
    <row r="121890" customFormat="1" x14ac:dyDescent="0.25"/>
    <row r="121891" customFormat="1" x14ac:dyDescent="0.25"/>
    <row r="121892" customFormat="1" x14ac:dyDescent="0.25"/>
    <row r="121893" customFormat="1" x14ac:dyDescent="0.25"/>
    <row r="121894" customFormat="1" x14ac:dyDescent="0.25"/>
    <row r="121895" customFormat="1" x14ac:dyDescent="0.25"/>
    <row r="121896" customFormat="1" x14ac:dyDescent="0.25"/>
    <row r="121897" customFormat="1" x14ac:dyDescent="0.25"/>
    <row r="121898" customFormat="1" x14ac:dyDescent="0.25"/>
    <row r="121899" customFormat="1" x14ac:dyDescent="0.25"/>
    <row r="121900" customFormat="1" x14ac:dyDescent="0.25"/>
    <row r="121901" customFormat="1" x14ac:dyDescent="0.25"/>
    <row r="121902" customFormat="1" x14ac:dyDescent="0.25"/>
    <row r="121903" customFormat="1" x14ac:dyDescent="0.25"/>
    <row r="121904" customFormat="1" x14ac:dyDescent="0.25"/>
    <row r="121905" customFormat="1" x14ac:dyDescent="0.25"/>
    <row r="121906" customFormat="1" x14ac:dyDescent="0.25"/>
    <row r="121907" customFormat="1" x14ac:dyDescent="0.25"/>
    <row r="121908" customFormat="1" x14ac:dyDescent="0.25"/>
    <row r="121909" customFormat="1" x14ac:dyDescent="0.25"/>
    <row r="121910" customFormat="1" x14ac:dyDescent="0.25"/>
    <row r="121911" customFormat="1" x14ac:dyDescent="0.25"/>
    <row r="121912" customFormat="1" x14ac:dyDescent="0.25"/>
    <row r="121913" customFormat="1" x14ac:dyDescent="0.25"/>
    <row r="121914" customFormat="1" x14ac:dyDescent="0.25"/>
    <row r="121915" customFormat="1" x14ac:dyDescent="0.25"/>
    <row r="121916" customFormat="1" x14ac:dyDescent="0.25"/>
    <row r="121917" customFormat="1" x14ac:dyDescent="0.25"/>
    <row r="121918" customFormat="1" x14ac:dyDescent="0.25"/>
    <row r="121919" customFormat="1" x14ac:dyDescent="0.25"/>
    <row r="121920" customFormat="1" x14ac:dyDescent="0.25"/>
    <row r="121921" customFormat="1" x14ac:dyDescent="0.25"/>
    <row r="121922" customFormat="1" x14ac:dyDescent="0.25"/>
    <row r="121923" customFormat="1" x14ac:dyDescent="0.25"/>
    <row r="121924" customFormat="1" x14ac:dyDescent="0.25"/>
    <row r="121925" customFormat="1" x14ac:dyDescent="0.25"/>
    <row r="121926" customFormat="1" x14ac:dyDescent="0.25"/>
    <row r="121927" customFormat="1" x14ac:dyDescent="0.25"/>
    <row r="121928" customFormat="1" x14ac:dyDescent="0.25"/>
    <row r="121929" customFormat="1" x14ac:dyDescent="0.25"/>
    <row r="121930" customFormat="1" x14ac:dyDescent="0.25"/>
    <row r="121931" customFormat="1" x14ac:dyDescent="0.25"/>
    <row r="121932" customFormat="1" x14ac:dyDescent="0.25"/>
    <row r="121933" customFormat="1" x14ac:dyDescent="0.25"/>
    <row r="121934" customFormat="1" x14ac:dyDescent="0.25"/>
    <row r="121935" customFormat="1" x14ac:dyDescent="0.25"/>
    <row r="121936" customFormat="1" x14ac:dyDescent="0.25"/>
    <row r="121937" customFormat="1" x14ac:dyDescent="0.25"/>
    <row r="121938" customFormat="1" x14ac:dyDescent="0.25"/>
    <row r="121939" customFormat="1" x14ac:dyDescent="0.25"/>
    <row r="121940" customFormat="1" x14ac:dyDescent="0.25"/>
    <row r="121941" customFormat="1" x14ac:dyDescent="0.25"/>
    <row r="121942" customFormat="1" x14ac:dyDescent="0.25"/>
    <row r="121943" customFormat="1" x14ac:dyDescent="0.25"/>
    <row r="121944" customFormat="1" x14ac:dyDescent="0.25"/>
    <row r="121945" customFormat="1" x14ac:dyDescent="0.25"/>
    <row r="121946" customFormat="1" x14ac:dyDescent="0.25"/>
    <row r="121947" customFormat="1" x14ac:dyDescent="0.25"/>
    <row r="121948" customFormat="1" x14ac:dyDescent="0.25"/>
    <row r="121949" customFormat="1" x14ac:dyDescent="0.25"/>
    <row r="121950" customFormat="1" x14ac:dyDescent="0.25"/>
    <row r="121951" customFormat="1" x14ac:dyDescent="0.25"/>
    <row r="121952" customFormat="1" x14ac:dyDescent="0.25"/>
    <row r="121953" customFormat="1" x14ac:dyDescent="0.25"/>
    <row r="121954" customFormat="1" x14ac:dyDescent="0.25"/>
    <row r="121955" customFormat="1" x14ac:dyDescent="0.25"/>
    <row r="121956" customFormat="1" x14ac:dyDescent="0.25"/>
    <row r="121957" customFormat="1" x14ac:dyDescent="0.25"/>
    <row r="121958" customFormat="1" x14ac:dyDescent="0.25"/>
    <row r="121959" customFormat="1" x14ac:dyDescent="0.25"/>
    <row r="121960" customFormat="1" x14ac:dyDescent="0.25"/>
    <row r="121961" customFormat="1" x14ac:dyDescent="0.25"/>
    <row r="121962" customFormat="1" x14ac:dyDescent="0.25"/>
    <row r="121963" customFormat="1" x14ac:dyDescent="0.25"/>
    <row r="121964" customFormat="1" x14ac:dyDescent="0.25"/>
    <row r="121965" customFormat="1" x14ac:dyDescent="0.25"/>
    <row r="121966" customFormat="1" x14ac:dyDescent="0.25"/>
    <row r="121967" customFormat="1" x14ac:dyDescent="0.25"/>
    <row r="121968" customFormat="1" x14ac:dyDescent="0.25"/>
    <row r="121969" customFormat="1" x14ac:dyDescent="0.25"/>
    <row r="121970" customFormat="1" x14ac:dyDescent="0.25"/>
    <row r="121971" customFormat="1" x14ac:dyDescent="0.25"/>
    <row r="121972" customFormat="1" x14ac:dyDescent="0.25"/>
    <row r="121973" customFormat="1" x14ac:dyDescent="0.25"/>
    <row r="121974" customFormat="1" x14ac:dyDescent="0.25"/>
    <row r="121975" customFormat="1" x14ac:dyDescent="0.25"/>
    <row r="121976" customFormat="1" x14ac:dyDescent="0.25"/>
    <row r="121977" customFormat="1" x14ac:dyDescent="0.25"/>
    <row r="121978" customFormat="1" x14ac:dyDescent="0.25"/>
    <row r="121979" customFormat="1" x14ac:dyDescent="0.25"/>
    <row r="121980" customFormat="1" x14ac:dyDescent="0.25"/>
    <row r="121981" customFormat="1" x14ac:dyDescent="0.25"/>
    <row r="121982" customFormat="1" x14ac:dyDescent="0.25"/>
    <row r="121983" customFormat="1" x14ac:dyDescent="0.25"/>
    <row r="121984" customFormat="1" x14ac:dyDescent="0.25"/>
    <row r="121985" customFormat="1" x14ac:dyDescent="0.25"/>
    <row r="121986" customFormat="1" x14ac:dyDescent="0.25"/>
    <row r="121987" customFormat="1" x14ac:dyDescent="0.25"/>
    <row r="121988" customFormat="1" x14ac:dyDescent="0.25"/>
    <row r="121989" customFormat="1" x14ac:dyDescent="0.25"/>
    <row r="121990" customFormat="1" x14ac:dyDescent="0.25"/>
    <row r="121991" customFormat="1" x14ac:dyDescent="0.25"/>
    <row r="121992" customFormat="1" x14ac:dyDescent="0.25"/>
    <row r="121993" customFormat="1" x14ac:dyDescent="0.25"/>
    <row r="121994" customFormat="1" x14ac:dyDescent="0.25"/>
    <row r="121995" customFormat="1" x14ac:dyDescent="0.25"/>
    <row r="121996" customFormat="1" x14ac:dyDescent="0.25"/>
    <row r="121997" customFormat="1" x14ac:dyDescent="0.25"/>
    <row r="121998" customFormat="1" x14ac:dyDescent="0.25"/>
    <row r="121999" customFormat="1" x14ac:dyDescent="0.25"/>
    <row r="122000" customFormat="1" x14ac:dyDescent="0.25"/>
    <row r="122001" customFormat="1" x14ac:dyDescent="0.25"/>
    <row r="122002" customFormat="1" x14ac:dyDescent="0.25"/>
    <row r="122003" customFormat="1" x14ac:dyDescent="0.25"/>
    <row r="122004" customFormat="1" x14ac:dyDescent="0.25"/>
    <row r="122005" customFormat="1" x14ac:dyDescent="0.25"/>
    <row r="122006" customFormat="1" x14ac:dyDescent="0.25"/>
    <row r="122007" customFormat="1" x14ac:dyDescent="0.25"/>
    <row r="122008" customFormat="1" x14ac:dyDescent="0.25"/>
    <row r="122009" customFormat="1" x14ac:dyDescent="0.25"/>
    <row r="122010" customFormat="1" x14ac:dyDescent="0.25"/>
    <row r="122011" customFormat="1" x14ac:dyDescent="0.25"/>
    <row r="122012" customFormat="1" x14ac:dyDescent="0.25"/>
    <row r="122013" customFormat="1" x14ac:dyDescent="0.25"/>
    <row r="122014" customFormat="1" x14ac:dyDescent="0.25"/>
    <row r="122015" customFormat="1" x14ac:dyDescent="0.25"/>
    <row r="122016" customFormat="1" x14ac:dyDescent="0.25"/>
    <row r="122017" customFormat="1" x14ac:dyDescent="0.25"/>
    <row r="122018" customFormat="1" x14ac:dyDescent="0.25"/>
    <row r="122019" customFormat="1" x14ac:dyDescent="0.25"/>
    <row r="122020" customFormat="1" x14ac:dyDescent="0.25"/>
    <row r="122021" customFormat="1" x14ac:dyDescent="0.25"/>
    <row r="122022" customFormat="1" x14ac:dyDescent="0.25"/>
    <row r="122023" customFormat="1" x14ac:dyDescent="0.25"/>
    <row r="122024" customFormat="1" x14ac:dyDescent="0.25"/>
    <row r="122025" customFormat="1" x14ac:dyDescent="0.25"/>
    <row r="122026" customFormat="1" x14ac:dyDescent="0.25"/>
    <row r="122027" customFormat="1" x14ac:dyDescent="0.25"/>
    <row r="122028" customFormat="1" x14ac:dyDescent="0.25"/>
    <row r="122029" customFormat="1" x14ac:dyDescent="0.25"/>
    <row r="122030" customFormat="1" x14ac:dyDescent="0.25"/>
    <row r="122031" customFormat="1" x14ac:dyDescent="0.25"/>
    <row r="122032" customFormat="1" x14ac:dyDescent="0.25"/>
    <row r="122033" customFormat="1" x14ac:dyDescent="0.25"/>
    <row r="122034" customFormat="1" x14ac:dyDescent="0.25"/>
    <row r="122035" customFormat="1" x14ac:dyDescent="0.25"/>
    <row r="122036" customFormat="1" x14ac:dyDescent="0.25"/>
    <row r="122037" customFormat="1" x14ac:dyDescent="0.25"/>
    <row r="122038" customFormat="1" x14ac:dyDescent="0.25"/>
    <row r="122039" customFormat="1" x14ac:dyDescent="0.25"/>
    <row r="122040" customFormat="1" x14ac:dyDescent="0.25"/>
    <row r="122041" customFormat="1" x14ac:dyDescent="0.25"/>
    <row r="122042" customFormat="1" x14ac:dyDescent="0.25"/>
    <row r="122043" customFormat="1" x14ac:dyDescent="0.25"/>
    <row r="122044" customFormat="1" x14ac:dyDescent="0.25"/>
    <row r="122045" customFormat="1" x14ac:dyDescent="0.25"/>
    <row r="122046" customFormat="1" x14ac:dyDescent="0.25"/>
    <row r="122047" customFormat="1" x14ac:dyDescent="0.25"/>
    <row r="122048" customFormat="1" x14ac:dyDescent="0.25"/>
    <row r="122049" customFormat="1" x14ac:dyDescent="0.25"/>
    <row r="122050" customFormat="1" x14ac:dyDescent="0.25"/>
    <row r="122051" customFormat="1" x14ac:dyDescent="0.25"/>
    <row r="122052" customFormat="1" x14ac:dyDescent="0.25"/>
    <row r="122053" customFormat="1" x14ac:dyDescent="0.25"/>
    <row r="122054" customFormat="1" x14ac:dyDescent="0.25"/>
    <row r="122055" customFormat="1" x14ac:dyDescent="0.25"/>
    <row r="122056" customFormat="1" x14ac:dyDescent="0.25"/>
    <row r="122057" customFormat="1" x14ac:dyDescent="0.25"/>
    <row r="122058" customFormat="1" x14ac:dyDescent="0.25"/>
    <row r="122059" customFormat="1" x14ac:dyDescent="0.25"/>
    <row r="122060" customFormat="1" x14ac:dyDescent="0.25"/>
    <row r="122061" customFormat="1" x14ac:dyDescent="0.25"/>
    <row r="122062" customFormat="1" x14ac:dyDescent="0.25"/>
    <row r="122063" customFormat="1" x14ac:dyDescent="0.25"/>
    <row r="122064" customFormat="1" x14ac:dyDescent="0.25"/>
    <row r="122065" customFormat="1" x14ac:dyDescent="0.25"/>
    <row r="122066" customFormat="1" x14ac:dyDescent="0.25"/>
    <row r="122067" customFormat="1" x14ac:dyDescent="0.25"/>
    <row r="122068" customFormat="1" x14ac:dyDescent="0.25"/>
    <row r="122069" customFormat="1" x14ac:dyDescent="0.25"/>
    <row r="122070" customFormat="1" x14ac:dyDescent="0.25"/>
    <row r="122071" customFormat="1" x14ac:dyDescent="0.25"/>
    <row r="122072" customFormat="1" x14ac:dyDescent="0.25"/>
    <row r="122073" customFormat="1" x14ac:dyDescent="0.25"/>
    <row r="122074" customFormat="1" x14ac:dyDescent="0.25"/>
    <row r="122075" customFormat="1" x14ac:dyDescent="0.25"/>
    <row r="122076" customFormat="1" x14ac:dyDescent="0.25"/>
    <row r="122077" customFormat="1" x14ac:dyDescent="0.25"/>
    <row r="122078" customFormat="1" x14ac:dyDescent="0.25"/>
    <row r="122079" customFormat="1" x14ac:dyDescent="0.25"/>
    <row r="122080" customFormat="1" x14ac:dyDescent="0.25"/>
    <row r="122081" customFormat="1" x14ac:dyDescent="0.25"/>
    <row r="122082" customFormat="1" x14ac:dyDescent="0.25"/>
    <row r="122083" customFormat="1" x14ac:dyDescent="0.25"/>
    <row r="122084" customFormat="1" x14ac:dyDescent="0.25"/>
    <row r="122085" customFormat="1" x14ac:dyDescent="0.25"/>
    <row r="122086" customFormat="1" x14ac:dyDescent="0.25"/>
    <row r="122087" customFormat="1" x14ac:dyDescent="0.25"/>
    <row r="122088" customFormat="1" x14ac:dyDescent="0.25"/>
    <row r="122089" customFormat="1" x14ac:dyDescent="0.25"/>
    <row r="122090" customFormat="1" x14ac:dyDescent="0.25"/>
    <row r="122091" customFormat="1" x14ac:dyDescent="0.25"/>
    <row r="122092" customFormat="1" x14ac:dyDescent="0.25"/>
    <row r="122093" customFormat="1" x14ac:dyDescent="0.25"/>
    <row r="122094" customFormat="1" x14ac:dyDescent="0.25"/>
    <row r="122095" customFormat="1" x14ac:dyDescent="0.25"/>
    <row r="122096" customFormat="1" x14ac:dyDescent="0.25"/>
    <row r="122097" customFormat="1" x14ac:dyDescent="0.25"/>
    <row r="122098" customFormat="1" x14ac:dyDescent="0.25"/>
    <row r="122099" customFormat="1" x14ac:dyDescent="0.25"/>
    <row r="122100" customFormat="1" x14ac:dyDescent="0.25"/>
    <row r="122101" customFormat="1" x14ac:dyDescent="0.25"/>
    <row r="122102" customFormat="1" x14ac:dyDescent="0.25"/>
    <row r="122103" customFormat="1" x14ac:dyDescent="0.25"/>
    <row r="122104" customFormat="1" x14ac:dyDescent="0.25"/>
    <row r="122105" customFormat="1" x14ac:dyDescent="0.25"/>
    <row r="122106" customFormat="1" x14ac:dyDescent="0.25"/>
    <row r="122107" customFormat="1" x14ac:dyDescent="0.25"/>
    <row r="122108" customFormat="1" x14ac:dyDescent="0.25"/>
    <row r="122109" customFormat="1" x14ac:dyDescent="0.25"/>
    <row r="122110" customFormat="1" x14ac:dyDescent="0.25"/>
    <row r="122111" customFormat="1" x14ac:dyDescent="0.25"/>
    <row r="122112" customFormat="1" x14ac:dyDescent="0.25"/>
    <row r="122113" customFormat="1" x14ac:dyDescent="0.25"/>
    <row r="122114" customFormat="1" x14ac:dyDescent="0.25"/>
    <row r="122115" customFormat="1" x14ac:dyDescent="0.25"/>
    <row r="122116" customFormat="1" x14ac:dyDescent="0.25"/>
    <row r="122117" customFormat="1" x14ac:dyDescent="0.25"/>
    <row r="122118" customFormat="1" x14ac:dyDescent="0.25"/>
    <row r="122119" customFormat="1" x14ac:dyDescent="0.25"/>
    <row r="122120" customFormat="1" x14ac:dyDescent="0.25"/>
    <row r="122121" customFormat="1" x14ac:dyDescent="0.25"/>
    <row r="122122" customFormat="1" x14ac:dyDescent="0.25"/>
    <row r="122123" customFormat="1" x14ac:dyDescent="0.25"/>
    <row r="122124" customFormat="1" x14ac:dyDescent="0.25"/>
    <row r="122125" customFormat="1" x14ac:dyDescent="0.25"/>
    <row r="122126" customFormat="1" x14ac:dyDescent="0.25"/>
    <row r="122127" customFormat="1" x14ac:dyDescent="0.25"/>
    <row r="122128" customFormat="1" x14ac:dyDescent="0.25"/>
    <row r="122129" customFormat="1" x14ac:dyDescent="0.25"/>
    <row r="122130" customFormat="1" x14ac:dyDescent="0.25"/>
    <row r="122131" customFormat="1" x14ac:dyDescent="0.25"/>
    <row r="122132" customFormat="1" x14ac:dyDescent="0.25"/>
    <row r="122133" customFormat="1" x14ac:dyDescent="0.25"/>
    <row r="122134" customFormat="1" x14ac:dyDescent="0.25"/>
    <row r="122135" customFormat="1" x14ac:dyDescent="0.25"/>
    <row r="122136" customFormat="1" x14ac:dyDescent="0.25"/>
    <row r="122137" customFormat="1" x14ac:dyDescent="0.25"/>
    <row r="122138" customFormat="1" x14ac:dyDescent="0.25"/>
    <row r="122139" customFormat="1" x14ac:dyDescent="0.25"/>
    <row r="122140" customFormat="1" x14ac:dyDescent="0.25"/>
    <row r="122141" customFormat="1" x14ac:dyDescent="0.25"/>
    <row r="122142" customFormat="1" x14ac:dyDescent="0.25"/>
    <row r="122143" customFormat="1" x14ac:dyDescent="0.25"/>
    <row r="122144" customFormat="1" x14ac:dyDescent="0.25"/>
    <row r="122145" customFormat="1" x14ac:dyDescent="0.25"/>
    <row r="122146" customFormat="1" x14ac:dyDescent="0.25"/>
    <row r="122147" customFormat="1" x14ac:dyDescent="0.25"/>
    <row r="122148" customFormat="1" x14ac:dyDescent="0.25"/>
    <row r="122149" customFormat="1" x14ac:dyDescent="0.25"/>
    <row r="122150" customFormat="1" x14ac:dyDescent="0.25"/>
    <row r="122151" customFormat="1" x14ac:dyDescent="0.25"/>
    <row r="122152" customFormat="1" x14ac:dyDescent="0.25"/>
    <row r="122153" customFormat="1" x14ac:dyDescent="0.25"/>
    <row r="122154" customFormat="1" x14ac:dyDescent="0.25"/>
    <row r="122155" customFormat="1" x14ac:dyDescent="0.25"/>
    <row r="122156" customFormat="1" x14ac:dyDescent="0.25"/>
    <row r="122157" customFormat="1" x14ac:dyDescent="0.25"/>
    <row r="122158" customFormat="1" x14ac:dyDescent="0.25"/>
    <row r="122159" customFormat="1" x14ac:dyDescent="0.25"/>
    <row r="122160" customFormat="1" x14ac:dyDescent="0.25"/>
    <row r="122161" customFormat="1" x14ac:dyDescent="0.25"/>
    <row r="122162" customFormat="1" x14ac:dyDescent="0.25"/>
    <row r="122163" customFormat="1" x14ac:dyDescent="0.25"/>
    <row r="122164" customFormat="1" x14ac:dyDescent="0.25"/>
    <row r="122165" customFormat="1" x14ac:dyDescent="0.25"/>
    <row r="122166" customFormat="1" x14ac:dyDescent="0.25"/>
    <row r="122167" customFormat="1" x14ac:dyDescent="0.25"/>
    <row r="122168" customFormat="1" x14ac:dyDescent="0.25"/>
    <row r="122169" customFormat="1" x14ac:dyDescent="0.25"/>
    <row r="122170" customFormat="1" x14ac:dyDescent="0.25"/>
    <row r="122171" customFormat="1" x14ac:dyDescent="0.25"/>
    <row r="122172" customFormat="1" x14ac:dyDescent="0.25"/>
    <row r="122173" customFormat="1" x14ac:dyDescent="0.25"/>
    <row r="122174" customFormat="1" x14ac:dyDescent="0.25"/>
    <row r="122175" customFormat="1" x14ac:dyDescent="0.25"/>
    <row r="122176" customFormat="1" x14ac:dyDescent="0.25"/>
    <row r="122177" customFormat="1" x14ac:dyDescent="0.25"/>
    <row r="122178" customFormat="1" x14ac:dyDescent="0.25"/>
    <row r="122179" customFormat="1" x14ac:dyDescent="0.25"/>
    <row r="122180" customFormat="1" x14ac:dyDescent="0.25"/>
    <row r="122181" customFormat="1" x14ac:dyDescent="0.25"/>
    <row r="122182" customFormat="1" x14ac:dyDescent="0.25"/>
    <row r="122183" customFormat="1" x14ac:dyDescent="0.25"/>
    <row r="122184" customFormat="1" x14ac:dyDescent="0.25"/>
    <row r="122185" customFormat="1" x14ac:dyDescent="0.25"/>
    <row r="122186" customFormat="1" x14ac:dyDescent="0.25"/>
    <row r="122187" customFormat="1" x14ac:dyDescent="0.25"/>
    <row r="122188" customFormat="1" x14ac:dyDescent="0.25"/>
    <row r="122189" customFormat="1" x14ac:dyDescent="0.25"/>
    <row r="122190" customFormat="1" x14ac:dyDescent="0.25"/>
    <row r="122191" customFormat="1" x14ac:dyDescent="0.25"/>
    <row r="122192" customFormat="1" x14ac:dyDescent="0.25"/>
    <row r="122193" customFormat="1" x14ac:dyDescent="0.25"/>
    <row r="122194" customFormat="1" x14ac:dyDescent="0.25"/>
    <row r="122195" customFormat="1" x14ac:dyDescent="0.25"/>
    <row r="122196" customFormat="1" x14ac:dyDescent="0.25"/>
    <row r="122197" customFormat="1" x14ac:dyDescent="0.25"/>
    <row r="122198" customFormat="1" x14ac:dyDescent="0.25"/>
    <row r="122199" customFormat="1" x14ac:dyDescent="0.25"/>
    <row r="122200" customFormat="1" x14ac:dyDescent="0.25"/>
    <row r="122201" customFormat="1" x14ac:dyDescent="0.25"/>
    <row r="122202" customFormat="1" x14ac:dyDescent="0.25"/>
    <row r="122203" customFormat="1" x14ac:dyDescent="0.25"/>
    <row r="122204" customFormat="1" x14ac:dyDescent="0.25"/>
    <row r="122205" customFormat="1" x14ac:dyDescent="0.25"/>
    <row r="122206" customFormat="1" x14ac:dyDescent="0.25"/>
    <row r="122207" customFormat="1" x14ac:dyDescent="0.25"/>
    <row r="122208" customFormat="1" x14ac:dyDescent="0.25"/>
    <row r="122209" customFormat="1" x14ac:dyDescent="0.25"/>
    <row r="122210" customFormat="1" x14ac:dyDescent="0.25"/>
    <row r="122211" customFormat="1" x14ac:dyDescent="0.25"/>
    <row r="122212" customFormat="1" x14ac:dyDescent="0.25"/>
    <row r="122213" customFormat="1" x14ac:dyDescent="0.25"/>
    <row r="122214" customFormat="1" x14ac:dyDescent="0.25"/>
    <row r="122215" customFormat="1" x14ac:dyDescent="0.25"/>
    <row r="122216" customFormat="1" x14ac:dyDescent="0.25"/>
    <row r="122217" customFormat="1" x14ac:dyDescent="0.25"/>
    <row r="122218" customFormat="1" x14ac:dyDescent="0.25"/>
    <row r="122219" customFormat="1" x14ac:dyDescent="0.25"/>
    <row r="122220" customFormat="1" x14ac:dyDescent="0.25"/>
    <row r="122221" customFormat="1" x14ac:dyDescent="0.25"/>
    <row r="122222" customFormat="1" x14ac:dyDescent="0.25"/>
    <row r="122223" customFormat="1" x14ac:dyDescent="0.25"/>
    <row r="122224" customFormat="1" x14ac:dyDescent="0.25"/>
    <row r="122225" customFormat="1" x14ac:dyDescent="0.25"/>
    <row r="122226" customFormat="1" x14ac:dyDescent="0.25"/>
    <row r="122227" customFormat="1" x14ac:dyDescent="0.25"/>
    <row r="122228" customFormat="1" x14ac:dyDescent="0.25"/>
    <row r="122229" customFormat="1" x14ac:dyDescent="0.25"/>
    <row r="122230" customFormat="1" x14ac:dyDescent="0.25"/>
    <row r="122231" customFormat="1" x14ac:dyDescent="0.25"/>
    <row r="122232" customFormat="1" x14ac:dyDescent="0.25"/>
    <row r="122233" customFormat="1" x14ac:dyDescent="0.25"/>
    <row r="122234" customFormat="1" x14ac:dyDescent="0.25"/>
    <row r="122235" customFormat="1" x14ac:dyDescent="0.25"/>
    <row r="122236" customFormat="1" x14ac:dyDescent="0.25"/>
    <row r="122237" customFormat="1" x14ac:dyDescent="0.25"/>
    <row r="122238" customFormat="1" x14ac:dyDescent="0.25"/>
    <row r="122239" customFormat="1" x14ac:dyDescent="0.25"/>
    <row r="122240" customFormat="1" x14ac:dyDescent="0.25"/>
    <row r="122241" customFormat="1" x14ac:dyDescent="0.25"/>
    <row r="122242" customFormat="1" x14ac:dyDescent="0.25"/>
    <row r="122243" customFormat="1" x14ac:dyDescent="0.25"/>
    <row r="122244" customFormat="1" x14ac:dyDescent="0.25"/>
    <row r="122245" customFormat="1" x14ac:dyDescent="0.25"/>
    <row r="122246" customFormat="1" x14ac:dyDescent="0.25"/>
    <row r="122247" customFormat="1" x14ac:dyDescent="0.25"/>
    <row r="122248" customFormat="1" x14ac:dyDescent="0.25"/>
    <row r="122249" customFormat="1" x14ac:dyDescent="0.25"/>
    <row r="122250" customFormat="1" x14ac:dyDescent="0.25"/>
    <row r="122251" customFormat="1" x14ac:dyDescent="0.25"/>
    <row r="122252" customFormat="1" x14ac:dyDescent="0.25"/>
    <row r="122253" customFormat="1" x14ac:dyDescent="0.25"/>
    <row r="122254" customFormat="1" x14ac:dyDescent="0.25"/>
    <row r="122255" customFormat="1" x14ac:dyDescent="0.25"/>
    <row r="122256" customFormat="1" x14ac:dyDescent="0.25"/>
    <row r="122257" customFormat="1" x14ac:dyDescent="0.25"/>
    <row r="122258" customFormat="1" x14ac:dyDescent="0.25"/>
    <row r="122259" customFormat="1" x14ac:dyDescent="0.25"/>
    <row r="122260" customFormat="1" x14ac:dyDescent="0.25"/>
    <row r="122261" customFormat="1" x14ac:dyDescent="0.25"/>
    <row r="122262" customFormat="1" x14ac:dyDescent="0.25"/>
    <row r="122263" customFormat="1" x14ac:dyDescent="0.25"/>
    <row r="122264" customFormat="1" x14ac:dyDescent="0.25"/>
    <row r="122265" customFormat="1" x14ac:dyDescent="0.25"/>
    <row r="122266" customFormat="1" x14ac:dyDescent="0.25"/>
    <row r="122267" customFormat="1" x14ac:dyDescent="0.25"/>
    <row r="122268" customFormat="1" x14ac:dyDescent="0.25"/>
    <row r="122269" customFormat="1" x14ac:dyDescent="0.25"/>
    <row r="122270" customFormat="1" x14ac:dyDescent="0.25"/>
    <row r="122271" customFormat="1" x14ac:dyDescent="0.25"/>
    <row r="122272" customFormat="1" x14ac:dyDescent="0.25"/>
    <row r="122273" customFormat="1" x14ac:dyDescent="0.25"/>
    <row r="122274" customFormat="1" x14ac:dyDescent="0.25"/>
    <row r="122275" customFormat="1" x14ac:dyDescent="0.25"/>
    <row r="122276" customFormat="1" x14ac:dyDescent="0.25"/>
    <row r="122277" customFormat="1" x14ac:dyDescent="0.25"/>
    <row r="122278" customFormat="1" x14ac:dyDescent="0.25"/>
    <row r="122279" customFormat="1" x14ac:dyDescent="0.25"/>
    <row r="122280" customFormat="1" x14ac:dyDescent="0.25"/>
    <row r="122281" customFormat="1" x14ac:dyDescent="0.25"/>
    <row r="122282" customFormat="1" x14ac:dyDescent="0.25"/>
    <row r="122283" customFormat="1" x14ac:dyDescent="0.25"/>
    <row r="122284" customFormat="1" x14ac:dyDescent="0.25"/>
    <row r="122285" customFormat="1" x14ac:dyDescent="0.25"/>
    <row r="122286" customFormat="1" x14ac:dyDescent="0.25"/>
    <row r="122287" customFormat="1" x14ac:dyDescent="0.25"/>
    <row r="122288" customFormat="1" x14ac:dyDescent="0.25"/>
    <row r="122289" customFormat="1" x14ac:dyDescent="0.25"/>
    <row r="122290" customFormat="1" x14ac:dyDescent="0.25"/>
    <row r="122291" customFormat="1" x14ac:dyDescent="0.25"/>
    <row r="122292" customFormat="1" x14ac:dyDescent="0.25"/>
    <row r="122293" customFormat="1" x14ac:dyDescent="0.25"/>
    <row r="122294" customFormat="1" x14ac:dyDescent="0.25"/>
    <row r="122295" customFormat="1" x14ac:dyDescent="0.25"/>
    <row r="122296" customFormat="1" x14ac:dyDescent="0.25"/>
    <row r="122297" customFormat="1" x14ac:dyDescent="0.25"/>
    <row r="122298" customFormat="1" x14ac:dyDescent="0.25"/>
    <row r="122299" customFormat="1" x14ac:dyDescent="0.25"/>
    <row r="122300" customFormat="1" x14ac:dyDescent="0.25"/>
    <row r="122301" customFormat="1" x14ac:dyDescent="0.25"/>
    <row r="122302" customFormat="1" x14ac:dyDescent="0.25"/>
    <row r="122303" customFormat="1" x14ac:dyDescent="0.25"/>
    <row r="122304" customFormat="1" x14ac:dyDescent="0.25"/>
    <row r="122305" customFormat="1" x14ac:dyDescent="0.25"/>
    <row r="122306" customFormat="1" x14ac:dyDescent="0.25"/>
    <row r="122307" customFormat="1" x14ac:dyDescent="0.25"/>
    <row r="122308" customFormat="1" x14ac:dyDescent="0.25"/>
    <row r="122309" customFormat="1" x14ac:dyDescent="0.25"/>
    <row r="122310" customFormat="1" x14ac:dyDescent="0.25"/>
    <row r="122311" customFormat="1" x14ac:dyDescent="0.25"/>
    <row r="122312" customFormat="1" x14ac:dyDescent="0.25"/>
    <row r="122313" customFormat="1" x14ac:dyDescent="0.25"/>
    <row r="122314" customFormat="1" x14ac:dyDescent="0.25"/>
    <row r="122315" customFormat="1" x14ac:dyDescent="0.25"/>
    <row r="122316" customFormat="1" x14ac:dyDescent="0.25"/>
    <row r="122317" customFormat="1" x14ac:dyDescent="0.25"/>
    <row r="122318" customFormat="1" x14ac:dyDescent="0.25"/>
    <row r="122319" customFormat="1" x14ac:dyDescent="0.25"/>
    <row r="122320" customFormat="1" x14ac:dyDescent="0.25"/>
    <row r="122321" customFormat="1" x14ac:dyDescent="0.25"/>
    <row r="122322" customFormat="1" x14ac:dyDescent="0.25"/>
    <row r="122323" customFormat="1" x14ac:dyDescent="0.25"/>
    <row r="122324" customFormat="1" x14ac:dyDescent="0.25"/>
    <row r="122325" customFormat="1" x14ac:dyDescent="0.25"/>
    <row r="122326" customFormat="1" x14ac:dyDescent="0.25"/>
    <row r="122327" customFormat="1" x14ac:dyDescent="0.25"/>
    <row r="122328" customFormat="1" x14ac:dyDescent="0.25"/>
    <row r="122329" customFormat="1" x14ac:dyDescent="0.25"/>
    <row r="122330" customFormat="1" x14ac:dyDescent="0.25"/>
    <row r="122331" customFormat="1" x14ac:dyDescent="0.25"/>
    <row r="122332" customFormat="1" x14ac:dyDescent="0.25"/>
    <row r="122333" customFormat="1" x14ac:dyDescent="0.25"/>
    <row r="122334" customFormat="1" x14ac:dyDescent="0.25"/>
    <row r="122335" customFormat="1" x14ac:dyDescent="0.25"/>
    <row r="122336" customFormat="1" x14ac:dyDescent="0.25"/>
    <row r="122337" customFormat="1" x14ac:dyDescent="0.25"/>
    <row r="122338" customFormat="1" x14ac:dyDescent="0.25"/>
    <row r="122339" customFormat="1" x14ac:dyDescent="0.25"/>
    <row r="122340" customFormat="1" x14ac:dyDescent="0.25"/>
    <row r="122341" customFormat="1" x14ac:dyDescent="0.25"/>
    <row r="122342" customFormat="1" x14ac:dyDescent="0.25"/>
    <row r="122343" customFormat="1" x14ac:dyDescent="0.25"/>
    <row r="122344" customFormat="1" x14ac:dyDescent="0.25"/>
    <row r="122345" customFormat="1" x14ac:dyDescent="0.25"/>
    <row r="122346" customFormat="1" x14ac:dyDescent="0.25"/>
    <row r="122347" customFormat="1" x14ac:dyDescent="0.25"/>
    <row r="122348" customFormat="1" x14ac:dyDescent="0.25"/>
    <row r="122349" customFormat="1" x14ac:dyDescent="0.25"/>
    <row r="122350" customFormat="1" x14ac:dyDescent="0.25"/>
    <row r="122351" customFormat="1" x14ac:dyDescent="0.25"/>
    <row r="122352" customFormat="1" x14ac:dyDescent="0.25"/>
    <row r="122353" customFormat="1" x14ac:dyDescent="0.25"/>
    <row r="122354" customFormat="1" x14ac:dyDescent="0.25"/>
    <row r="122355" customFormat="1" x14ac:dyDescent="0.25"/>
    <row r="122356" customFormat="1" x14ac:dyDescent="0.25"/>
    <row r="122357" customFormat="1" x14ac:dyDescent="0.25"/>
    <row r="122358" customFormat="1" x14ac:dyDescent="0.25"/>
    <row r="122359" customFormat="1" x14ac:dyDescent="0.25"/>
    <row r="122360" customFormat="1" x14ac:dyDescent="0.25"/>
    <row r="122361" customFormat="1" x14ac:dyDescent="0.25"/>
    <row r="122362" customFormat="1" x14ac:dyDescent="0.25"/>
    <row r="122363" customFormat="1" x14ac:dyDescent="0.25"/>
    <row r="122364" customFormat="1" x14ac:dyDescent="0.25"/>
    <row r="122365" customFormat="1" x14ac:dyDescent="0.25"/>
    <row r="122366" customFormat="1" x14ac:dyDescent="0.25"/>
    <row r="122367" customFormat="1" x14ac:dyDescent="0.25"/>
    <row r="122368" customFormat="1" x14ac:dyDescent="0.25"/>
    <row r="122369" customFormat="1" x14ac:dyDescent="0.25"/>
    <row r="122370" customFormat="1" x14ac:dyDescent="0.25"/>
    <row r="122371" customFormat="1" x14ac:dyDescent="0.25"/>
    <row r="122372" customFormat="1" x14ac:dyDescent="0.25"/>
    <row r="122373" customFormat="1" x14ac:dyDescent="0.25"/>
    <row r="122374" customFormat="1" x14ac:dyDescent="0.25"/>
    <row r="122375" customFormat="1" x14ac:dyDescent="0.25"/>
    <row r="122376" customFormat="1" x14ac:dyDescent="0.25"/>
    <row r="122377" customFormat="1" x14ac:dyDescent="0.25"/>
    <row r="122378" customFormat="1" x14ac:dyDescent="0.25"/>
    <row r="122379" customFormat="1" x14ac:dyDescent="0.25"/>
    <row r="122380" customFormat="1" x14ac:dyDescent="0.25"/>
    <row r="122381" customFormat="1" x14ac:dyDescent="0.25"/>
    <row r="122382" customFormat="1" x14ac:dyDescent="0.25"/>
    <row r="122383" customFormat="1" x14ac:dyDescent="0.25"/>
    <row r="122384" customFormat="1" x14ac:dyDescent="0.25"/>
    <row r="122385" customFormat="1" x14ac:dyDescent="0.25"/>
    <row r="122386" customFormat="1" x14ac:dyDescent="0.25"/>
    <row r="122387" customFormat="1" x14ac:dyDescent="0.25"/>
    <row r="122388" customFormat="1" x14ac:dyDescent="0.25"/>
    <row r="122389" customFormat="1" x14ac:dyDescent="0.25"/>
    <row r="122390" customFormat="1" x14ac:dyDescent="0.25"/>
    <row r="122391" customFormat="1" x14ac:dyDescent="0.25"/>
    <row r="122392" customFormat="1" x14ac:dyDescent="0.25"/>
    <row r="122393" customFormat="1" x14ac:dyDescent="0.25"/>
    <row r="122394" customFormat="1" x14ac:dyDescent="0.25"/>
    <row r="122395" customFormat="1" x14ac:dyDescent="0.25"/>
    <row r="122396" customFormat="1" x14ac:dyDescent="0.25"/>
    <row r="122397" customFormat="1" x14ac:dyDescent="0.25"/>
    <row r="122398" customFormat="1" x14ac:dyDescent="0.25"/>
    <row r="122399" customFormat="1" x14ac:dyDescent="0.25"/>
    <row r="122400" customFormat="1" x14ac:dyDescent="0.25"/>
    <row r="122401" customFormat="1" x14ac:dyDescent="0.25"/>
    <row r="122402" customFormat="1" x14ac:dyDescent="0.25"/>
    <row r="122403" customFormat="1" x14ac:dyDescent="0.25"/>
    <row r="122404" customFormat="1" x14ac:dyDescent="0.25"/>
    <row r="122405" customFormat="1" x14ac:dyDescent="0.25"/>
    <row r="122406" customFormat="1" x14ac:dyDescent="0.25"/>
    <row r="122407" customFormat="1" x14ac:dyDescent="0.25"/>
    <row r="122408" customFormat="1" x14ac:dyDescent="0.25"/>
    <row r="122409" customFormat="1" x14ac:dyDescent="0.25"/>
    <row r="122410" customFormat="1" x14ac:dyDescent="0.25"/>
    <row r="122411" customFormat="1" x14ac:dyDescent="0.25"/>
    <row r="122412" customFormat="1" x14ac:dyDescent="0.25"/>
    <row r="122413" customFormat="1" x14ac:dyDescent="0.25"/>
    <row r="122414" customFormat="1" x14ac:dyDescent="0.25"/>
    <row r="122415" customFormat="1" x14ac:dyDescent="0.25"/>
    <row r="122416" customFormat="1" x14ac:dyDescent="0.25"/>
    <row r="122417" customFormat="1" x14ac:dyDescent="0.25"/>
    <row r="122418" customFormat="1" x14ac:dyDescent="0.25"/>
    <row r="122419" customFormat="1" x14ac:dyDescent="0.25"/>
    <row r="122420" customFormat="1" x14ac:dyDescent="0.25"/>
    <row r="122421" customFormat="1" x14ac:dyDescent="0.25"/>
    <row r="122422" customFormat="1" x14ac:dyDescent="0.25"/>
    <row r="122423" customFormat="1" x14ac:dyDescent="0.25"/>
    <row r="122424" customFormat="1" x14ac:dyDescent="0.25"/>
    <row r="122425" customFormat="1" x14ac:dyDescent="0.25"/>
    <row r="122426" customFormat="1" x14ac:dyDescent="0.25"/>
    <row r="122427" customFormat="1" x14ac:dyDescent="0.25"/>
    <row r="122428" customFormat="1" x14ac:dyDescent="0.25"/>
    <row r="122429" customFormat="1" x14ac:dyDescent="0.25"/>
    <row r="122430" customFormat="1" x14ac:dyDescent="0.25"/>
    <row r="122431" customFormat="1" x14ac:dyDescent="0.25"/>
    <row r="122432" customFormat="1" x14ac:dyDescent="0.25"/>
    <row r="122433" customFormat="1" x14ac:dyDescent="0.25"/>
    <row r="122434" customFormat="1" x14ac:dyDescent="0.25"/>
    <row r="122435" customFormat="1" x14ac:dyDescent="0.25"/>
    <row r="122436" customFormat="1" x14ac:dyDescent="0.25"/>
    <row r="122437" customFormat="1" x14ac:dyDescent="0.25"/>
    <row r="122438" customFormat="1" x14ac:dyDescent="0.25"/>
    <row r="122439" customFormat="1" x14ac:dyDescent="0.25"/>
    <row r="122440" customFormat="1" x14ac:dyDescent="0.25"/>
    <row r="122441" customFormat="1" x14ac:dyDescent="0.25"/>
    <row r="122442" customFormat="1" x14ac:dyDescent="0.25"/>
    <row r="122443" customFormat="1" x14ac:dyDescent="0.25"/>
    <row r="122444" customFormat="1" x14ac:dyDescent="0.25"/>
    <row r="122445" customFormat="1" x14ac:dyDescent="0.25"/>
    <row r="122446" customFormat="1" x14ac:dyDescent="0.25"/>
    <row r="122447" customFormat="1" x14ac:dyDescent="0.25"/>
    <row r="122448" customFormat="1" x14ac:dyDescent="0.25"/>
    <row r="122449" customFormat="1" x14ac:dyDescent="0.25"/>
    <row r="122450" customFormat="1" x14ac:dyDescent="0.25"/>
    <row r="122451" customFormat="1" x14ac:dyDescent="0.25"/>
    <row r="122452" customFormat="1" x14ac:dyDescent="0.25"/>
    <row r="122453" customFormat="1" x14ac:dyDescent="0.25"/>
    <row r="122454" customFormat="1" x14ac:dyDescent="0.25"/>
    <row r="122455" customFormat="1" x14ac:dyDescent="0.25"/>
    <row r="122456" customFormat="1" x14ac:dyDescent="0.25"/>
    <row r="122457" customFormat="1" x14ac:dyDescent="0.25"/>
    <row r="122458" customFormat="1" x14ac:dyDescent="0.25"/>
    <row r="122459" customFormat="1" x14ac:dyDescent="0.25"/>
    <row r="122460" customFormat="1" x14ac:dyDescent="0.25"/>
    <row r="122461" customFormat="1" x14ac:dyDescent="0.25"/>
    <row r="122462" customFormat="1" x14ac:dyDescent="0.25"/>
    <row r="122463" customFormat="1" x14ac:dyDescent="0.25"/>
    <row r="122464" customFormat="1" x14ac:dyDescent="0.25"/>
    <row r="122465" customFormat="1" x14ac:dyDescent="0.25"/>
    <row r="122466" customFormat="1" x14ac:dyDescent="0.25"/>
    <row r="122467" customFormat="1" x14ac:dyDescent="0.25"/>
    <row r="122468" customFormat="1" x14ac:dyDescent="0.25"/>
    <row r="122469" customFormat="1" x14ac:dyDescent="0.25"/>
    <row r="122470" customFormat="1" x14ac:dyDescent="0.25"/>
    <row r="122471" customFormat="1" x14ac:dyDescent="0.25"/>
    <row r="122472" customFormat="1" x14ac:dyDescent="0.25"/>
    <row r="122473" customFormat="1" x14ac:dyDescent="0.25"/>
    <row r="122474" customFormat="1" x14ac:dyDescent="0.25"/>
    <row r="122475" customFormat="1" x14ac:dyDescent="0.25"/>
    <row r="122476" customFormat="1" x14ac:dyDescent="0.25"/>
    <row r="122477" customFormat="1" x14ac:dyDescent="0.25"/>
    <row r="122478" customFormat="1" x14ac:dyDescent="0.25"/>
    <row r="122479" customFormat="1" x14ac:dyDescent="0.25"/>
    <row r="122480" customFormat="1" x14ac:dyDescent="0.25"/>
    <row r="122481" customFormat="1" x14ac:dyDescent="0.25"/>
    <row r="122482" customFormat="1" x14ac:dyDescent="0.25"/>
    <row r="122483" customFormat="1" x14ac:dyDescent="0.25"/>
    <row r="122484" customFormat="1" x14ac:dyDescent="0.25"/>
    <row r="122485" customFormat="1" x14ac:dyDescent="0.25"/>
    <row r="122486" customFormat="1" x14ac:dyDescent="0.25"/>
    <row r="122487" customFormat="1" x14ac:dyDescent="0.25"/>
    <row r="122488" customFormat="1" x14ac:dyDescent="0.25"/>
    <row r="122489" customFormat="1" x14ac:dyDescent="0.25"/>
    <row r="122490" customFormat="1" x14ac:dyDescent="0.25"/>
    <row r="122491" customFormat="1" x14ac:dyDescent="0.25"/>
    <row r="122492" customFormat="1" x14ac:dyDescent="0.25"/>
    <row r="122493" customFormat="1" x14ac:dyDescent="0.25"/>
    <row r="122494" customFormat="1" x14ac:dyDescent="0.25"/>
    <row r="122495" customFormat="1" x14ac:dyDescent="0.25"/>
    <row r="122496" customFormat="1" x14ac:dyDescent="0.25"/>
    <row r="122497" customFormat="1" x14ac:dyDescent="0.25"/>
    <row r="122498" customFormat="1" x14ac:dyDescent="0.25"/>
    <row r="122499" customFormat="1" x14ac:dyDescent="0.25"/>
    <row r="122500" customFormat="1" x14ac:dyDescent="0.25"/>
    <row r="122501" customFormat="1" x14ac:dyDescent="0.25"/>
    <row r="122502" customFormat="1" x14ac:dyDescent="0.25"/>
    <row r="122503" customFormat="1" x14ac:dyDescent="0.25"/>
    <row r="122504" customFormat="1" x14ac:dyDescent="0.25"/>
    <row r="122505" customFormat="1" x14ac:dyDescent="0.25"/>
    <row r="122506" customFormat="1" x14ac:dyDescent="0.25"/>
    <row r="122507" customFormat="1" x14ac:dyDescent="0.25"/>
    <row r="122508" customFormat="1" x14ac:dyDescent="0.25"/>
    <row r="122509" customFormat="1" x14ac:dyDescent="0.25"/>
    <row r="122510" customFormat="1" x14ac:dyDescent="0.25"/>
    <row r="122511" customFormat="1" x14ac:dyDescent="0.25"/>
    <row r="122512" customFormat="1" x14ac:dyDescent="0.25"/>
    <row r="122513" customFormat="1" x14ac:dyDescent="0.25"/>
    <row r="122514" customFormat="1" x14ac:dyDescent="0.25"/>
    <row r="122515" customFormat="1" x14ac:dyDescent="0.25"/>
    <row r="122516" customFormat="1" x14ac:dyDescent="0.25"/>
    <row r="122517" customFormat="1" x14ac:dyDescent="0.25"/>
    <row r="122518" customFormat="1" x14ac:dyDescent="0.25"/>
    <row r="122519" customFormat="1" x14ac:dyDescent="0.25"/>
    <row r="122520" customFormat="1" x14ac:dyDescent="0.25"/>
    <row r="122521" customFormat="1" x14ac:dyDescent="0.25"/>
    <row r="122522" customFormat="1" x14ac:dyDescent="0.25"/>
    <row r="122523" customFormat="1" x14ac:dyDescent="0.25"/>
    <row r="122524" customFormat="1" x14ac:dyDescent="0.25"/>
    <row r="122525" customFormat="1" x14ac:dyDescent="0.25"/>
    <row r="122526" customFormat="1" x14ac:dyDescent="0.25"/>
    <row r="122527" customFormat="1" x14ac:dyDescent="0.25"/>
    <row r="122528" customFormat="1" x14ac:dyDescent="0.25"/>
    <row r="122529" customFormat="1" x14ac:dyDescent="0.25"/>
    <row r="122530" customFormat="1" x14ac:dyDescent="0.25"/>
    <row r="122531" customFormat="1" x14ac:dyDescent="0.25"/>
    <row r="122532" customFormat="1" x14ac:dyDescent="0.25"/>
    <row r="122533" customFormat="1" x14ac:dyDescent="0.25"/>
    <row r="122534" customFormat="1" x14ac:dyDescent="0.25"/>
    <row r="122535" customFormat="1" x14ac:dyDescent="0.25"/>
    <row r="122536" customFormat="1" x14ac:dyDescent="0.25"/>
    <row r="122537" customFormat="1" x14ac:dyDescent="0.25"/>
    <row r="122538" customFormat="1" x14ac:dyDescent="0.25"/>
    <row r="122539" customFormat="1" x14ac:dyDescent="0.25"/>
    <row r="122540" customFormat="1" x14ac:dyDescent="0.25"/>
    <row r="122541" customFormat="1" x14ac:dyDescent="0.25"/>
    <row r="122542" customFormat="1" x14ac:dyDescent="0.25"/>
    <row r="122543" customFormat="1" x14ac:dyDescent="0.25"/>
    <row r="122544" customFormat="1" x14ac:dyDescent="0.25"/>
    <row r="122545" customFormat="1" x14ac:dyDescent="0.25"/>
    <row r="122546" customFormat="1" x14ac:dyDescent="0.25"/>
    <row r="122547" customFormat="1" x14ac:dyDescent="0.25"/>
    <row r="122548" customFormat="1" x14ac:dyDescent="0.25"/>
    <row r="122549" customFormat="1" x14ac:dyDescent="0.25"/>
    <row r="122550" customFormat="1" x14ac:dyDescent="0.25"/>
    <row r="122551" customFormat="1" x14ac:dyDescent="0.25"/>
    <row r="122552" customFormat="1" x14ac:dyDescent="0.25"/>
    <row r="122553" customFormat="1" x14ac:dyDescent="0.25"/>
    <row r="122554" customFormat="1" x14ac:dyDescent="0.25"/>
    <row r="122555" customFormat="1" x14ac:dyDescent="0.25"/>
    <row r="122556" customFormat="1" x14ac:dyDescent="0.25"/>
    <row r="122557" customFormat="1" x14ac:dyDescent="0.25"/>
    <row r="122558" customFormat="1" x14ac:dyDescent="0.25"/>
    <row r="122559" customFormat="1" x14ac:dyDescent="0.25"/>
    <row r="122560" customFormat="1" x14ac:dyDescent="0.25"/>
    <row r="122561" customFormat="1" x14ac:dyDescent="0.25"/>
    <row r="122562" customFormat="1" x14ac:dyDescent="0.25"/>
    <row r="122563" customFormat="1" x14ac:dyDescent="0.25"/>
    <row r="122564" customFormat="1" x14ac:dyDescent="0.25"/>
    <row r="122565" customFormat="1" x14ac:dyDescent="0.25"/>
    <row r="122566" customFormat="1" x14ac:dyDescent="0.25"/>
    <row r="122567" customFormat="1" x14ac:dyDescent="0.25"/>
    <row r="122568" customFormat="1" x14ac:dyDescent="0.25"/>
    <row r="122569" customFormat="1" x14ac:dyDescent="0.25"/>
    <row r="122570" customFormat="1" x14ac:dyDescent="0.25"/>
    <row r="122571" customFormat="1" x14ac:dyDescent="0.25"/>
    <row r="122572" customFormat="1" x14ac:dyDescent="0.25"/>
    <row r="122573" customFormat="1" x14ac:dyDescent="0.25"/>
    <row r="122574" customFormat="1" x14ac:dyDescent="0.25"/>
    <row r="122575" customFormat="1" x14ac:dyDescent="0.25"/>
    <row r="122576" customFormat="1" x14ac:dyDescent="0.25"/>
    <row r="122577" customFormat="1" x14ac:dyDescent="0.25"/>
    <row r="122578" customFormat="1" x14ac:dyDescent="0.25"/>
    <row r="122579" customFormat="1" x14ac:dyDescent="0.25"/>
    <row r="122580" customFormat="1" x14ac:dyDescent="0.25"/>
    <row r="122581" customFormat="1" x14ac:dyDescent="0.25"/>
    <row r="122582" customFormat="1" x14ac:dyDescent="0.25"/>
    <row r="122583" customFormat="1" x14ac:dyDescent="0.25"/>
    <row r="122584" customFormat="1" x14ac:dyDescent="0.25"/>
    <row r="122585" customFormat="1" x14ac:dyDescent="0.25"/>
    <row r="122586" customFormat="1" x14ac:dyDescent="0.25"/>
    <row r="122587" customFormat="1" x14ac:dyDescent="0.25"/>
    <row r="122588" customFormat="1" x14ac:dyDescent="0.25"/>
    <row r="122589" customFormat="1" x14ac:dyDescent="0.25"/>
    <row r="122590" customFormat="1" x14ac:dyDescent="0.25"/>
    <row r="122591" customFormat="1" x14ac:dyDescent="0.25"/>
    <row r="122592" customFormat="1" x14ac:dyDescent="0.25"/>
    <row r="122593" customFormat="1" x14ac:dyDescent="0.25"/>
    <row r="122594" customFormat="1" x14ac:dyDescent="0.25"/>
    <row r="122595" customFormat="1" x14ac:dyDescent="0.25"/>
    <row r="122596" customFormat="1" x14ac:dyDescent="0.25"/>
    <row r="122597" customFormat="1" x14ac:dyDescent="0.25"/>
    <row r="122598" customFormat="1" x14ac:dyDescent="0.25"/>
    <row r="122599" customFormat="1" x14ac:dyDescent="0.25"/>
    <row r="122600" customFormat="1" x14ac:dyDescent="0.25"/>
    <row r="122601" customFormat="1" x14ac:dyDescent="0.25"/>
    <row r="122602" customFormat="1" x14ac:dyDescent="0.25"/>
    <row r="122603" customFormat="1" x14ac:dyDescent="0.25"/>
    <row r="122604" customFormat="1" x14ac:dyDescent="0.25"/>
    <row r="122605" customFormat="1" x14ac:dyDescent="0.25"/>
    <row r="122606" customFormat="1" x14ac:dyDescent="0.25"/>
    <row r="122607" customFormat="1" x14ac:dyDescent="0.25"/>
    <row r="122608" customFormat="1" x14ac:dyDescent="0.25"/>
    <row r="122609" customFormat="1" x14ac:dyDescent="0.25"/>
    <row r="122610" customFormat="1" x14ac:dyDescent="0.25"/>
    <row r="122611" customFormat="1" x14ac:dyDescent="0.25"/>
    <row r="122612" customFormat="1" x14ac:dyDescent="0.25"/>
    <row r="122613" customFormat="1" x14ac:dyDescent="0.25"/>
    <row r="122614" customFormat="1" x14ac:dyDescent="0.25"/>
    <row r="122615" customFormat="1" x14ac:dyDescent="0.25"/>
    <row r="122616" customFormat="1" x14ac:dyDescent="0.25"/>
    <row r="122617" customFormat="1" x14ac:dyDescent="0.25"/>
    <row r="122618" customFormat="1" x14ac:dyDescent="0.25"/>
    <row r="122619" customFormat="1" x14ac:dyDescent="0.25"/>
    <row r="122620" customFormat="1" x14ac:dyDescent="0.25"/>
    <row r="122621" customFormat="1" x14ac:dyDescent="0.25"/>
    <row r="122622" customFormat="1" x14ac:dyDescent="0.25"/>
    <row r="122623" customFormat="1" x14ac:dyDescent="0.25"/>
    <row r="122624" customFormat="1" x14ac:dyDescent="0.25"/>
    <row r="122625" customFormat="1" x14ac:dyDescent="0.25"/>
    <row r="122626" customFormat="1" x14ac:dyDescent="0.25"/>
    <row r="122627" customFormat="1" x14ac:dyDescent="0.25"/>
    <row r="122628" customFormat="1" x14ac:dyDescent="0.25"/>
    <row r="122629" customFormat="1" x14ac:dyDescent="0.25"/>
    <row r="122630" customFormat="1" x14ac:dyDescent="0.25"/>
    <row r="122631" customFormat="1" x14ac:dyDescent="0.25"/>
    <row r="122632" customFormat="1" x14ac:dyDescent="0.25"/>
    <row r="122633" customFormat="1" x14ac:dyDescent="0.25"/>
    <row r="122634" customFormat="1" x14ac:dyDescent="0.25"/>
    <row r="122635" customFormat="1" x14ac:dyDescent="0.25"/>
    <row r="122636" customFormat="1" x14ac:dyDescent="0.25"/>
    <row r="122637" customFormat="1" x14ac:dyDescent="0.25"/>
    <row r="122638" customFormat="1" x14ac:dyDescent="0.25"/>
    <row r="122639" customFormat="1" x14ac:dyDescent="0.25"/>
    <row r="122640" customFormat="1" x14ac:dyDescent="0.25"/>
    <row r="122641" customFormat="1" x14ac:dyDescent="0.25"/>
    <row r="122642" customFormat="1" x14ac:dyDescent="0.25"/>
    <row r="122643" customFormat="1" x14ac:dyDescent="0.25"/>
    <row r="122644" customFormat="1" x14ac:dyDescent="0.25"/>
    <row r="122645" customFormat="1" x14ac:dyDescent="0.25"/>
    <row r="122646" customFormat="1" x14ac:dyDescent="0.25"/>
    <row r="122647" customFormat="1" x14ac:dyDescent="0.25"/>
    <row r="122648" customFormat="1" x14ac:dyDescent="0.25"/>
    <row r="122649" customFormat="1" x14ac:dyDescent="0.25"/>
    <row r="122650" customFormat="1" x14ac:dyDescent="0.25"/>
    <row r="122651" customFormat="1" x14ac:dyDescent="0.25"/>
    <row r="122652" customFormat="1" x14ac:dyDescent="0.25"/>
    <row r="122653" customFormat="1" x14ac:dyDescent="0.25"/>
    <row r="122654" customFormat="1" x14ac:dyDescent="0.25"/>
    <row r="122655" customFormat="1" x14ac:dyDescent="0.25"/>
    <row r="122656" customFormat="1" x14ac:dyDescent="0.25"/>
    <row r="122657" customFormat="1" x14ac:dyDescent="0.25"/>
    <row r="122658" customFormat="1" x14ac:dyDescent="0.25"/>
    <row r="122659" customFormat="1" x14ac:dyDescent="0.25"/>
    <row r="122660" customFormat="1" x14ac:dyDescent="0.25"/>
    <row r="122661" customFormat="1" x14ac:dyDescent="0.25"/>
    <row r="122662" customFormat="1" x14ac:dyDescent="0.25"/>
    <row r="122663" customFormat="1" x14ac:dyDescent="0.25"/>
    <row r="122664" customFormat="1" x14ac:dyDescent="0.25"/>
    <row r="122665" customFormat="1" x14ac:dyDescent="0.25"/>
    <row r="122666" customFormat="1" x14ac:dyDescent="0.25"/>
    <row r="122667" customFormat="1" x14ac:dyDescent="0.25"/>
    <row r="122668" customFormat="1" x14ac:dyDescent="0.25"/>
    <row r="122669" customFormat="1" x14ac:dyDescent="0.25"/>
    <row r="122670" customFormat="1" x14ac:dyDescent="0.25"/>
    <row r="122671" customFormat="1" x14ac:dyDescent="0.25"/>
    <row r="122672" customFormat="1" x14ac:dyDescent="0.25"/>
    <row r="122673" customFormat="1" x14ac:dyDescent="0.25"/>
    <row r="122674" customFormat="1" x14ac:dyDescent="0.25"/>
    <row r="122675" customFormat="1" x14ac:dyDescent="0.25"/>
    <row r="122676" customFormat="1" x14ac:dyDescent="0.25"/>
    <row r="122677" customFormat="1" x14ac:dyDescent="0.25"/>
    <row r="122678" customFormat="1" x14ac:dyDescent="0.25"/>
    <row r="122679" customFormat="1" x14ac:dyDescent="0.25"/>
    <row r="122680" customFormat="1" x14ac:dyDescent="0.25"/>
    <row r="122681" customFormat="1" x14ac:dyDescent="0.25"/>
    <row r="122682" customFormat="1" x14ac:dyDescent="0.25"/>
    <row r="122683" customFormat="1" x14ac:dyDescent="0.25"/>
    <row r="122684" customFormat="1" x14ac:dyDescent="0.25"/>
    <row r="122685" customFormat="1" x14ac:dyDescent="0.25"/>
    <row r="122686" customFormat="1" x14ac:dyDescent="0.25"/>
    <row r="122687" customFormat="1" x14ac:dyDescent="0.25"/>
    <row r="122688" customFormat="1" x14ac:dyDescent="0.25"/>
    <row r="122689" customFormat="1" x14ac:dyDescent="0.25"/>
    <row r="122690" customFormat="1" x14ac:dyDescent="0.25"/>
    <row r="122691" customFormat="1" x14ac:dyDescent="0.25"/>
    <row r="122692" customFormat="1" x14ac:dyDescent="0.25"/>
    <row r="122693" customFormat="1" x14ac:dyDescent="0.25"/>
    <row r="122694" customFormat="1" x14ac:dyDescent="0.25"/>
    <row r="122695" customFormat="1" x14ac:dyDescent="0.25"/>
    <row r="122696" customFormat="1" x14ac:dyDescent="0.25"/>
    <row r="122697" customFormat="1" x14ac:dyDescent="0.25"/>
    <row r="122698" customFormat="1" x14ac:dyDescent="0.25"/>
    <row r="122699" customFormat="1" x14ac:dyDescent="0.25"/>
    <row r="122700" customFormat="1" x14ac:dyDescent="0.25"/>
    <row r="122701" customFormat="1" x14ac:dyDescent="0.25"/>
    <row r="122702" customFormat="1" x14ac:dyDescent="0.25"/>
    <row r="122703" customFormat="1" x14ac:dyDescent="0.25"/>
    <row r="122704" customFormat="1" x14ac:dyDescent="0.25"/>
    <row r="122705" customFormat="1" x14ac:dyDescent="0.25"/>
    <row r="122706" customFormat="1" x14ac:dyDescent="0.25"/>
    <row r="122707" customFormat="1" x14ac:dyDescent="0.25"/>
    <row r="122708" customFormat="1" x14ac:dyDescent="0.25"/>
    <row r="122709" customFormat="1" x14ac:dyDescent="0.25"/>
    <row r="122710" customFormat="1" x14ac:dyDescent="0.25"/>
    <row r="122711" customFormat="1" x14ac:dyDescent="0.25"/>
    <row r="122712" customFormat="1" x14ac:dyDescent="0.25"/>
    <row r="122713" customFormat="1" x14ac:dyDescent="0.25"/>
    <row r="122714" customFormat="1" x14ac:dyDescent="0.25"/>
    <row r="122715" customFormat="1" x14ac:dyDescent="0.25"/>
    <row r="122716" customFormat="1" x14ac:dyDescent="0.25"/>
    <row r="122717" customFormat="1" x14ac:dyDescent="0.25"/>
    <row r="122718" customFormat="1" x14ac:dyDescent="0.25"/>
    <row r="122719" customFormat="1" x14ac:dyDescent="0.25"/>
    <row r="122720" customFormat="1" x14ac:dyDescent="0.25"/>
    <row r="122721" customFormat="1" x14ac:dyDescent="0.25"/>
    <row r="122722" customFormat="1" x14ac:dyDescent="0.25"/>
    <row r="122723" customFormat="1" x14ac:dyDescent="0.25"/>
    <row r="122724" customFormat="1" x14ac:dyDescent="0.25"/>
    <row r="122725" customFormat="1" x14ac:dyDescent="0.25"/>
    <row r="122726" customFormat="1" x14ac:dyDescent="0.25"/>
    <row r="122727" customFormat="1" x14ac:dyDescent="0.25"/>
    <row r="122728" customFormat="1" x14ac:dyDescent="0.25"/>
    <row r="122729" customFormat="1" x14ac:dyDescent="0.25"/>
    <row r="122730" customFormat="1" x14ac:dyDescent="0.25"/>
    <row r="122731" customFormat="1" x14ac:dyDescent="0.25"/>
    <row r="122732" customFormat="1" x14ac:dyDescent="0.25"/>
    <row r="122733" customFormat="1" x14ac:dyDescent="0.25"/>
    <row r="122734" customFormat="1" x14ac:dyDescent="0.25"/>
    <row r="122735" customFormat="1" x14ac:dyDescent="0.25"/>
    <row r="122736" customFormat="1" x14ac:dyDescent="0.25"/>
    <row r="122737" customFormat="1" x14ac:dyDescent="0.25"/>
    <row r="122738" customFormat="1" x14ac:dyDescent="0.25"/>
    <row r="122739" customFormat="1" x14ac:dyDescent="0.25"/>
    <row r="122740" customFormat="1" x14ac:dyDescent="0.25"/>
    <row r="122741" customFormat="1" x14ac:dyDescent="0.25"/>
    <row r="122742" customFormat="1" x14ac:dyDescent="0.25"/>
    <row r="122743" customFormat="1" x14ac:dyDescent="0.25"/>
    <row r="122744" customFormat="1" x14ac:dyDescent="0.25"/>
    <row r="122745" customFormat="1" x14ac:dyDescent="0.25"/>
    <row r="122746" customFormat="1" x14ac:dyDescent="0.25"/>
    <row r="122747" customFormat="1" x14ac:dyDescent="0.25"/>
    <row r="122748" customFormat="1" x14ac:dyDescent="0.25"/>
    <row r="122749" customFormat="1" x14ac:dyDescent="0.25"/>
    <row r="122750" customFormat="1" x14ac:dyDescent="0.25"/>
    <row r="122751" customFormat="1" x14ac:dyDescent="0.25"/>
    <row r="122752" customFormat="1" x14ac:dyDescent="0.25"/>
    <row r="122753" customFormat="1" x14ac:dyDescent="0.25"/>
    <row r="122754" customFormat="1" x14ac:dyDescent="0.25"/>
    <row r="122755" customFormat="1" x14ac:dyDescent="0.25"/>
    <row r="122756" customFormat="1" x14ac:dyDescent="0.25"/>
    <row r="122757" customFormat="1" x14ac:dyDescent="0.25"/>
    <row r="122758" customFormat="1" x14ac:dyDescent="0.25"/>
    <row r="122759" customFormat="1" x14ac:dyDescent="0.25"/>
    <row r="122760" customFormat="1" x14ac:dyDescent="0.25"/>
    <row r="122761" customFormat="1" x14ac:dyDescent="0.25"/>
    <row r="122762" customFormat="1" x14ac:dyDescent="0.25"/>
    <row r="122763" customFormat="1" x14ac:dyDescent="0.25"/>
    <row r="122764" customFormat="1" x14ac:dyDescent="0.25"/>
    <row r="122765" customFormat="1" x14ac:dyDescent="0.25"/>
    <row r="122766" customFormat="1" x14ac:dyDescent="0.25"/>
    <row r="122767" customFormat="1" x14ac:dyDescent="0.25"/>
    <row r="122768" customFormat="1" x14ac:dyDescent="0.25"/>
    <row r="122769" customFormat="1" x14ac:dyDescent="0.25"/>
    <row r="122770" customFormat="1" x14ac:dyDescent="0.25"/>
    <row r="122771" customFormat="1" x14ac:dyDescent="0.25"/>
    <row r="122772" customFormat="1" x14ac:dyDescent="0.25"/>
    <row r="122773" customFormat="1" x14ac:dyDescent="0.25"/>
    <row r="122774" customFormat="1" x14ac:dyDescent="0.25"/>
    <row r="122775" customFormat="1" x14ac:dyDescent="0.25"/>
    <row r="122776" customFormat="1" x14ac:dyDescent="0.25"/>
    <row r="122777" customFormat="1" x14ac:dyDescent="0.25"/>
    <row r="122778" customFormat="1" x14ac:dyDescent="0.25"/>
    <row r="122779" customFormat="1" x14ac:dyDescent="0.25"/>
    <row r="122780" customFormat="1" x14ac:dyDescent="0.25"/>
    <row r="122781" customFormat="1" x14ac:dyDescent="0.25"/>
    <row r="122782" customFormat="1" x14ac:dyDescent="0.25"/>
    <row r="122783" customFormat="1" x14ac:dyDescent="0.25"/>
    <row r="122784" customFormat="1" x14ac:dyDescent="0.25"/>
    <row r="122785" customFormat="1" x14ac:dyDescent="0.25"/>
    <row r="122786" customFormat="1" x14ac:dyDescent="0.25"/>
    <row r="122787" customFormat="1" x14ac:dyDescent="0.25"/>
    <row r="122788" customFormat="1" x14ac:dyDescent="0.25"/>
    <row r="122789" customFormat="1" x14ac:dyDescent="0.25"/>
    <row r="122790" customFormat="1" x14ac:dyDescent="0.25"/>
    <row r="122791" customFormat="1" x14ac:dyDescent="0.25"/>
    <row r="122792" customFormat="1" x14ac:dyDescent="0.25"/>
    <row r="122793" customFormat="1" x14ac:dyDescent="0.25"/>
    <row r="122794" customFormat="1" x14ac:dyDescent="0.25"/>
    <row r="122795" customFormat="1" x14ac:dyDescent="0.25"/>
    <row r="122796" customFormat="1" x14ac:dyDescent="0.25"/>
    <row r="122797" customFormat="1" x14ac:dyDescent="0.25"/>
    <row r="122798" customFormat="1" x14ac:dyDescent="0.25"/>
    <row r="122799" customFormat="1" x14ac:dyDescent="0.25"/>
    <row r="122800" customFormat="1" x14ac:dyDescent="0.25"/>
    <row r="122801" customFormat="1" x14ac:dyDescent="0.25"/>
    <row r="122802" customFormat="1" x14ac:dyDescent="0.25"/>
    <row r="122803" customFormat="1" x14ac:dyDescent="0.25"/>
    <row r="122804" customFormat="1" x14ac:dyDescent="0.25"/>
    <row r="122805" customFormat="1" x14ac:dyDescent="0.25"/>
    <row r="122806" customFormat="1" x14ac:dyDescent="0.25"/>
    <row r="122807" customFormat="1" x14ac:dyDescent="0.25"/>
    <row r="122808" customFormat="1" x14ac:dyDescent="0.25"/>
    <row r="122809" customFormat="1" x14ac:dyDescent="0.25"/>
    <row r="122810" customFormat="1" x14ac:dyDescent="0.25"/>
    <row r="122811" customFormat="1" x14ac:dyDescent="0.25"/>
    <row r="122812" customFormat="1" x14ac:dyDescent="0.25"/>
    <row r="122813" customFormat="1" x14ac:dyDescent="0.25"/>
    <row r="122814" customFormat="1" x14ac:dyDescent="0.25"/>
    <row r="122815" customFormat="1" x14ac:dyDescent="0.25"/>
    <row r="122816" customFormat="1" x14ac:dyDescent="0.25"/>
    <row r="122817" customFormat="1" x14ac:dyDescent="0.25"/>
    <row r="122818" customFormat="1" x14ac:dyDescent="0.25"/>
    <row r="122819" customFormat="1" x14ac:dyDescent="0.25"/>
    <row r="122820" customFormat="1" x14ac:dyDescent="0.25"/>
    <row r="122821" customFormat="1" x14ac:dyDescent="0.25"/>
    <row r="122822" customFormat="1" x14ac:dyDescent="0.25"/>
    <row r="122823" customFormat="1" x14ac:dyDescent="0.25"/>
    <row r="122824" customFormat="1" x14ac:dyDescent="0.25"/>
    <row r="122825" customFormat="1" x14ac:dyDescent="0.25"/>
    <row r="122826" customFormat="1" x14ac:dyDescent="0.25"/>
    <row r="122827" customFormat="1" x14ac:dyDescent="0.25"/>
    <row r="122828" customFormat="1" x14ac:dyDescent="0.25"/>
    <row r="122829" customFormat="1" x14ac:dyDescent="0.25"/>
    <row r="122830" customFormat="1" x14ac:dyDescent="0.25"/>
    <row r="122831" customFormat="1" x14ac:dyDescent="0.25"/>
    <row r="122832" customFormat="1" x14ac:dyDescent="0.25"/>
    <row r="122833" customFormat="1" x14ac:dyDescent="0.25"/>
    <row r="122834" customFormat="1" x14ac:dyDescent="0.25"/>
    <row r="122835" customFormat="1" x14ac:dyDescent="0.25"/>
    <row r="122836" customFormat="1" x14ac:dyDescent="0.25"/>
    <row r="122837" customFormat="1" x14ac:dyDescent="0.25"/>
    <row r="122838" customFormat="1" x14ac:dyDescent="0.25"/>
    <row r="122839" customFormat="1" x14ac:dyDescent="0.25"/>
    <row r="122840" customFormat="1" x14ac:dyDescent="0.25"/>
    <row r="122841" customFormat="1" x14ac:dyDescent="0.25"/>
    <row r="122842" customFormat="1" x14ac:dyDescent="0.25"/>
    <row r="122843" customFormat="1" x14ac:dyDescent="0.25"/>
    <row r="122844" customFormat="1" x14ac:dyDescent="0.25"/>
    <row r="122845" customFormat="1" x14ac:dyDescent="0.25"/>
    <row r="122846" customFormat="1" x14ac:dyDescent="0.25"/>
    <row r="122847" customFormat="1" x14ac:dyDescent="0.25"/>
    <row r="122848" customFormat="1" x14ac:dyDescent="0.25"/>
    <row r="122849" customFormat="1" x14ac:dyDescent="0.25"/>
    <row r="122850" customFormat="1" x14ac:dyDescent="0.25"/>
    <row r="122851" customFormat="1" x14ac:dyDescent="0.25"/>
    <row r="122852" customFormat="1" x14ac:dyDescent="0.25"/>
    <row r="122853" customFormat="1" x14ac:dyDescent="0.25"/>
    <row r="122854" customFormat="1" x14ac:dyDescent="0.25"/>
    <row r="122855" customFormat="1" x14ac:dyDescent="0.25"/>
    <row r="122856" customFormat="1" x14ac:dyDescent="0.25"/>
    <row r="122857" customFormat="1" x14ac:dyDescent="0.25"/>
    <row r="122858" customFormat="1" x14ac:dyDescent="0.25"/>
    <row r="122859" customFormat="1" x14ac:dyDescent="0.25"/>
    <row r="122860" customFormat="1" x14ac:dyDescent="0.25"/>
    <row r="122861" customFormat="1" x14ac:dyDescent="0.25"/>
    <row r="122862" customFormat="1" x14ac:dyDescent="0.25"/>
    <row r="122863" customFormat="1" x14ac:dyDescent="0.25"/>
    <row r="122864" customFormat="1" x14ac:dyDescent="0.25"/>
    <row r="122865" customFormat="1" x14ac:dyDescent="0.25"/>
    <row r="122866" customFormat="1" x14ac:dyDescent="0.25"/>
    <row r="122867" customFormat="1" x14ac:dyDescent="0.25"/>
    <row r="122868" customFormat="1" x14ac:dyDescent="0.25"/>
    <row r="122869" customFormat="1" x14ac:dyDescent="0.25"/>
    <row r="122870" customFormat="1" x14ac:dyDescent="0.25"/>
    <row r="122871" customFormat="1" x14ac:dyDescent="0.25"/>
    <row r="122872" customFormat="1" x14ac:dyDescent="0.25"/>
    <row r="122873" customFormat="1" x14ac:dyDescent="0.25"/>
    <row r="122874" customFormat="1" x14ac:dyDescent="0.25"/>
    <row r="122875" customFormat="1" x14ac:dyDescent="0.25"/>
    <row r="122876" customFormat="1" x14ac:dyDescent="0.25"/>
    <row r="122877" customFormat="1" x14ac:dyDescent="0.25"/>
    <row r="122878" customFormat="1" x14ac:dyDescent="0.25"/>
    <row r="122879" customFormat="1" x14ac:dyDescent="0.25"/>
    <row r="122880" customFormat="1" x14ac:dyDescent="0.25"/>
    <row r="122881" customFormat="1" x14ac:dyDescent="0.25"/>
    <row r="122882" customFormat="1" x14ac:dyDescent="0.25"/>
    <row r="122883" customFormat="1" x14ac:dyDescent="0.25"/>
    <row r="122884" customFormat="1" x14ac:dyDescent="0.25"/>
    <row r="122885" customFormat="1" x14ac:dyDescent="0.25"/>
    <row r="122886" customFormat="1" x14ac:dyDescent="0.25"/>
    <row r="122887" customFormat="1" x14ac:dyDescent="0.25"/>
    <row r="122888" customFormat="1" x14ac:dyDescent="0.25"/>
    <row r="122889" customFormat="1" x14ac:dyDescent="0.25"/>
    <row r="122890" customFormat="1" x14ac:dyDescent="0.25"/>
    <row r="122891" customFormat="1" x14ac:dyDescent="0.25"/>
    <row r="122892" customFormat="1" x14ac:dyDescent="0.25"/>
    <row r="122893" customFormat="1" x14ac:dyDescent="0.25"/>
    <row r="122894" customFormat="1" x14ac:dyDescent="0.25"/>
    <row r="122895" customFormat="1" x14ac:dyDescent="0.25"/>
    <row r="122896" customFormat="1" x14ac:dyDescent="0.25"/>
    <row r="122897" customFormat="1" x14ac:dyDescent="0.25"/>
    <row r="122898" customFormat="1" x14ac:dyDescent="0.25"/>
    <row r="122899" customFormat="1" x14ac:dyDescent="0.25"/>
    <row r="122900" customFormat="1" x14ac:dyDescent="0.25"/>
    <row r="122901" customFormat="1" x14ac:dyDescent="0.25"/>
    <row r="122902" customFormat="1" x14ac:dyDescent="0.25"/>
    <row r="122903" customFormat="1" x14ac:dyDescent="0.25"/>
    <row r="122904" customFormat="1" x14ac:dyDescent="0.25"/>
    <row r="122905" customFormat="1" x14ac:dyDescent="0.25"/>
    <row r="122906" customFormat="1" x14ac:dyDescent="0.25"/>
    <row r="122907" customFormat="1" x14ac:dyDescent="0.25"/>
    <row r="122908" customFormat="1" x14ac:dyDescent="0.25"/>
    <row r="122909" customFormat="1" x14ac:dyDescent="0.25"/>
    <row r="122910" customFormat="1" x14ac:dyDescent="0.25"/>
    <row r="122911" customFormat="1" x14ac:dyDescent="0.25"/>
    <row r="122912" customFormat="1" x14ac:dyDescent="0.25"/>
    <row r="122913" customFormat="1" x14ac:dyDescent="0.25"/>
    <row r="122914" customFormat="1" x14ac:dyDescent="0.25"/>
    <row r="122915" customFormat="1" x14ac:dyDescent="0.25"/>
    <row r="122916" customFormat="1" x14ac:dyDescent="0.25"/>
    <row r="122917" customFormat="1" x14ac:dyDescent="0.25"/>
    <row r="122918" customFormat="1" x14ac:dyDescent="0.25"/>
    <row r="122919" customFormat="1" x14ac:dyDescent="0.25"/>
    <row r="122920" customFormat="1" x14ac:dyDescent="0.25"/>
    <row r="122921" customFormat="1" x14ac:dyDescent="0.25"/>
    <row r="122922" customFormat="1" x14ac:dyDescent="0.25"/>
    <row r="122923" customFormat="1" x14ac:dyDescent="0.25"/>
    <row r="122924" customFormat="1" x14ac:dyDescent="0.25"/>
    <row r="122925" customFormat="1" x14ac:dyDescent="0.25"/>
    <row r="122926" customFormat="1" x14ac:dyDescent="0.25"/>
    <row r="122927" customFormat="1" x14ac:dyDescent="0.25"/>
    <row r="122928" customFormat="1" x14ac:dyDescent="0.25"/>
    <row r="122929" customFormat="1" x14ac:dyDescent="0.25"/>
    <row r="122930" customFormat="1" x14ac:dyDescent="0.25"/>
    <row r="122931" customFormat="1" x14ac:dyDescent="0.25"/>
    <row r="122932" customFormat="1" x14ac:dyDescent="0.25"/>
    <row r="122933" customFormat="1" x14ac:dyDescent="0.25"/>
    <row r="122934" customFormat="1" x14ac:dyDescent="0.25"/>
    <row r="122935" customFormat="1" x14ac:dyDescent="0.25"/>
    <row r="122936" customFormat="1" x14ac:dyDescent="0.25"/>
    <row r="122937" customFormat="1" x14ac:dyDescent="0.25"/>
    <row r="122938" customFormat="1" x14ac:dyDescent="0.25"/>
    <row r="122939" customFormat="1" x14ac:dyDescent="0.25"/>
    <row r="122940" customFormat="1" x14ac:dyDescent="0.25"/>
    <row r="122941" customFormat="1" x14ac:dyDescent="0.25"/>
    <row r="122942" customFormat="1" x14ac:dyDescent="0.25"/>
    <row r="122943" customFormat="1" x14ac:dyDescent="0.25"/>
    <row r="122944" customFormat="1" x14ac:dyDescent="0.25"/>
    <row r="122945" customFormat="1" x14ac:dyDescent="0.25"/>
    <row r="122946" customFormat="1" x14ac:dyDescent="0.25"/>
    <row r="122947" customFormat="1" x14ac:dyDescent="0.25"/>
    <row r="122948" customFormat="1" x14ac:dyDescent="0.25"/>
    <row r="122949" customFormat="1" x14ac:dyDescent="0.25"/>
    <row r="122950" customFormat="1" x14ac:dyDescent="0.25"/>
    <row r="122951" customFormat="1" x14ac:dyDescent="0.25"/>
    <row r="122952" customFormat="1" x14ac:dyDescent="0.25"/>
    <row r="122953" customFormat="1" x14ac:dyDescent="0.25"/>
    <row r="122954" customFormat="1" x14ac:dyDescent="0.25"/>
    <row r="122955" customFormat="1" x14ac:dyDescent="0.25"/>
    <row r="122956" customFormat="1" x14ac:dyDescent="0.25"/>
    <row r="122957" customFormat="1" x14ac:dyDescent="0.25"/>
    <row r="122958" customFormat="1" x14ac:dyDescent="0.25"/>
    <row r="122959" customFormat="1" x14ac:dyDescent="0.25"/>
    <row r="122960" customFormat="1" x14ac:dyDescent="0.25"/>
    <row r="122961" customFormat="1" x14ac:dyDescent="0.25"/>
    <row r="122962" customFormat="1" x14ac:dyDescent="0.25"/>
    <row r="122963" customFormat="1" x14ac:dyDescent="0.25"/>
    <row r="122964" customFormat="1" x14ac:dyDescent="0.25"/>
    <row r="122965" customFormat="1" x14ac:dyDescent="0.25"/>
    <row r="122966" customFormat="1" x14ac:dyDescent="0.25"/>
    <row r="122967" customFormat="1" x14ac:dyDescent="0.25"/>
    <row r="122968" customFormat="1" x14ac:dyDescent="0.25"/>
    <row r="122969" customFormat="1" x14ac:dyDescent="0.25"/>
    <row r="122970" customFormat="1" x14ac:dyDescent="0.25"/>
    <row r="122971" customFormat="1" x14ac:dyDescent="0.25"/>
    <row r="122972" customFormat="1" x14ac:dyDescent="0.25"/>
    <row r="122973" customFormat="1" x14ac:dyDescent="0.25"/>
    <row r="122974" customFormat="1" x14ac:dyDescent="0.25"/>
    <row r="122975" customFormat="1" x14ac:dyDescent="0.25"/>
    <row r="122976" customFormat="1" x14ac:dyDescent="0.25"/>
    <row r="122977" customFormat="1" x14ac:dyDescent="0.25"/>
    <row r="122978" customFormat="1" x14ac:dyDescent="0.25"/>
    <row r="122979" customFormat="1" x14ac:dyDescent="0.25"/>
    <row r="122980" customFormat="1" x14ac:dyDescent="0.25"/>
    <row r="122981" customFormat="1" x14ac:dyDescent="0.25"/>
    <row r="122982" customFormat="1" x14ac:dyDescent="0.25"/>
    <row r="122983" customFormat="1" x14ac:dyDescent="0.25"/>
    <row r="122984" customFormat="1" x14ac:dyDescent="0.25"/>
    <row r="122985" customFormat="1" x14ac:dyDescent="0.25"/>
    <row r="122986" customFormat="1" x14ac:dyDescent="0.25"/>
    <row r="122987" customFormat="1" x14ac:dyDescent="0.25"/>
    <row r="122988" customFormat="1" x14ac:dyDescent="0.25"/>
    <row r="122989" customFormat="1" x14ac:dyDescent="0.25"/>
    <row r="122990" customFormat="1" x14ac:dyDescent="0.25"/>
    <row r="122991" customFormat="1" x14ac:dyDescent="0.25"/>
    <row r="122992" customFormat="1" x14ac:dyDescent="0.25"/>
    <row r="122993" customFormat="1" x14ac:dyDescent="0.25"/>
    <row r="122994" customFormat="1" x14ac:dyDescent="0.25"/>
    <row r="122995" customFormat="1" x14ac:dyDescent="0.25"/>
    <row r="122996" customFormat="1" x14ac:dyDescent="0.25"/>
    <row r="122997" customFormat="1" x14ac:dyDescent="0.25"/>
    <row r="122998" customFormat="1" x14ac:dyDescent="0.25"/>
    <row r="122999" customFormat="1" x14ac:dyDescent="0.25"/>
    <row r="123000" customFormat="1" x14ac:dyDescent="0.25"/>
    <row r="123001" customFormat="1" x14ac:dyDescent="0.25"/>
    <row r="123002" customFormat="1" x14ac:dyDescent="0.25"/>
    <row r="123003" customFormat="1" x14ac:dyDescent="0.25"/>
    <row r="123004" customFormat="1" x14ac:dyDescent="0.25"/>
    <row r="123005" customFormat="1" x14ac:dyDescent="0.25"/>
    <row r="123006" customFormat="1" x14ac:dyDescent="0.25"/>
    <row r="123007" customFormat="1" x14ac:dyDescent="0.25"/>
    <row r="123008" customFormat="1" x14ac:dyDescent="0.25"/>
    <row r="123009" customFormat="1" x14ac:dyDescent="0.25"/>
    <row r="123010" customFormat="1" x14ac:dyDescent="0.25"/>
    <row r="123011" customFormat="1" x14ac:dyDescent="0.25"/>
    <row r="123012" customFormat="1" x14ac:dyDescent="0.25"/>
    <row r="123013" customFormat="1" x14ac:dyDescent="0.25"/>
    <row r="123014" customFormat="1" x14ac:dyDescent="0.25"/>
    <row r="123015" customFormat="1" x14ac:dyDescent="0.25"/>
    <row r="123016" customFormat="1" x14ac:dyDescent="0.25"/>
    <row r="123017" customFormat="1" x14ac:dyDescent="0.25"/>
    <row r="123018" customFormat="1" x14ac:dyDescent="0.25"/>
    <row r="123019" customFormat="1" x14ac:dyDescent="0.25"/>
    <row r="123020" customFormat="1" x14ac:dyDescent="0.25"/>
    <row r="123021" customFormat="1" x14ac:dyDescent="0.25"/>
    <row r="123022" customFormat="1" x14ac:dyDescent="0.25"/>
    <row r="123023" customFormat="1" x14ac:dyDescent="0.25"/>
    <row r="123024" customFormat="1" x14ac:dyDescent="0.25"/>
    <row r="123025" customFormat="1" x14ac:dyDescent="0.25"/>
    <row r="123026" customFormat="1" x14ac:dyDescent="0.25"/>
    <row r="123027" customFormat="1" x14ac:dyDescent="0.25"/>
    <row r="123028" customFormat="1" x14ac:dyDescent="0.25"/>
    <row r="123029" customFormat="1" x14ac:dyDescent="0.25"/>
    <row r="123030" customFormat="1" x14ac:dyDescent="0.25"/>
    <row r="123031" customFormat="1" x14ac:dyDescent="0.25"/>
    <row r="123032" customFormat="1" x14ac:dyDescent="0.25"/>
    <row r="123033" customFormat="1" x14ac:dyDescent="0.25"/>
    <row r="123034" customFormat="1" x14ac:dyDescent="0.25"/>
    <row r="123035" customFormat="1" x14ac:dyDescent="0.25"/>
    <row r="123036" customFormat="1" x14ac:dyDescent="0.25"/>
    <row r="123037" customFormat="1" x14ac:dyDescent="0.25"/>
    <row r="123038" customFormat="1" x14ac:dyDescent="0.25"/>
    <row r="123039" customFormat="1" x14ac:dyDescent="0.25"/>
    <row r="123040" customFormat="1" x14ac:dyDescent="0.25"/>
    <row r="123041" customFormat="1" x14ac:dyDescent="0.25"/>
    <row r="123042" customFormat="1" x14ac:dyDescent="0.25"/>
    <row r="123043" customFormat="1" x14ac:dyDescent="0.25"/>
    <row r="123044" customFormat="1" x14ac:dyDescent="0.25"/>
    <row r="123045" customFormat="1" x14ac:dyDescent="0.25"/>
    <row r="123046" customFormat="1" x14ac:dyDescent="0.25"/>
    <row r="123047" customFormat="1" x14ac:dyDescent="0.25"/>
    <row r="123048" customFormat="1" x14ac:dyDescent="0.25"/>
    <row r="123049" customFormat="1" x14ac:dyDescent="0.25"/>
    <row r="123050" customFormat="1" x14ac:dyDescent="0.25"/>
    <row r="123051" customFormat="1" x14ac:dyDescent="0.25"/>
    <row r="123052" customFormat="1" x14ac:dyDescent="0.25"/>
    <row r="123053" customFormat="1" x14ac:dyDescent="0.25"/>
    <row r="123054" customFormat="1" x14ac:dyDescent="0.25"/>
    <row r="123055" customFormat="1" x14ac:dyDescent="0.25"/>
    <row r="123056" customFormat="1" x14ac:dyDescent="0.25"/>
    <row r="123057" customFormat="1" x14ac:dyDescent="0.25"/>
    <row r="123058" customFormat="1" x14ac:dyDescent="0.25"/>
    <row r="123059" customFormat="1" x14ac:dyDescent="0.25"/>
    <row r="123060" customFormat="1" x14ac:dyDescent="0.25"/>
    <row r="123061" customFormat="1" x14ac:dyDescent="0.25"/>
    <row r="123062" customFormat="1" x14ac:dyDescent="0.25"/>
    <row r="123063" customFormat="1" x14ac:dyDescent="0.25"/>
    <row r="123064" customFormat="1" x14ac:dyDescent="0.25"/>
    <row r="123065" customFormat="1" x14ac:dyDescent="0.25"/>
    <row r="123066" customFormat="1" x14ac:dyDescent="0.25"/>
    <row r="123067" customFormat="1" x14ac:dyDescent="0.25"/>
    <row r="123068" customFormat="1" x14ac:dyDescent="0.25"/>
    <row r="123069" customFormat="1" x14ac:dyDescent="0.25"/>
    <row r="123070" customFormat="1" x14ac:dyDescent="0.25"/>
    <row r="123071" customFormat="1" x14ac:dyDescent="0.25"/>
    <row r="123072" customFormat="1" x14ac:dyDescent="0.25"/>
    <row r="123073" customFormat="1" x14ac:dyDescent="0.25"/>
    <row r="123074" customFormat="1" x14ac:dyDescent="0.25"/>
    <row r="123075" customFormat="1" x14ac:dyDescent="0.25"/>
    <row r="123076" customFormat="1" x14ac:dyDescent="0.25"/>
    <row r="123077" customFormat="1" x14ac:dyDescent="0.25"/>
    <row r="123078" customFormat="1" x14ac:dyDescent="0.25"/>
    <row r="123079" customFormat="1" x14ac:dyDescent="0.25"/>
    <row r="123080" customFormat="1" x14ac:dyDescent="0.25"/>
    <row r="123081" customFormat="1" x14ac:dyDescent="0.25"/>
    <row r="123082" customFormat="1" x14ac:dyDescent="0.25"/>
    <row r="123083" customFormat="1" x14ac:dyDescent="0.25"/>
    <row r="123084" customFormat="1" x14ac:dyDescent="0.25"/>
    <row r="123085" customFormat="1" x14ac:dyDescent="0.25"/>
    <row r="123086" customFormat="1" x14ac:dyDescent="0.25"/>
    <row r="123087" customFormat="1" x14ac:dyDescent="0.25"/>
    <row r="123088" customFormat="1" x14ac:dyDescent="0.25"/>
    <row r="123089" customFormat="1" x14ac:dyDescent="0.25"/>
    <row r="123090" customFormat="1" x14ac:dyDescent="0.25"/>
    <row r="123091" customFormat="1" x14ac:dyDescent="0.25"/>
    <row r="123092" customFormat="1" x14ac:dyDescent="0.25"/>
    <row r="123093" customFormat="1" x14ac:dyDescent="0.25"/>
    <row r="123094" customFormat="1" x14ac:dyDescent="0.25"/>
    <row r="123095" customFormat="1" x14ac:dyDescent="0.25"/>
    <row r="123096" customFormat="1" x14ac:dyDescent="0.25"/>
    <row r="123097" customFormat="1" x14ac:dyDescent="0.25"/>
    <row r="123098" customFormat="1" x14ac:dyDescent="0.25"/>
    <row r="123099" customFormat="1" x14ac:dyDescent="0.25"/>
    <row r="123100" customFormat="1" x14ac:dyDescent="0.25"/>
    <row r="123101" customFormat="1" x14ac:dyDescent="0.25"/>
    <row r="123102" customFormat="1" x14ac:dyDescent="0.25"/>
    <row r="123103" customFormat="1" x14ac:dyDescent="0.25"/>
    <row r="123104" customFormat="1" x14ac:dyDescent="0.25"/>
    <row r="123105" customFormat="1" x14ac:dyDescent="0.25"/>
    <row r="123106" customFormat="1" x14ac:dyDescent="0.25"/>
    <row r="123107" customFormat="1" x14ac:dyDescent="0.25"/>
    <row r="123108" customFormat="1" x14ac:dyDescent="0.25"/>
    <row r="123109" customFormat="1" x14ac:dyDescent="0.25"/>
    <row r="123110" customFormat="1" x14ac:dyDescent="0.25"/>
    <row r="123111" customFormat="1" x14ac:dyDescent="0.25"/>
    <row r="123112" customFormat="1" x14ac:dyDescent="0.25"/>
    <row r="123113" customFormat="1" x14ac:dyDescent="0.25"/>
    <row r="123114" customFormat="1" x14ac:dyDescent="0.25"/>
    <row r="123115" customFormat="1" x14ac:dyDescent="0.25"/>
    <row r="123116" customFormat="1" x14ac:dyDescent="0.25"/>
    <row r="123117" customFormat="1" x14ac:dyDescent="0.25"/>
    <row r="123118" customFormat="1" x14ac:dyDescent="0.25"/>
    <row r="123119" customFormat="1" x14ac:dyDescent="0.25"/>
    <row r="123120" customFormat="1" x14ac:dyDescent="0.25"/>
    <row r="123121" customFormat="1" x14ac:dyDescent="0.25"/>
    <row r="123122" customFormat="1" x14ac:dyDescent="0.25"/>
    <row r="123123" customFormat="1" x14ac:dyDescent="0.25"/>
    <row r="123124" customFormat="1" x14ac:dyDescent="0.25"/>
    <row r="123125" customFormat="1" x14ac:dyDescent="0.25"/>
    <row r="123126" customFormat="1" x14ac:dyDescent="0.25"/>
    <row r="123127" customFormat="1" x14ac:dyDescent="0.25"/>
    <row r="123128" customFormat="1" x14ac:dyDescent="0.25"/>
    <row r="123129" customFormat="1" x14ac:dyDescent="0.25"/>
    <row r="123130" customFormat="1" x14ac:dyDescent="0.25"/>
    <row r="123131" customFormat="1" x14ac:dyDescent="0.25"/>
    <row r="123132" customFormat="1" x14ac:dyDescent="0.25"/>
    <row r="123133" customFormat="1" x14ac:dyDescent="0.25"/>
    <row r="123134" customFormat="1" x14ac:dyDescent="0.25"/>
    <row r="123135" customFormat="1" x14ac:dyDescent="0.25"/>
    <row r="123136" customFormat="1" x14ac:dyDescent="0.25"/>
    <row r="123137" customFormat="1" x14ac:dyDescent="0.25"/>
    <row r="123138" customFormat="1" x14ac:dyDescent="0.25"/>
    <row r="123139" customFormat="1" x14ac:dyDescent="0.25"/>
    <row r="123140" customFormat="1" x14ac:dyDescent="0.25"/>
    <row r="123141" customFormat="1" x14ac:dyDescent="0.25"/>
    <row r="123142" customFormat="1" x14ac:dyDescent="0.25"/>
    <row r="123143" customFormat="1" x14ac:dyDescent="0.25"/>
    <row r="123144" customFormat="1" x14ac:dyDescent="0.25"/>
    <row r="123145" customFormat="1" x14ac:dyDescent="0.25"/>
    <row r="123146" customFormat="1" x14ac:dyDescent="0.25"/>
    <row r="123147" customFormat="1" x14ac:dyDescent="0.25"/>
    <row r="123148" customFormat="1" x14ac:dyDescent="0.25"/>
    <row r="123149" customFormat="1" x14ac:dyDescent="0.25"/>
    <row r="123150" customFormat="1" x14ac:dyDescent="0.25"/>
    <row r="123151" customFormat="1" x14ac:dyDescent="0.25"/>
    <row r="123152" customFormat="1" x14ac:dyDescent="0.25"/>
    <row r="123153" customFormat="1" x14ac:dyDescent="0.25"/>
    <row r="123154" customFormat="1" x14ac:dyDescent="0.25"/>
    <row r="123155" customFormat="1" x14ac:dyDescent="0.25"/>
    <row r="123156" customFormat="1" x14ac:dyDescent="0.25"/>
    <row r="123157" customFormat="1" x14ac:dyDescent="0.25"/>
    <row r="123158" customFormat="1" x14ac:dyDescent="0.25"/>
    <row r="123159" customFormat="1" x14ac:dyDescent="0.25"/>
    <row r="123160" customFormat="1" x14ac:dyDescent="0.25"/>
    <row r="123161" customFormat="1" x14ac:dyDescent="0.25"/>
    <row r="123162" customFormat="1" x14ac:dyDescent="0.25"/>
    <row r="123163" customFormat="1" x14ac:dyDescent="0.25"/>
    <row r="123164" customFormat="1" x14ac:dyDescent="0.25"/>
    <row r="123165" customFormat="1" x14ac:dyDescent="0.25"/>
    <row r="123166" customFormat="1" x14ac:dyDescent="0.25"/>
    <row r="123167" customFormat="1" x14ac:dyDescent="0.25"/>
    <row r="123168" customFormat="1" x14ac:dyDescent="0.25"/>
    <row r="123169" customFormat="1" x14ac:dyDescent="0.25"/>
    <row r="123170" customFormat="1" x14ac:dyDescent="0.25"/>
    <row r="123171" customFormat="1" x14ac:dyDescent="0.25"/>
    <row r="123172" customFormat="1" x14ac:dyDescent="0.25"/>
    <row r="123173" customFormat="1" x14ac:dyDescent="0.25"/>
    <row r="123174" customFormat="1" x14ac:dyDescent="0.25"/>
    <row r="123175" customFormat="1" x14ac:dyDescent="0.25"/>
    <row r="123176" customFormat="1" x14ac:dyDescent="0.25"/>
    <row r="123177" customFormat="1" x14ac:dyDescent="0.25"/>
    <row r="123178" customFormat="1" x14ac:dyDescent="0.25"/>
    <row r="123179" customFormat="1" x14ac:dyDescent="0.25"/>
    <row r="123180" customFormat="1" x14ac:dyDescent="0.25"/>
    <row r="123181" customFormat="1" x14ac:dyDescent="0.25"/>
    <row r="123182" customFormat="1" x14ac:dyDescent="0.25"/>
    <row r="123183" customFormat="1" x14ac:dyDescent="0.25"/>
    <row r="123184" customFormat="1" x14ac:dyDescent="0.25"/>
    <row r="123185" customFormat="1" x14ac:dyDescent="0.25"/>
    <row r="123186" customFormat="1" x14ac:dyDescent="0.25"/>
    <row r="123187" customFormat="1" x14ac:dyDescent="0.25"/>
    <row r="123188" customFormat="1" x14ac:dyDescent="0.25"/>
    <row r="123189" customFormat="1" x14ac:dyDescent="0.25"/>
    <row r="123190" customFormat="1" x14ac:dyDescent="0.25"/>
    <row r="123191" customFormat="1" x14ac:dyDescent="0.25"/>
    <row r="123192" customFormat="1" x14ac:dyDescent="0.25"/>
    <row r="123193" customFormat="1" x14ac:dyDescent="0.25"/>
    <row r="123194" customFormat="1" x14ac:dyDescent="0.25"/>
    <row r="123195" customFormat="1" x14ac:dyDescent="0.25"/>
    <row r="123196" customFormat="1" x14ac:dyDescent="0.25"/>
    <row r="123197" customFormat="1" x14ac:dyDescent="0.25"/>
    <row r="123198" customFormat="1" x14ac:dyDescent="0.25"/>
    <row r="123199" customFormat="1" x14ac:dyDescent="0.25"/>
    <row r="123200" customFormat="1" x14ac:dyDescent="0.25"/>
    <row r="123201" customFormat="1" x14ac:dyDescent="0.25"/>
    <row r="123202" customFormat="1" x14ac:dyDescent="0.25"/>
    <row r="123203" customFormat="1" x14ac:dyDescent="0.25"/>
    <row r="123204" customFormat="1" x14ac:dyDescent="0.25"/>
    <row r="123205" customFormat="1" x14ac:dyDescent="0.25"/>
    <row r="123206" customFormat="1" x14ac:dyDescent="0.25"/>
    <row r="123207" customFormat="1" x14ac:dyDescent="0.25"/>
    <row r="123208" customFormat="1" x14ac:dyDescent="0.25"/>
    <row r="123209" customFormat="1" x14ac:dyDescent="0.25"/>
    <row r="123210" customFormat="1" x14ac:dyDescent="0.25"/>
    <row r="123211" customFormat="1" x14ac:dyDescent="0.25"/>
    <row r="123212" customFormat="1" x14ac:dyDescent="0.25"/>
    <row r="123213" customFormat="1" x14ac:dyDescent="0.25"/>
    <row r="123214" customFormat="1" x14ac:dyDescent="0.25"/>
    <row r="123215" customFormat="1" x14ac:dyDescent="0.25"/>
    <row r="123216" customFormat="1" x14ac:dyDescent="0.25"/>
    <row r="123217" customFormat="1" x14ac:dyDescent="0.25"/>
    <row r="123218" customFormat="1" x14ac:dyDescent="0.25"/>
    <row r="123219" customFormat="1" x14ac:dyDescent="0.25"/>
    <row r="123220" customFormat="1" x14ac:dyDescent="0.25"/>
    <row r="123221" customFormat="1" x14ac:dyDescent="0.25"/>
    <row r="123222" customFormat="1" x14ac:dyDescent="0.25"/>
    <row r="123223" customFormat="1" x14ac:dyDescent="0.25"/>
    <row r="123224" customFormat="1" x14ac:dyDescent="0.25"/>
    <row r="123225" customFormat="1" x14ac:dyDescent="0.25"/>
    <row r="123226" customFormat="1" x14ac:dyDescent="0.25"/>
    <row r="123227" customFormat="1" x14ac:dyDescent="0.25"/>
    <row r="123228" customFormat="1" x14ac:dyDescent="0.25"/>
    <row r="123229" customFormat="1" x14ac:dyDescent="0.25"/>
    <row r="123230" customFormat="1" x14ac:dyDescent="0.25"/>
    <row r="123231" customFormat="1" x14ac:dyDescent="0.25"/>
    <row r="123232" customFormat="1" x14ac:dyDescent="0.25"/>
    <row r="123233" customFormat="1" x14ac:dyDescent="0.25"/>
    <row r="123234" customFormat="1" x14ac:dyDescent="0.25"/>
    <row r="123235" customFormat="1" x14ac:dyDescent="0.25"/>
    <row r="123236" customFormat="1" x14ac:dyDescent="0.25"/>
    <row r="123237" customFormat="1" x14ac:dyDescent="0.25"/>
    <row r="123238" customFormat="1" x14ac:dyDescent="0.25"/>
    <row r="123239" customFormat="1" x14ac:dyDescent="0.25"/>
    <row r="123240" customFormat="1" x14ac:dyDescent="0.25"/>
    <row r="123241" customFormat="1" x14ac:dyDescent="0.25"/>
    <row r="123242" customFormat="1" x14ac:dyDescent="0.25"/>
    <row r="123243" customFormat="1" x14ac:dyDescent="0.25"/>
    <row r="123244" customFormat="1" x14ac:dyDescent="0.25"/>
    <row r="123245" customFormat="1" x14ac:dyDescent="0.25"/>
    <row r="123246" customFormat="1" x14ac:dyDescent="0.25"/>
    <row r="123247" customFormat="1" x14ac:dyDescent="0.25"/>
    <row r="123248" customFormat="1" x14ac:dyDescent="0.25"/>
    <row r="123249" customFormat="1" x14ac:dyDescent="0.25"/>
    <row r="123250" customFormat="1" x14ac:dyDescent="0.25"/>
    <row r="123251" customFormat="1" x14ac:dyDescent="0.25"/>
    <row r="123252" customFormat="1" x14ac:dyDescent="0.25"/>
    <row r="123253" customFormat="1" x14ac:dyDescent="0.25"/>
    <row r="123254" customFormat="1" x14ac:dyDescent="0.25"/>
    <row r="123255" customFormat="1" x14ac:dyDescent="0.25"/>
    <row r="123256" customFormat="1" x14ac:dyDescent="0.25"/>
    <row r="123257" customFormat="1" x14ac:dyDescent="0.25"/>
    <row r="123258" customFormat="1" x14ac:dyDescent="0.25"/>
    <row r="123259" customFormat="1" x14ac:dyDescent="0.25"/>
    <row r="123260" customFormat="1" x14ac:dyDescent="0.25"/>
    <row r="123261" customFormat="1" x14ac:dyDescent="0.25"/>
    <row r="123262" customFormat="1" x14ac:dyDescent="0.25"/>
    <row r="123263" customFormat="1" x14ac:dyDescent="0.25"/>
    <row r="123264" customFormat="1" x14ac:dyDescent="0.25"/>
    <row r="123265" customFormat="1" x14ac:dyDescent="0.25"/>
    <row r="123266" customFormat="1" x14ac:dyDescent="0.25"/>
    <row r="123267" customFormat="1" x14ac:dyDescent="0.25"/>
    <row r="123268" customFormat="1" x14ac:dyDescent="0.25"/>
    <row r="123269" customFormat="1" x14ac:dyDescent="0.25"/>
    <row r="123270" customFormat="1" x14ac:dyDescent="0.25"/>
    <row r="123271" customFormat="1" x14ac:dyDescent="0.25"/>
    <row r="123272" customFormat="1" x14ac:dyDescent="0.25"/>
    <row r="123273" customFormat="1" x14ac:dyDescent="0.25"/>
    <row r="123274" customFormat="1" x14ac:dyDescent="0.25"/>
    <row r="123275" customFormat="1" x14ac:dyDescent="0.25"/>
    <row r="123276" customFormat="1" x14ac:dyDescent="0.25"/>
    <row r="123277" customFormat="1" x14ac:dyDescent="0.25"/>
    <row r="123278" customFormat="1" x14ac:dyDescent="0.25"/>
    <row r="123279" customFormat="1" x14ac:dyDescent="0.25"/>
    <row r="123280" customFormat="1" x14ac:dyDescent="0.25"/>
    <row r="123281" customFormat="1" x14ac:dyDescent="0.25"/>
    <row r="123282" customFormat="1" x14ac:dyDescent="0.25"/>
    <row r="123283" customFormat="1" x14ac:dyDescent="0.25"/>
    <row r="123284" customFormat="1" x14ac:dyDescent="0.25"/>
    <row r="123285" customFormat="1" x14ac:dyDescent="0.25"/>
    <row r="123286" customFormat="1" x14ac:dyDescent="0.25"/>
    <row r="123287" customFormat="1" x14ac:dyDescent="0.25"/>
    <row r="123288" customFormat="1" x14ac:dyDescent="0.25"/>
    <row r="123289" customFormat="1" x14ac:dyDescent="0.25"/>
    <row r="123290" customFormat="1" x14ac:dyDescent="0.25"/>
    <row r="123291" customFormat="1" x14ac:dyDescent="0.25"/>
    <row r="123292" customFormat="1" x14ac:dyDescent="0.25"/>
    <row r="123293" customFormat="1" x14ac:dyDescent="0.25"/>
    <row r="123294" customFormat="1" x14ac:dyDescent="0.25"/>
    <row r="123295" customFormat="1" x14ac:dyDescent="0.25"/>
    <row r="123296" customFormat="1" x14ac:dyDescent="0.25"/>
    <row r="123297" customFormat="1" x14ac:dyDescent="0.25"/>
    <row r="123298" customFormat="1" x14ac:dyDescent="0.25"/>
    <row r="123299" customFormat="1" x14ac:dyDescent="0.25"/>
    <row r="123300" customFormat="1" x14ac:dyDescent="0.25"/>
    <row r="123301" customFormat="1" x14ac:dyDescent="0.25"/>
    <row r="123302" customFormat="1" x14ac:dyDescent="0.25"/>
    <row r="123303" customFormat="1" x14ac:dyDescent="0.25"/>
    <row r="123304" customFormat="1" x14ac:dyDescent="0.25"/>
    <row r="123305" customFormat="1" x14ac:dyDescent="0.25"/>
    <row r="123306" customFormat="1" x14ac:dyDescent="0.25"/>
    <row r="123307" customFormat="1" x14ac:dyDescent="0.25"/>
    <row r="123308" customFormat="1" x14ac:dyDescent="0.25"/>
    <row r="123309" customFormat="1" x14ac:dyDescent="0.25"/>
    <row r="123310" customFormat="1" x14ac:dyDescent="0.25"/>
    <row r="123311" customFormat="1" x14ac:dyDescent="0.25"/>
    <row r="123312" customFormat="1" x14ac:dyDescent="0.25"/>
    <row r="123313" customFormat="1" x14ac:dyDescent="0.25"/>
    <row r="123314" customFormat="1" x14ac:dyDescent="0.25"/>
    <row r="123315" customFormat="1" x14ac:dyDescent="0.25"/>
    <row r="123316" customFormat="1" x14ac:dyDescent="0.25"/>
    <row r="123317" customFormat="1" x14ac:dyDescent="0.25"/>
    <row r="123318" customFormat="1" x14ac:dyDescent="0.25"/>
    <row r="123319" customFormat="1" x14ac:dyDescent="0.25"/>
    <row r="123320" customFormat="1" x14ac:dyDescent="0.25"/>
    <row r="123321" customFormat="1" x14ac:dyDescent="0.25"/>
    <row r="123322" customFormat="1" x14ac:dyDescent="0.25"/>
    <row r="123323" customFormat="1" x14ac:dyDescent="0.25"/>
    <row r="123324" customFormat="1" x14ac:dyDescent="0.25"/>
    <row r="123325" customFormat="1" x14ac:dyDescent="0.25"/>
    <row r="123326" customFormat="1" x14ac:dyDescent="0.25"/>
    <row r="123327" customFormat="1" x14ac:dyDescent="0.25"/>
    <row r="123328" customFormat="1" x14ac:dyDescent="0.25"/>
    <row r="123329" customFormat="1" x14ac:dyDescent="0.25"/>
    <row r="123330" customFormat="1" x14ac:dyDescent="0.25"/>
    <row r="123331" customFormat="1" x14ac:dyDescent="0.25"/>
    <row r="123332" customFormat="1" x14ac:dyDescent="0.25"/>
    <row r="123333" customFormat="1" x14ac:dyDescent="0.25"/>
    <row r="123334" customFormat="1" x14ac:dyDescent="0.25"/>
    <row r="123335" customFormat="1" x14ac:dyDescent="0.25"/>
    <row r="123336" customFormat="1" x14ac:dyDescent="0.25"/>
    <row r="123337" customFormat="1" x14ac:dyDescent="0.25"/>
    <row r="123338" customFormat="1" x14ac:dyDescent="0.25"/>
    <row r="123339" customFormat="1" x14ac:dyDescent="0.25"/>
    <row r="123340" customFormat="1" x14ac:dyDescent="0.25"/>
    <row r="123341" customFormat="1" x14ac:dyDescent="0.25"/>
    <row r="123342" customFormat="1" x14ac:dyDescent="0.25"/>
    <row r="123343" customFormat="1" x14ac:dyDescent="0.25"/>
    <row r="123344" customFormat="1" x14ac:dyDescent="0.25"/>
    <row r="123345" customFormat="1" x14ac:dyDescent="0.25"/>
    <row r="123346" customFormat="1" x14ac:dyDescent="0.25"/>
    <row r="123347" customFormat="1" x14ac:dyDescent="0.25"/>
    <row r="123348" customFormat="1" x14ac:dyDescent="0.25"/>
    <row r="123349" customFormat="1" x14ac:dyDescent="0.25"/>
    <row r="123350" customFormat="1" x14ac:dyDescent="0.25"/>
    <row r="123351" customFormat="1" x14ac:dyDescent="0.25"/>
    <row r="123352" customFormat="1" x14ac:dyDescent="0.25"/>
    <row r="123353" customFormat="1" x14ac:dyDescent="0.25"/>
    <row r="123354" customFormat="1" x14ac:dyDescent="0.25"/>
    <row r="123355" customFormat="1" x14ac:dyDescent="0.25"/>
    <row r="123356" customFormat="1" x14ac:dyDescent="0.25"/>
    <row r="123357" customFormat="1" x14ac:dyDescent="0.25"/>
    <row r="123358" customFormat="1" x14ac:dyDescent="0.25"/>
    <row r="123359" customFormat="1" x14ac:dyDescent="0.25"/>
    <row r="123360" customFormat="1" x14ac:dyDescent="0.25"/>
    <row r="123361" customFormat="1" x14ac:dyDescent="0.25"/>
    <row r="123362" customFormat="1" x14ac:dyDescent="0.25"/>
    <row r="123363" customFormat="1" x14ac:dyDescent="0.25"/>
    <row r="123364" customFormat="1" x14ac:dyDescent="0.25"/>
    <row r="123365" customFormat="1" x14ac:dyDescent="0.25"/>
    <row r="123366" customFormat="1" x14ac:dyDescent="0.25"/>
    <row r="123367" customFormat="1" x14ac:dyDescent="0.25"/>
    <row r="123368" customFormat="1" x14ac:dyDescent="0.25"/>
    <row r="123369" customFormat="1" x14ac:dyDescent="0.25"/>
    <row r="123370" customFormat="1" x14ac:dyDescent="0.25"/>
    <row r="123371" customFormat="1" x14ac:dyDescent="0.25"/>
    <row r="123372" customFormat="1" x14ac:dyDescent="0.25"/>
    <row r="123373" customFormat="1" x14ac:dyDescent="0.25"/>
    <row r="123374" customFormat="1" x14ac:dyDescent="0.25"/>
    <row r="123375" customFormat="1" x14ac:dyDescent="0.25"/>
    <row r="123376" customFormat="1" x14ac:dyDescent="0.25"/>
    <row r="123377" customFormat="1" x14ac:dyDescent="0.25"/>
    <row r="123378" customFormat="1" x14ac:dyDescent="0.25"/>
    <row r="123379" customFormat="1" x14ac:dyDescent="0.25"/>
    <row r="123380" customFormat="1" x14ac:dyDescent="0.25"/>
    <row r="123381" customFormat="1" x14ac:dyDescent="0.25"/>
    <row r="123382" customFormat="1" x14ac:dyDescent="0.25"/>
    <row r="123383" customFormat="1" x14ac:dyDescent="0.25"/>
    <row r="123384" customFormat="1" x14ac:dyDescent="0.25"/>
    <row r="123385" customFormat="1" x14ac:dyDescent="0.25"/>
    <row r="123386" customFormat="1" x14ac:dyDescent="0.25"/>
    <row r="123387" customFormat="1" x14ac:dyDescent="0.25"/>
    <row r="123388" customFormat="1" x14ac:dyDescent="0.25"/>
    <row r="123389" customFormat="1" x14ac:dyDescent="0.25"/>
    <row r="123390" customFormat="1" x14ac:dyDescent="0.25"/>
    <row r="123391" customFormat="1" x14ac:dyDescent="0.25"/>
    <row r="123392" customFormat="1" x14ac:dyDescent="0.25"/>
    <row r="123393" customFormat="1" x14ac:dyDescent="0.25"/>
    <row r="123394" customFormat="1" x14ac:dyDescent="0.25"/>
    <row r="123395" customFormat="1" x14ac:dyDescent="0.25"/>
    <row r="123396" customFormat="1" x14ac:dyDescent="0.25"/>
    <row r="123397" customFormat="1" x14ac:dyDescent="0.25"/>
    <row r="123398" customFormat="1" x14ac:dyDescent="0.25"/>
    <row r="123399" customFormat="1" x14ac:dyDescent="0.25"/>
    <row r="123400" customFormat="1" x14ac:dyDescent="0.25"/>
    <row r="123401" customFormat="1" x14ac:dyDescent="0.25"/>
    <row r="123402" customFormat="1" x14ac:dyDescent="0.25"/>
    <row r="123403" customFormat="1" x14ac:dyDescent="0.25"/>
    <row r="123404" customFormat="1" x14ac:dyDescent="0.25"/>
    <row r="123405" customFormat="1" x14ac:dyDescent="0.25"/>
    <row r="123406" customFormat="1" x14ac:dyDescent="0.25"/>
    <row r="123407" customFormat="1" x14ac:dyDescent="0.25"/>
    <row r="123408" customFormat="1" x14ac:dyDescent="0.25"/>
    <row r="123409" customFormat="1" x14ac:dyDescent="0.25"/>
    <row r="123410" customFormat="1" x14ac:dyDescent="0.25"/>
    <row r="123411" customFormat="1" x14ac:dyDescent="0.25"/>
    <row r="123412" customFormat="1" x14ac:dyDescent="0.25"/>
    <row r="123413" customFormat="1" x14ac:dyDescent="0.25"/>
    <row r="123414" customFormat="1" x14ac:dyDescent="0.25"/>
    <row r="123415" customFormat="1" x14ac:dyDescent="0.25"/>
    <row r="123416" customFormat="1" x14ac:dyDescent="0.25"/>
    <row r="123417" customFormat="1" x14ac:dyDescent="0.25"/>
    <row r="123418" customFormat="1" x14ac:dyDescent="0.25"/>
    <row r="123419" customFormat="1" x14ac:dyDescent="0.25"/>
    <row r="123420" customFormat="1" x14ac:dyDescent="0.25"/>
    <row r="123421" customFormat="1" x14ac:dyDescent="0.25"/>
    <row r="123422" customFormat="1" x14ac:dyDescent="0.25"/>
    <row r="123423" customFormat="1" x14ac:dyDescent="0.25"/>
    <row r="123424" customFormat="1" x14ac:dyDescent="0.25"/>
    <row r="123425" customFormat="1" x14ac:dyDescent="0.25"/>
    <row r="123426" customFormat="1" x14ac:dyDescent="0.25"/>
    <row r="123427" customFormat="1" x14ac:dyDescent="0.25"/>
    <row r="123428" customFormat="1" x14ac:dyDescent="0.25"/>
    <row r="123429" customFormat="1" x14ac:dyDescent="0.25"/>
    <row r="123430" customFormat="1" x14ac:dyDescent="0.25"/>
    <row r="123431" customFormat="1" x14ac:dyDescent="0.25"/>
    <row r="123432" customFormat="1" x14ac:dyDescent="0.25"/>
    <row r="123433" customFormat="1" x14ac:dyDescent="0.25"/>
    <row r="123434" customFormat="1" x14ac:dyDescent="0.25"/>
    <row r="123435" customFormat="1" x14ac:dyDescent="0.25"/>
    <row r="123436" customFormat="1" x14ac:dyDescent="0.25"/>
    <row r="123437" customFormat="1" x14ac:dyDescent="0.25"/>
    <row r="123438" customFormat="1" x14ac:dyDescent="0.25"/>
    <row r="123439" customFormat="1" x14ac:dyDescent="0.25"/>
    <row r="123440" customFormat="1" x14ac:dyDescent="0.25"/>
    <row r="123441" customFormat="1" x14ac:dyDescent="0.25"/>
    <row r="123442" customFormat="1" x14ac:dyDescent="0.25"/>
    <row r="123443" customFormat="1" x14ac:dyDescent="0.25"/>
    <row r="123444" customFormat="1" x14ac:dyDescent="0.25"/>
    <row r="123445" customFormat="1" x14ac:dyDescent="0.25"/>
    <row r="123446" customFormat="1" x14ac:dyDescent="0.25"/>
    <row r="123447" customFormat="1" x14ac:dyDescent="0.25"/>
    <row r="123448" customFormat="1" x14ac:dyDescent="0.25"/>
    <row r="123449" customFormat="1" x14ac:dyDescent="0.25"/>
    <row r="123450" customFormat="1" x14ac:dyDescent="0.25"/>
    <row r="123451" customFormat="1" x14ac:dyDescent="0.25"/>
    <row r="123452" customFormat="1" x14ac:dyDescent="0.25"/>
    <row r="123453" customFormat="1" x14ac:dyDescent="0.25"/>
    <row r="123454" customFormat="1" x14ac:dyDescent="0.25"/>
    <row r="123455" customFormat="1" x14ac:dyDescent="0.25"/>
    <row r="123456" customFormat="1" x14ac:dyDescent="0.25"/>
    <row r="123457" customFormat="1" x14ac:dyDescent="0.25"/>
    <row r="123458" customFormat="1" x14ac:dyDescent="0.25"/>
    <row r="123459" customFormat="1" x14ac:dyDescent="0.25"/>
    <row r="123460" customFormat="1" x14ac:dyDescent="0.25"/>
    <row r="123461" customFormat="1" x14ac:dyDescent="0.25"/>
    <row r="123462" customFormat="1" x14ac:dyDescent="0.25"/>
    <row r="123463" customFormat="1" x14ac:dyDescent="0.25"/>
    <row r="123464" customFormat="1" x14ac:dyDescent="0.25"/>
    <row r="123465" customFormat="1" x14ac:dyDescent="0.25"/>
    <row r="123466" customFormat="1" x14ac:dyDescent="0.25"/>
    <row r="123467" customFormat="1" x14ac:dyDescent="0.25"/>
    <row r="123468" customFormat="1" x14ac:dyDescent="0.25"/>
    <row r="123469" customFormat="1" x14ac:dyDescent="0.25"/>
    <row r="123470" customFormat="1" x14ac:dyDescent="0.25"/>
    <row r="123471" customFormat="1" x14ac:dyDescent="0.25"/>
    <row r="123472" customFormat="1" x14ac:dyDescent="0.25"/>
    <row r="123473" customFormat="1" x14ac:dyDescent="0.25"/>
    <row r="123474" customFormat="1" x14ac:dyDescent="0.25"/>
    <row r="123475" customFormat="1" x14ac:dyDescent="0.25"/>
    <row r="123476" customFormat="1" x14ac:dyDescent="0.25"/>
    <row r="123477" customFormat="1" x14ac:dyDescent="0.25"/>
    <row r="123478" customFormat="1" x14ac:dyDescent="0.25"/>
    <row r="123479" customFormat="1" x14ac:dyDescent="0.25"/>
    <row r="123480" customFormat="1" x14ac:dyDescent="0.25"/>
    <row r="123481" customFormat="1" x14ac:dyDescent="0.25"/>
    <row r="123482" customFormat="1" x14ac:dyDescent="0.25"/>
    <row r="123483" customFormat="1" x14ac:dyDescent="0.25"/>
    <row r="123484" customFormat="1" x14ac:dyDescent="0.25"/>
    <row r="123485" customFormat="1" x14ac:dyDescent="0.25"/>
    <row r="123486" customFormat="1" x14ac:dyDescent="0.25"/>
    <row r="123487" customFormat="1" x14ac:dyDescent="0.25"/>
    <row r="123488" customFormat="1" x14ac:dyDescent="0.25"/>
    <row r="123489" customFormat="1" x14ac:dyDescent="0.25"/>
    <row r="123490" customFormat="1" x14ac:dyDescent="0.25"/>
    <row r="123491" customFormat="1" x14ac:dyDescent="0.25"/>
    <row r="123492" customFormat="1" x14ac:dyDescent="0.25"/>
    <row r="123493" customFormat="1" x14ac:dyDescent="0.25"/>
    <row r="123494" customFormat="1" x14ac:dyDescent="0.25"/>
    <row r="123495" customFormat="1" x14ac:dyDescent="0.25"/>
    <row r="123496" customFormat="1" x14ac:dyDescent="0.25"/>
    <row r="123497" customFormat="1" x14ac:dyDescent="0.25"/>
    <row r="123498" customFormat="1" x14ac:dyDescent="0.25"/>
    <row r="123499" customFormat="1" x14ac:dyDescent="0.25"/>
    <row r="123500" customFormat="1" x14ac:dyDescent="0.25"/>
    <row r="123501" customFormat="1" x14ac:dyDescent="0.25"/>
    <row r="123502" customFormat="1" x14ac:dyDescent="0.25"/>
    <row r="123503" customFormat="1" x14ac:dyDescent="0.25"/>
    <row r="123504" customFormat="1" x14ac:dyDescent="0.25"/>
    <row r="123505" customFormat="1" x14ac:dyDescent="0.25"/>
    <row r="123506" customFormat="1" x14ac:dyDescent="0.25"/>
    <row r="123507" customFormat="1" x14ac:dyDescent="0.25"/>
    <row r="123508" customFormat="1" x14ac:dyDescent="0.25"/>
    <row r="123509" customFormat="1" x14ac:dyDescent="0.25"/>
    <row r="123510" customFormat="1" x14ac:dyDescent="0.25"/>
    <row r="123511" customFormat="1" x14ac:dyDescent="0.25"/>
    <row r="123512" customFormat="1" x14ac:dyDescent="0.25"/>
    <row r="123513" customFormat="1" x14ac:dyDescent="0.25"/>
    <row r="123514" customFormat="1" x14ac:dyDescent="0.25"/>
    <row r="123515" customFormat="1" x14ac:dyDescent="0.25"/>
    <row r="123516" customFormat="1" x14ac:dyDescent="0.25"/>
    <row r="123517" customFormat="1" x14ac:dyDescent="0.25"/>
    <row r="123518" customFormat="1" x14ac:dyDescent="0.25"/>
    <row r="123519" customFormat="1" x14ac:dyDescent="0.25"/>
    <row r="123520" customFormat="1" x14ac:dyDescent="0.25"/>
    <row r="123521" customFormat="1" x14ac:dyDescent="0.25"/>
    <row r="123522" customFormat="1" x14ac:dyDescent="0.25"/>
    <row r="123523" customFormat="1" x14ac:dyDescent="0.25"/>
    <row r="123524" customFormat="1" x14ac:dyDescent="0.25"/>
    <row r="123525" customFormat="1" x14ac:dyDescent="0.25"/>
    <row r="123526" customFormat="1" x14ac:dyDescent="0.25"/>
    <row r="123527" customFormat="1" x14ac:dyDescent="0.25"/>
    <row r="123528" customFormat="1" x14ac:dyDescent="0.25"/>
    <row r="123529" customFormat="1" x14ac:dyDescent="0.25"/>
    <row r="123530" customFormat="1" x14ac:dyDescent="0.25"/>
    <row r="123531" customFormat="1" x14ac:dyDescent="0.25"/>
    <row r="123532" customFormat="1" x14ac:dyDescent="0.25"/>
    <row r="123533" customFormat="1" x14ac:dyDescent="0.25"/>
    <row r="123534" customFormat="1" x14ac:dyDescent="0.25"/>
    <row r="123535" customFormat="1" x14ac:dyDescent="0.25"/>
    <row r="123536" customFormat="1" x14ac:dyDescent="0.25"/>
    <row r="123537" customFormat="1" x14ac:dyDescent="0.25"/>
    <row r="123538" customFormat="1" x14ac:dyDescent="0.25"/>
    <row r="123539" customFormat="1" x14ac:dyDescent="0.25"/>
    <row r="123540" customFormat="1" x14ac:dyDescent="0.25"/>
    <row r="123541" customFormat="1" x14ac:dyDescent="0.25"/>
    <row r="123542" customFormat="1" x14ac:dyDescent="0.25"/>
    <row r="123543" customFormat="1" x14ac:dyDescent="0.25"/>
    <row r="123544" customFormat="1" x14ac:dyDescent="0.25"/>
    <row r="123545" customFormat="1" x14ac:dyDescent="0.25"/>
    <row r="123546" customFormat="1" x14ac:dyDescent="0.25"/>
    <row r="123547" customFormat="1" x14ac:dyDescent="0.25"/>
    <row r="123548" customFormat="1" x14ac:dyDescent="0.25"/>
    <row r="123549" customFormat="1" x14ac:dyDescent="0.25"/>
    <row r="123550" customFormat="1" x14ac:dyDescent="0.25"/>
    <row r="123551" customFormat="1" x14ac:dyDescent="0.25"/>
    <row r="123552" customFormat="1" x14ac:dyDescent="0.25"/>
    <row r="123553" customFormat="1" x14ac:dyDescent="0.25"/>
    <row r="123554" customFormat="1" x14ac:dyDescent="0.25"/>
    <row r="123555" customFormat="1" x14ac:dyDescent="0.25"/>
    <row r="123556" customFormat="1" x14ac:dyDescent="0.25"/>
    <row r="123557" customFormat="1" x14ac:dyDescent="0.25"/>
    <row r="123558" customFormat="1" x14ac:dyDescent="0.25"/>
    <row r="123559" customFormat="1" x14ac:dyDescent="0.25"/>
    <row r="123560" customFormat="1" x14ac:dyDescent="0.25"/>
    <row r="123561" customFormat="1" x14ac:dyDescent="0.25"/>
    <row r="123562" customFormat="1" x14ac:dyDescent="0.25"/>
    <row r="123563" customFormat="1" x14ac:dyDescent="0.25"/>
    <row r="123564" customFormat="1" x14ac:dyDescent="0.25"/>
    <row r="123565" customFormat="1" x14ac:dyDescent="0.25"/>
    <row r="123566" customFormat="1" x14ac:dyDescent="0.25"/>
    <row r="123567" customFormat="1" x14ac:dyDescent="0.25"/>
    <row r="123568" customFormat="1" x14ac:dyDescent="0.25"/>
    <row r="123569" customFormat="1" x14ac:dyDescent="0.25"/>
    <row r="123570" customFormat="1" x14ac:dyDescent="0.25"/>
    <row r="123571" customFormat="1" x14ac:dyDescent="0.25"/>
    <row r="123572" customFormat="1" x14ac:dyDescent="0.25"/>
    <row r="123573" customFormat="1" x14ac:dyDescent="0.25"/>
    <row r="123574" customFormat="1" x14ac:dyDescent="0.25"/>
    <row r="123575" customFormat="1" x14ac:dyDescent="0.25"/>
    <row r="123576" customFormat="1" x14ac:dyDescent="0.25"/>
    <row r="123577" customFormat="1" x14ac:dyDescent="0.25"/>
    <row r="123578" customFormat="1" x14ac:dyDescent="0.25"/>
    <row r="123579" customFormat="1" x14ac:dyDescent="0.25"/>
    <row r="123580" customFormat="1" x14ac:dyDescent="0.25"/>
    <row r="123581" customFormat="1" x14ac:dyDescent="0.25"/>
    <row r="123582" customFormat="1" x14ac:dyDescent="0.25"/>
    <row r="123583" customFormat="1" x14ac:dyDescent="0.25"/>
    <row r="123584" customFormat="1" x14ac:dyDescent="0.25"/>
    <row r="123585" customFormat="1" x14ac:dyDescent="0.25"/>
    <row r="123586" customFormat="1" x14ac:dyDescent="0.25"/>
    <row r="123587" customFormat="1" x14ac:dyDescent="0.25"/>
    <row r="123588" customFormat="1" x14ac:dyDescent="0.25"/>
    <row r="123589" customFormat="1" x14ac:dyDescent="0.25"/>
    <row r="123590" customFormat="1" x14ac:dyDescent="0.25"/>
    <row r="123591" customFormat="1" x14ac:dyDescent="0.25"/>
    <row r="123592" customFormat="1" x14ac:dyDescent="0.25"/>
    <row r="123593" customFormat="1" x14ac:dyDescent="0.25"/>
    <row r="123594" customFormat="1" x14ac:dyDescent="0.25"/>
    <row r="123595" customFormat="1" x14ac:dyDescent="0.25"/>
    <row r="123596" customFormat="1" x14ac:dyDescent="0.25"/>
    <row r="123597" customFormat="1" x14ac:dyDescent="0.25"/>
    <row r="123598" customFormat="1" x14ac:dyDescent="0.25"/>
    <row r="123599" customFormat="1" x14ac:dyDescent="0.25"/>
    <row r="123600" customFormat="1" x14ac:dyDescent="0.25"/>
    <row r="123601" customFormat="1" x14ac:dyDescent="0.25"/>
    <row r="123602" customFormat="1" x14ac:dyDescent="0.25"/>
    <row r="123603" customFormat="1" x14ac:dyDescent="0.25"/>
    <row r="123604" customFormat="1" x14ac:dyDescent="0.25"/>
    <row r="123605" customFormat="1" x14ac:dyDescent="0.25"/>
    <row r="123606" customFormat="1" x14ac:dyDescent="0.25"/>
    <row r="123607" customFormat="1" x14ac:dyDescent="0.25"/>
    <row r="123608" customFormat="1" x14ac:dyDescent="0.25"/>
    <row r="123609" customFormat="1" x14ac:dyDescent="0.25"/>
    <row r="123610" customFormat="1" x14ac:dyDescent="0.25"/>
    <row r="123611" customFormat="1" x14ac:dyDescent="0.25"/>
    <row r="123612" customFormat="1" x14ac:dyDescent="0.25"/>
    <row r="123613" customFormat="1" x14ac:dyDescent="0.25"/>
    <row r="123614" customFormat="1" x14ac:dyDescent="0.25"/>
    <row r="123615" customFormat="1" x14ac:dyDescent="0.25"/>
    <row r="123616" customFormat="1" x14ac:dyDescent="0.25"/>
    <row r="123617" customFormat="1" x14ac:dyDescent="0.25"/>
    <row r="123618" customFormat="1" x14ac:dyDescent="0.25"/>
    <row r="123619" customFormat="1" x14ac:dyDescent="0.25"/>
    <row r="123620" customFormat="1" x14ac:dyDescent="0.25"/>
    <row r="123621" customFormat="1" x14ac:dyDescent="0.25"/>
    <row r="123622" customFormat="1" x14ac:dyDescent="0.25"/>
    <row r="123623" customFormat="1" x14ac:dyDescent="0.25"/>
    <row r="123624" customFormat="1" x14ac:dyDescent="0.25"/>
    <row r="123625" customFormat="1" x14ac:dyDescent="0.25"/>
    <row r="123626" customFormat="1" x14ac:dyDescent="0.25"/>
    <row r="123627" customFormat="1" x14ac:dyDescent="0.25"/>
    <row r="123628" customFormat="1" x14ac:dyDescent="0.25"/>
    <row r="123629" customFormat="1" x14ac:dyDescent="0.25"/>
    <row r="123630" customFormat="1" x14ac:dyDescent="0.25"/>
    <row r="123631" customFormat="1" x14ac:dyDescent="0.25"/>
    <row r="123632" customFormat="1" x14ac:dyDescent="0.25"/>
    <row r="123633" customFormat="1" x14ac:dyDescent="0.25"/>
    <row r="123634" customFormat="1" x14ac:dyDescent="0.25"/>
    <row r="123635" customFormat="1" x14ac:dyDescent="0.25"/>
    <row r="123636" customFormat="1" x14ac:dyDescent="0.25"/>
    <row r="123637" customFormat="1" x14ac:dyDescent="0.25"/>
    <row r="123638" customFormat="1" x14ac:dyDescent="0.25"/>
    <row r="123639" customFormat="1" x14ac:dyDescent="0.25"/>
    <row r="123640" customFormat="1" x14ac:dyDescent="0.25"/>
    <row r="123641" customFormat="1" x14ac:dyDescent="0.25"/>
    <row r="123642" customFormat="1" x14ac:dyDescent="0.25"/>
    <row r="123643" customFormat="1" x14ac:dyDescent="0.25"/>
    <row r="123644" customFormat="1" x14ac:dyDescent="0.25"/>
    <row r="123645" customFormat="1" x14ac:dyDescent="0.25"/>
    <row r="123646" customFormat="1" x14ac:dyDescent="0.25"/>
    <row r="123647" customFormat="1" x14ac:dyDescent="0.25"/>
    <row r="123648" customFormat="1" x14ac:dyDescent="0.25"/>
    <row r="123649" customFormat="1" x14ac:dyDescent="0.25"/>
    <row r="123650" customFormat="1" x14ac:dyDescent="0.25"/>
    <row r="123651" customFormat="1" x14ac:dyDescent="0.25"/>
    <row r="123652" customFormat="1" x14ac:dyDescent="0.25"/>
    <row r="123653" customFormat="1" x14ac:dyDescent="0.25"/>
    <row r="123654" customFormat="1" x14ac:dyDescent="0.25"/>
    <row r="123655" customFormat="1" x14ac:dyDescent="0.25"/>
    <row r="123656" customFormat="1" x14ac:dyDescent="0.25"/>
    <row r="123657" customFormat="1" x14ac:dyDescent="0.25"/>
    <row r="123658" customFormat="1" x14ac:dyDescent="0.25"/>
    <row r="123659" customFormat="1" x14ac:dyDescent="0.25"/>
    <row r="123660" customFormat="1" x14ac:dyDescent="0.25"/>
    <row r="123661" customFormat="1" x14ac:dyDescent="0.25"/>
    <row r="123662" customFormat="1" x14ac:dyDescent="0.25"/>
    <row r="123663" customFormat="1" x14ac:dyDescent="0.25"/>
    <row r="123664" customFormat="1" x14ac:dyDescent="0.25"/>
    <row r="123665" customFormat="1" x14ac:dyDescent="0.25"/>
    <row r="123666" customFormat="1" x14ac:dyDescent="0.25"/>
    <row r="123667" customFormat="1" x14ac:dyDescent="0.25"/>
    <row r="123668" customFormat="1" x14ac:dyDescent="0.25"/>
    <row r="123669" customFormat="1" x14ac:dyDescent="0.25"/>
    <row r="123670" customFormat="1" x14ac:dyDescent="0.25"/>
    <row r="123671" customFormat="1" x14ac:dyDescent="0.25"/>
    <row r="123672" customFormat="1" x14ac:dyDescent="0.25"/>
    <row r="123673" customFormat="1" x14ac:dyDescent="0.25"/>
    <row r="123674" customFormat="1" x14ac:dyDescent="0.25"/>
    <row r="123675" customFormat="1" x14ac:dyDescent="0.25"/>
    <row r="123676" customFormat="1" x14ac:dyDescent="0.25"/>
    <row r="123677" customFormat="1" x14ac:dyDescent="0.25"/>
    <row r="123678" customFormat="1" x14ac:dyDescent="0.25"/>
    <row r="123679" customFormat="1" x14ac:dyDescent="0.25"/>
    <row r="123680" customFormat="1" x14ac:dyDescent="0.25"/>
    <row r="123681" customFormat="1" x14ac:dyDescent="0.25"/>
    <row r="123682" customFormat="1" x14ac:dyDescent="0.25"/>
    <row r="123683" customFormat="1" x14ac:dyDescent="0.25"/>
    <row r="123684" customFormat="1" x14ac:dyDescent="0.25"/>
    <row r="123685" customFormat="1" x14ac:dyDescent="0.25"/>
    <row r="123686" customFormat="1" x14ac:dyDescent="0.25"/>
    <row r="123687" customFormat="1" x14ac:dyDescent="0.25"/>
    <row r="123688" customFormat="1" x14ac:dyDescent="0.25"/>
    <row r="123689" customFormat="1" x14ac:dyDescent="0.25"/>
    <row r="123690" customFormat="1" x14ac:dyDescent="0.25"/>
    <row r="123691" customFormat="1" x14ac:dyDescent="0.25"/>
    <row r="123692" customFormat="1" x14ac:dyDescent="0.25"/>
    <row r="123693" customFormat="1" x14ac:dyDescent="0.25"/>
    <row r="123694" customFormat="1" x14ac:dyDescent="0.25"/>
    <row r="123695" customFormat="1" x14ac:dyDescent="0.25"/>
    <row r="123696" customFormat="1" x14ac:dyDescent="0.25"/>
    <row r="123697" customFormat="1" x14ac:dyDescent="0.25"/>
    <row r="123698" customFormat="1" x14ac:dyDescent="0.25"/>
    <row r="123699" customFormat="1" x14ac:dyDescent="0.25"/>
    <row r="123700" customFormat="1" x14ac:dyDescent="0.25"/>
    <row r="123701" customFormat="1" x14ac:dyDescent="0.25"/>
    <row r="123702" customFormat="1" x14ac:dyDescent="0.25"/>
    <row r="123703" customFormat="1" x14ac:dyDescent="0.25"/>
    <row r="123704" customFormat="1" x14ac:dyDescent="0.25"/>
    <row r="123705" customFormat="1" x14ac:dyDescent="0.25"/>
    <row r="123706" customFormat="1" x14ac:dyDescent="0.25"/>
    <row r="123707" customFormat="1" x14ac:dyDescent="0.25"/>
    <row r="123708" customFormat="1" x14ac:dyDescent="0.25"/>
    <row r="123709" customFormat="1" x14ac:dyDescent="0.25"/>
    <row r="123710" customFormat="1" x14ac:dyDescent="0.25"/>
    <row r="123711" customFormat="1" x14ac:dyDescent="0.25"/>
    <row r="123712" customFormat="1" x14ac:dyDescent="0.25"/>
    <row r="123713" customFormat="1" x14ac:dyDescent="0.25"/>
    <row r="123714" customFormat="1" x14ac:dyDescent="0.25"/>
    <row r="123715" customFormat="1" x14ac:dyDescent="0.25"/>
    <row r="123716" customFormat="1" x14ac:dyDescent="0.25"/>
    <row r="123717" customFormat="1" x14ac:dyDescent="0.25"/>
    <row r="123718" customFormat="1" x14ac:dyDescent="0.25"/>
    <row r="123719" customFormat="1" x14ac:dyDescent="0.25"/>
    <row r="123720" customFormat="1" x14ac:dyDescent="0.25"/>
    <row r="123721" customFormat="1" x14ac:dyDescent="0.25"/>
    <row r="123722" customFormat="1" x14ac:dyDescent="0.25"/>
    <row r="123723" customFormat="1" x14ac:dyDescent="0.25"/>
    <row r="123724" customFormat="1" x14ac:dyDescent="0.25"/>
    <row r="123725" customFormat="1" x14ac:dyDescent="0.25"/>
    <row r="123726" customFormat="1" x14ac:dyDescent="0.25"/>
    <row r="123727" customFormat="1" x14ac:dyDescent="0.25"/>
    <row r="123728" customFormat="1" x14ac:dyDescent="0.25"/>
    <row r="123729" customFormat="1" x14ac:dyDescent="0.25"/>
    <row r="123730" customFormat="1" x14ac:dyDescent="0.25"/>
    <row r="123731" customFormat="1" x14ac:dyDescent="0.25"/>
    <row r="123732" customFormat="1" x14ac:dyDescent="0.25"/>
    <row r="123733" customFormat="1" x14ac:dyDescent="0.25"/>
    <row r="123734" customFormat="1" x14ac:dyDescent="0.25"/>
    <row r="123735" customFormat="1" x14ac:dyDescent="0.25"/>
    <row r="123736" customFormat="1" x14ac:dyDescent="0.25"/>
    <row r="123737" customFormat="1" x14ac:dyDescent="0.25"/>
    <row r="123738" customFormat="1" x14ac:dyDescent="0.25"/>
    <row r="123739" customFormat="1" x14ac:dyDescent="0.25"/>
    <row r="123740" customFormat="1" x14ac:dyDescent="0.25"/>
    <row r="123741" customFormat="1" x14ac:dyDescent="0.25"/>
    <row r="123742" customFormat="1" x14ac:dyDescent="0.25"/>
    <row r="123743" customFormat="1" x14ac:dyDescent="0.25"/>
    <row r="123744" customFormat="1" x14ac:dyDescent="0.25"/>
    <row r="123745" customFormat="1" x14ac:dyDescent="0.25"/>
    <row r="123746" customFormat="1" x14ac:dyDescent="0.25"/>
    <row r="123747" customFormat="1" x14ac:dyDescent="0.25"/>
    <row r="123748" customFormat="1" x14ac:dyDescent="0.25"/>
    <row r="123749" customFormat="1" x14ac:dyDescent="0.25"/>
    <row r="123750" customFormat="1" x14ac:dyDescent="0.25"/>
    <row r="123751" customFormat="1" x14ac:dyDescent="0.25"/>
    <row r="123752" customFormat="1" x14ac:dyDescent="0.25"/>
    <row r="123753" customFormat="1" x14ac:dyDescent="0.25"/>
    <row r="123754" customFormat="1" x14ac:dyDescent="0.25"/>
    <row r="123755" customFormat="1" x14ac:dyDescent="0.25"/>
    <row r="123756" customFormat="1" x14ac:dyDescent="0.25"/>
    <row r="123757" customFormat="1" x14ac:dyDescent="0.25"/>
    <row r="123758" customFormat="1" x14ac:dyDescent="0.25"/>
    <row r="123759" customFormat="1" x14ac:dyDescent="0.25"/>
    <row r="123760" customFormat="1" x14ac:dyDescent="0.25"/>
    <row r="123761" customFormat="1" x14ac:dyDescent="0.25"/>
    <row r="123762" customFormat="1" x14ac:dyDescent="0.25"/>
    <row r="123763" customFormat="1" x14ac:dyDescent="0.25"/>
    <row r="123764" customFormat="1" x14ac:dyDescent="0.25"/>
    <row r="123765" customFormat="1" x14ac:dyDescent="0.25"/>
    <row r="123766" customFormat="1" x14ac:dyDescent="0.25"/>
    <row r="123767" customFormat="1" x14ac:dyDescent="0.25"/>
    <row r="123768" customFormat="1" x14ac:dyDescent="0.25"/>
    <row r="123769" customFormat="1" x14ac:dyDescent="0.25"/>
    <row r="123770" customFormat="1" x14ac:dyDescent="0.25"/>
    <row r="123771" customFormat="1" x14ac:dyDescent="0.25"/>
    <row r="123772" customFormat="1" x14ac:dyDescent="0.25"/>
    <row r="123773" customFormat="1" x14ac:dyDescent="0.25"/>
    <row r="123774" customFormat="1" x14ac:dyDescent="0.25"/>
    <row r="123775" customFormat="1" x14ac:dyDescent="0.25"/>
    <row r="123776" customFormat="1" x14ac:dyDescent="0.25"/>
    <row r="123777" customFormat="1" x14ac:dyDescent="0.25"/>
    <row r="123778" customFormat="1" x14ac:dyDescent="0.25"/>
    <row r="123779" customFormat="1" x14ac:dyDescent="0.25"/>
    <row r="123780" customFormat="1" x14ac:dyDescent="0.25"/>
    <row r="123781" customFormat="1" x14ac:dyDescent="0.25"/>
    <row r="123782" customFormat="1" x14ac:dyDescent="0.25"/>
    <row r="123783" customFormat="1" x14ac:dyDescent="0.25"/>
    <row r="123784" customFormat="1" x14ac:dyDescent="0.25"/>
    <row r="123785" customFormat="1" x14ac:dyDescent="0.25"/>
    <row r="123786" customFormat="1" x14ac:dyDescent="0.25"/>
    <row r="123787" customFormat="1" x14ac:dyDescent="0.25"/>
    <row r="123788" customFormat="1" x14ac:dyDescent="0.25"/>
    <row r="123789" customFormat="1" x14ac:dyDescent="0.25"/>
    <row r="123790" customFormat="1" x14ac:dyDescent="0.25"/>
    <row r="123791" customFormat="1" x14ac:dyDescent="0.25"/>
    <row r="123792" customFormat="1" x14ac:dyDescent="0.25"/>
    <row r="123793" customFormat="1" x14ac:dyDescent="0.25"/>
    <row r="123794" customFormat="1" x14ac:dyDescent="0.25"/>
    <row r="123795" customFormat="1" x14ac:dyDescent="0.25"/>
    <row r="123796" customFormat="1" x14ac:dyDescent="0.25"/>
    <row r="123797" customFormat="1" x14ac:dyDescent="0.25"/>
    <row r="123798" customFormat="1" x14ac:dyDescent="0.25"/>
    <row r="123799" customFormat="1" x14ac:dyDescent="0.25"/>
    <row r="123800" customFormat="1" x14ac:dyDescent="0.25"/>
    <row r="123801" customFormat="1" x14ac:dyDescent="0.25"/>
    <row r="123802" customFormat="1" x14ac:dyDescent="0.25"/>
    <row r="123803" customFormat="1" x14ac:dyDescent="0.25"/>
    <row r="123804" customFormat="1" x14ac:dyDescent="0.25"/>
    <row r="123805" customFormat="1" x14ac:dyDescent="0.25"/>
    <row r="123806" customFormat="1" x14ac:dyDescent="0.25"/>
    <row r="123807" customFormat="1" x14ac:dyDescent="0.25"/>
    <row r="123808" customFormat="1" x14ac:dyDescent="0.25"/>
    <row r="123809" customFormat="1" x14ac:dyDescent="0.25"/>
    <row r="123810" customFormat="1" x14ac:dyDescent="0.25"/>
    <row r="123811" customFormat="1" x14ac:dyDescent="0.25"/>
    <row r="123812" customFormat="1" x14ac:dyDescent="0.25"/>
    <row r="123813" customFormat="1" x14ac:dyDescent="0.25"/>
    <row r="123814" customFormat="1" x14ac:dyDescent="0.25"/>
    <row r="123815" customFormat="1" x14ac:dyDescent="0.25"/>
    <row r="123816" customFormat="1" x14ac:dyDescent="0.25"/>
    <row r="123817" customFormat="1" x14ac:dyDescent="0.25"/>
    <row r="123818" customFormat="1" x14ac:dyDescent="0.25"/>
    <row r="123819" customFormat="1" x14ac:dyDescent="0.25"/>
    <row r="123820" customFormat="1" x14ac:dyDescent="0.25"/>
    <row r="123821" customFormat="1" x14ac:dyDescent="0.25"/>
    <row r="123822" customFormat="1" x14ac:dyDescent="0.25"/>
    <row r="123823" customFormat="1" x14ac:dyDescent="0.25"/>
    <row r="123824" customFormat="1" x14ac:dyDescent="0.25"/>
    <row r="123825" customFormat="1" x14ac:dyDescent="0.25"/>
    <row r="123826" customFormat="1" x14ac:dyDescent="0.25"/>
    <row r="123827" customFormat="1" x14ac:dyDescent="0.25"/>
    <row r="123828" customFormat="1" x14ac:dyDescent="0.25"/>
    <row r="123829" customFormat="1" x14ac:dyDescent="0.25"/>
    <row r="123830" customFormat="1" x14ac:dyDescent="0.25"/>
    <row r="123831" customFormat="1" x14ac:dyDescent="0.25"/>
    <row r="123832" customFormat="1" x14ac:dyDescent="0.25"/>
    <row r="123833" customFormat="1" x14ac:dyDescent="0.25"/>
    <row r="123834" customFormat="1" x14ac:dyDescent="0.25"/>
    <row r="123835" customFormat="1" x14ac:dyDescent="0.25"/>
    <row r="123836" customFormat="1" x14ac:dyDescent="0.25"/>
    <row r="123837" customFormat="1" x14ac:dyDescent="0.25"/>
    <row r="123838" customFormat="1" x14ac:dyDescent="0.25"/>
    <row r="123839" customFormat="1" x14ac:dyDescent="0.25"/>
    <row r="123840" customFormat="1" x14ac:dyDescent="0.25"/>
    <row r="123841" customFormat="1" x14ac:dyDescent="0.25"/>
    <row r="123842" customFormat="1" x14ac:dyDescent="0.25"/>
    <row r="123843" customFormat="1" x14ac:dyDescent="0.25"/>
    <row r="123844" customFormat="1" x14ac:dyDescent="0.25"/>
    <row r="123845" customFormat="1" x14ac:dyDescent="0.25"/>
    <row r="123846" customFormat="1" x14ac:dyDescent="0.25"/>
    <row r="123847" customFormat="1" x14ac:dyDescent="0.25"/>
    <row r="123848" customFormat="1" x14ac:dyDescent="0.25"/>
    <row r="123849" customFormat="1" x14ac:dyDescent="0.25"/>
    <row r="123850" customFormat="1" x14ac:dyDescent="0.25"/>
    <row r="123851" customFormat="1" x14ac:dyDescent="0.25"/>
    <row r="123852" customFormat="1" x14ac:dyDescent="0.25"/>
    <row r="123853" customFormat="1" x14ac:dyDescent="0.25"/>
    <row r="123854" customFormat="1" x14ac:dyDescent="0.25"/>
    <row r="123855" customFormat="1" x14ac:dyDescent="0.25"/>
    <row r="123856" customFormat="1" x14ac:dyDescent="0.25"/>
    <row r="123857" customFormat="1" x14ac:dyDescent="0.25"/>
    <row r="123858" customFormat="1" x14ac:dyDescent="0.25"/>
    <row r="123859" customFormat="1" x14ac:dyDescent="0.25"/>
    <row r="123860" customFormat="1" x14ac:dyDescent="0.25"/>
    <row r="123861" customFormat="1" x14ac:dyDescent="0.25"/>
    <row r="123862" customFormat="1" x14ac:dyDescent="0.25"/>
    <row r="123863" customFormat="1" x14ac:dyDescent="0.25"/>
    <row r="123864" customFormat="1" x14ac:dyDescent="0.25"/>
    <row r="123865" customFormat="1" x14ac:dyDescent="0.25"/>
    <row r="123866" customFormat="1" x14ac:dyDescent="0.25"/>
    <row r="123867" customFormat="1" x14ac:dyDescent="0.25"/>
    <row r="123868" customFormat="1" x14ac:dyDescent="0.25"/>
    <row r="123869" customFormat="1" x14ac:dyDescent="0.25"/>
    <row r="123870" customFormat="1" x14ac:dyDescent="0.25"/>
    <row r="123871" customFormat="1" x14ac:dyDescent="0.25"/>
    <row r="123872" customFormat="1" x14ac:dyDescent="0.25"/>
    <row r="123873" customFormat="1" x14ac:dyDescent="0.25"/>
    <row r="123874" customFormat="1" x14ac:dyDescent="0.25"/>
    <row r="123875" customFormat="1" x14ac:dyDescent="0.25"/>
    <row r="123876" customFormat="1" x14ac:dyDescent="0.25"/>
    <row r="123877" customFormat="1" x14ac:dyDescent="0.25"/>
    <row r="123878" customFormat="1" x14ac:dyDescent="0.25"/>
    <row r="123879" customFormat="1" x14ac:dyDescent="0.25"/>
    <row r="123880" customFormat="1" x14ac:dyDescent="0.25"/>
    <row r="123881" customFormat="1" x14ac:dyDescent="0.25"/>
    <row r="123882" customFormat="1" x14ac:dyDescent="0.25"/>
    <row r="123883" customFormat="1" x14ac:dyDescent="0.25"/>
    <row r="123884" customFormat="1" x14ac:dyDescent="0.25"/>
    <row r="123885" customFormat="1" x14ac:dyDescent="0.25"/>
    <row r="123886" customFormat="1" x14ac:dyDescent="0.25"/>
    <row r="123887" customFormat="1" x14ac:dyDescent="0.25"/>
    <row r="123888" customFormat="1" x14ac:dyDescent="0.25"/>
    <row r="123889" customFormat="1" x14ac:dyDescent="0.25"/>
    <row r="123890" customFormat="1" x14ac:dyDescent="0.25"/>
    <row r="123891" customFormat="1" x14ac:dyDescent="0.25"/>
    <row r="123892" customFormat="1" x14ac:dyDescent="0.25"/>
    <row r="123893" customFormat="1" x14ac:dyDescent="0.25"/>
    <row r="123894" customFormat="1" x14ac:dyDescent="0.25"/>
    <row r="123895" customFormat="1" x14ac:dyDescent="0.25"/>
    <row r="123896" customFormat="1" x14ac:dyDescent="0.25"/>
    <row r="123897" customFormat="1" x14ac:dyDescent="0.25"/>
    <row r="123898" customFormat="1" x14ac:dyDescent="0.25"/>
    <row r="123899" customFormat="1" x14ac:dyDescent="0.25"/>
    <row r="123900" customFormat="1" x14ac:dyDescent="0.25"/>
    <row r="123901" customFormat="1" x14ac:dyDescent="0.25"/>
    <row r="123902" customFormat="1" x14ac:dyDescent="0.25"/>
    <row r="123903" customFormat="1" x14ac:dyDescent="0.25"/>
    <row r="123904" customFormat="1" x14ac:dyDescent="0.25"/>
    <row r="123905" customFormat="1" x14ac:dyDescent="0.25"/>
    <row r="123906" customFormat="1" x14ac:dyDescent="0.25"/>
    <row r="123907" customFormat="1" x14ac:dyDescent="0.25"/>
    <row r="123908" customFormat="1" x14ac:dyDescent="0.25"/>
    <row r="123909" customFormat="1" x14ac:dyDescent="0.25"/>
    <row r="123910" customFormat="1" x14ac:dyDescent="0.25"/>
    <row r="123911" customFormat="1" x14ac:dyDescent="0.25"/>
    <row r="123912" customFormat="1" x14ac:dyDescent="0.25"/>
    <row r="123913" customFormat="1" x14ac:dyDescent="0.25"/>
    <row r="123914" customFormat="1" x14ac:dyDescent="0.25"/>
    <row r="123915" customFormat="1" x14ac:dyDescent="0.25"/>
    <row r="123916" customFormat="1" x14ac:dyDescent="0.25"/>
    <row r="123917" customFormat="1" x14ac:dyDescent="0.25"/>
    <row r="123918" customFormat="1" x14ac:dyDescent="0.25"/>
    <row r="123919" customFormat="1" x14ac:dyDescent="0.25"/>
    <row r="123920" customFormat="1" x14ac:dyDescent="0.25"/>
    <row r="123921" customFormat="1" x14ac:dyDescent="0.25"/>
    <row r="123922" customFormat="1" x14ac:dyDescent="0.25"/>
    <row r="123923" customFormat="1" x14ac:dyDescent="0.25"/>
    <row r="123924" customFormat="1" x14ac:dyDescent="0.25"/>
    <row r="123925" customFormat="1" x14ac:dyDescent="0.25"/>
    <row r="123926" customFormat="1" x14ac:dyDescent="0.25"/>
    <row r="123927" customFormat="1" x14ac:dyDescent="0.25"/>
    <row r="123928" customFormat="1" x14ac:dyDescent="0.25"/>
    <row r="123929" customFormat="1" x14ac:dyDescent="0.25"/>
    <row r="123930" customFormat="1" x14ac:dyDescent="0.25"/>
    <row r="123931" customFormat="1" x14ac:dyDescent="0.25"/>
    <row r="123932" customFormat="1" x14ac:dyDescent="0.25"/>
    <row r="123933" customFormat="1" x14ac:dyDescent="0.25"/>
    <row r="123934" customFormat="1" x14ac:dyDescent="0.25"/>
    <row r="123935" customFormat="1" x14ac:dyDescent="0.25"/>
    <row r="123936" customFormat="1" x14ac:dyDescent="0.25"/>
    <row r="123937" customFormat="1" x14ac:dyDescent="0.25"/>
    <row r="123938" customFormat="1" x14ac:dyDescent="0.25"/>
    <row r="123939" customFormat="1" x14ac:dyDescent="0.25"/>
    <row r="123940" customFormat="1" x14ac:dyDescent="0.25"/>
    <row r="123941" customFormat="1" x14ac:dyDescent="0.25"/>
    <row r="123942" customFormat="1" x14ac:dyDescent="0.25"/>
    <row r="123943" customFormat="1" x14ac:dyDescent="0.25"/>
    <row r="123944" customFormat="1" x14ac:dyDescent="0.25"/>
    <row r="123945" customFormat="1" x14ac:dyDescent="0.25"/>
    <row r="123946" customFormat="1" x14ac:dyDescent="0.25"/>
    <row r="123947" customFormat="1" x14ac:dyDescent="0.25"/>
    <row r="123948" customFormat="1" x14ac:dyDescent="0.25"/>
    <row r="123949" customFormat="1" x14ac:dyDescent="0.25"/>
    <row r="123950" customFormat="1" x14ac:dyDescent="0.25"/>
    <row r="123951" customFormat="1" x14ac:dyDescent="0.25"/>
    <row r="123952" customFormat="1" x14ac:dyDescent="0.25"/>
    <row r="123953" customFormat="1" x14ac:dyDescent="0.25"/>
    <row r="123954" customFormat="1" x14ac:dyDescent="0.25"/>
    <row r="123955" customFormat="1" x14ac:dyDescent="0.25"/>
    <row r="123956" customFormat="1" x14ac:dyDescent="0.25"/>
    <row r="123957" customFormat="1" x14ac:dyDescent="0.25"/>
    <row r="123958" customFormat="1" x14ac:dyDescent="0.25"/>
    <row r="123959" customFormat="1" x14ac:dyDescent="0.25"/>
    <row r="123960" customFormat="1" x14ac:dyDescent="0.25"/>
    <row r="123961" customFormat="1" x14ac:dyDescent="0.25"/>
    <row r="123962" customFormat="1" x14ac:dyDescent="0.25"/>
    <row r="123963" customFormat="1" x14ac:dyDescent="0.25"/>
    <row r="123964" customFormat="1" x14ac:dyDescent="0.25"/>
    <row r="123965" customFormat="1" x14ac:dyDescent="0.25"/>
    <row r="123966" customFormat="1" x14ac:dyDescent="0.25"/>
    <row r="123967" customFormat="1" x14ac:dyDescent="0.25"/>
    <row r="123968" customFormat="1" x14ac:dyDescent="0.25"/>
    <row r="123969" customFormat="1" x14ac:dyDescent="0.25"/>
    <row r="123970" customFormat="1" x14ac:dyDescent="0.25"/>
    <row r="123971" customFormat="1" x14ac:dyDescent="0.25"/>
    <row r="123972" customFormat="1" x14ac:dyDescent="0.25"/>
    <row r="123973" customFormat="1" x14ac:dyDescent="0.25"/>
    <row r="123974" customFormat="1" x14ac:dyDescent="0.25"/>
    <row r="123975" customFormat="1" x14ac:dyDescent="0.25"/>
    <row r="123976" customFormat="1" x14ac:dyDescent="0.25"/>
    <row r="123977" customFormat="1" x14ac:dyDescent="0.25"/>
    <row r="123978" customFormat="1" x14ac:dyDescent="0.25"/>
    <row r="123979" customFormat="1" x14ac:dyDescent="0.25"/>
    <row r="123980" customFormat="1" x14ac:dyDescent="0.25"/>
    <row r="123981" customFormat="1" x14ac:dyDescent="0.25"/>
    <row r="123982" customFormat="1" x14ac:dyDescent="0.25"/>
    <row r="123983" customFormat="1" x14ac:dyDescent="0.25"/>
    <row r="123984" customFormat="1" x14ac:dyDescent="0.25"/>
    <row r="123985" customFormat="1" x14ac:dyDescent="0.25"/>
    <row r="123986" customFormat="1" x14ac:dyDescent="0.25"/>
    <row r="123987" customFormat="1" x14ac:dyDescent="0.25"/>
    <row r="123988" customFormat="1" x14ac:dyDescent="0.25"/>
    <row r="123989" customFormat="1" x14ac:dyDescent="0.25"/>
    <row r="123990" customFormat="1" x14ac:dyDescent="0.25"/>
    <row r="123991" customFormat="1" x14ac:dyDescent="0.25"/>
    <row r="123992" customFormat="1" x14ac:dyDescent="0.25"/>
    <row r="123993" customFormat="1" x14ac:dyDescent="0.25"/>
    <row r="123994" customFormat="1" x14ac:dyDescent="0.25"/>
    <row r="123995" customFormat="1" x14ac:dyDescent="0.25"/>
    <row r="123996" customFormat="1" x14ac:dyDescent="0.25"/>
    <row r="123997" customFormat="1" x14ac:dyDescent="0.25"/>
    <row r="123998" customFormat="1" x14ac:dyDescent="0.25"/>
    <row r="123999" customFormat="1" x14ac:dyDescent="0.25"/>
    <row r="124000" customFormat="1" x14ac:dyDescent="0.25"/>
    <row r="124001" customFormat="1" x14ac:dyDescent="0.25"/>
    <row r="124002" customFormat="1" x14ac:dyDescent="0.25"/>
    <row r="124003" customFormat="1" x14ac:dyDescent="0.25"/>
    <row r="124004" customFormat="1" x14ac:dyDescent="0.25"/>
    <row r="124005" customFormat="1" x14ac:dyDescent="0.25"/>
    <row r="124006" customFormat="1" x14ac:dyDescent="0.25"/>
    <row r="124007" customFormat="1" x14ac:dyDescent="0.25"/>
    <row r="124008" customFormat="1" x14ac:dyDescent="0.25"/>
    <row r="124009" customFormat="1" x14ac:dyDescent="0.25"/>
    <row r="124010" customFormat="1" x14ac:dyDescent="0.25"/>
    <row r="124011" customFormat="1" x14ac:dyDescent="0.25"/>
    <row r="124012" customFormat="1" x14ac:dyDescent="0.25"/>
    <row r="124013" customFormat="1" x14ac:dyDescent="0.25"/>
    <row r="124014" customFormat="1" x14ac:dyDescent="0.25"/>
    <row r="124015" customFormat="1" x14ac:dyDescent="0.25"/>
    <row r="124016" customFormat="1" x14ac:dyDescent="0.25"/>
    <row r="124017" customFormat="1" x14ac:dyDescent="0.25"/>
    <row r="124018" customFormat="1" x14ac:dyDescent="0.25"/>
    <row r="124019" customFormat="1" x14ac:dyDescent="0.25"/>
    <row r="124020" customFormat="1" x14ac:dyDescent="0.25"/>
    <row r="124021" customFormat="1" x14ac:dyDescent="0.25"/>
    <row r="124022" customFormat="1" x14ac:dyDescent="0.25"/>
    <row r="124023" customFormat="1" x14ac:dyDescent="0.25"/>
    <row r="124024" customFormat="1" x14ac:dyDescent="0.25"/>
    <row r="124025" customFormat="1" x14ac:dyDescent="0.25"/>
    <row r="124026" customFormat="1" x14ac:dyDescent="0.25"/>
    <row r="124027" customFormat="1" x14ac:dyDescent="0.25"/>
    <row r="124028" customFormat="1" x14ac:dyDescent="0.25"/>
    <row r="124029" customFormat="1" x14ac:dyDescent="0.25"/>
    <row r="124030" customFormat="1" x14ac:dyDescent="0.25"/>
    <row r="124031" customFormat="1" x14ac:dyDescent="0.25"/>
    <row r="124032" customFormat="1" x14ac:dyDescent="0.25"/>
    <row r="124033" customFormat="1" x14ac:dyDescent="0.25"/>
    <row r="124034" customFormat="1" x14ac:dyDescent="0.25"/>
    <row r="124035" customFormat="1" x14ac:dyDescent="0.25"/>
    <row r="124036" customFormat="1" x14ac:dyDescent="0.25"/>
    <row r="124037" customFormat="1" x14ac:dyDescent="0.25"/>
    <row r="124038" customFormat="1" x14ac:dyDescent="0.25"/>
    <row r="124039" customFormat="1" x14ac:dyDescent="0.25"/>
    <row r="124040" customFormat="1" x14ac:dyDescent="0.25"/>
    <row r="124041" customFormat="1" x14ac:dyDescent="0.25"/>
    <row r="124042" customFormat="1" x14ac:dyDescent="0.25"/>
    <row r="124043" customFormat="1" x14ac:dyDescent="0.25"/>
    <row r="124044" customFormat="1" x14ac:dyDescent="0.25"/>
    <row r="124045" customFormat="1" x14ac:dyDescent="0.25"/>
    <row r="124046" customFormat="1" x14ac:dyDescent="0.25"/>
    <row r="124047" customFormat="1" x14ac:dyDescent="0.25"/>
    <row r="124048" customFormat="1" x14ac:dyDescent="0.25"/>
    <row r="124049" customFormat="1" x14ac:dyDescent="0.25"/>
    <row r="124050" customFormat="1" x14ac:dyDescent="0.25"/>
    <row r="124051" customFormat="1" x14ac:dyDescent="0.25"/>
    <row r="124052" customFormat="1" x14ac:dyDescent="0.25"/>
    <row r="124053" customFormat="1" x14ac:dyDescent="0.25"/>
    <row r="124054" customFormat="1" x14ac:dyDescent="0.25"/>
    <row r="124055" customFormat="1" x14ac:dyDescent="0.25"/>
    <row r="124056" customFormat="1" x14ac:dyDescent="0.25"/>
    <row r="124057" customFormat="1" x14ac:dyDescent="0.25"/>
    <row r="124058" customFormat="1" x14ac:dyDescent="0.25"/>
    <row r="124059" customFormat="1" x14ac:dyDescent="0.25"/>
    <row r="124060" customFormat="1" x14ac:dyDescent="0.25"/>
    <row r="124061" customFormat="1" x14ac:dyDescent="0.25"/>
    <row r="124062" customFormat="1" x14ac:dyDescent="0.25"/>
    <row r="124063" customFormat="1" x14ac:dyDescent="0.25"/>
    <row r="124064" customFormat="1" x14ac:dyDescent="0.25"/>
    <row r="124065" customFormat="1" x14ac:dyDescent="0.25"/>
    <row r="124066" customFormat="1" x14ac:dyDescent="0.25"/>
    <row r="124067" customFormat="1" x14ac:dyDescent="0.25"/>
    <row r="124068" customFormat="1" x14ac:dyDescent="0.25"/>
    <row r="124069" customFormat="1" x14ac:dyDescent="0.25"/>
    <row r="124070" customFormat="1" x14ac:dyDescent="0.25"/>
    <row r="124071" customFormat="1" x14ac:dyDescent="0.25"/>
    <row r="124072" customFormat="1" x14ac:dyDescent="0.25"/>
    <row r="124073" customFormat="1" x14ac:dyDescent="0.25"/>
    <row r="124074" customFormat="1" x14ac:dyDescent="0.25"/>
    <row r="124075" customFormat="1" x14ac:dyDescent="0.25"/>
    <row r="124076" customFormat="1" x14ac:dyDescent="0.25"/>
    <row r="124077" customFormat="1" x14ac:dyDescent="0.25"/>
    <row r="124078" customFormat="1" x14ac:dyDescent="0.25"/>
    <row r="124079" customFormat="1" x14ac:dyDescent="0.25"/>
    <row r="124080" customFormat="1" x14ac:dyDescent="0.25"/>
    <row r="124081" customFormat="1" x14ac:dyDescent="0.25"/>
    <row r="124082" customFormat="1" x14ac:dyDescent="0.25"/>
    <row r="124083" customFormat="1" x14ac:dyDescent="0.25"/>
    <row r="124084" customFormat="1" x14ac:dyDescent="0.25"/>
    <row r="124085" customFormat="1" x14ac:dyDescent="0.25"/>
    <row r="124086" customFormat="1" x14ac:dyDescent="0.25"/>
    <row r="124087" customFormat="1" x14ac:dyDescent="0.25"/>
    <row r="124088" customFormat="1" x14ac:dyDescent="0.25"/>
    <row r="124089" customFormat="1" x14ac:dyDescent="0.25"/>
    <row r="124090" customFormat="1" x14ac:dyDescent="0.25"/>
    <row r="124091" customFormat="1" x14ac:dyDescent="0.25"/>
    <row r="124092" customFormat="1" x14ac:dyDescent="0.25"/>
    <row r="124093" customFormat="1" x14ac:dyDescent="0.25"/>
    <row r="124094" customFormat="1" x14ac:dyDescent="0.25"/>
    <row r="124095" customFormat="1" x14ac:dyDescent="0.25"/>
    <row r="124096" customFormat="1" x14ac:dyDescent="0.25"/>
    <row r="124097" customFormat="1" x14ac:dyDescent="0.25"/>
    <row r="124098" customFormat="1" x14ac:dyDescent="0.25"/>
    <row r="124099" customFormat="1" x14ac:dyDescent="0.25"/>
    <row r="124100" customFormat="1" x14ac:dyDescent="0.25"/>
    <row r="124101" customFormat="1" x14ac:dyDescent="0.25"/>
    <row r="124102" customFormat="1" x14ac:dyDescent="0.25"/>
    <row r="124103" customFormat="1" x14ac:dyDescent="0.25"/>
    <row r="124104" customFormat="1" x14ac:dyDescent="0.25"/>
    <row r="124105" customFormat="1" x14ac:dyDescent="0.25"/>
    <row r="124106" customFormat="1" x14ac:dyDescent="0.25"/>
    <row r="124107" customFormat="1" x14ac:dyDescent="0.25"/>
    <row r="124108" customFormat="1" x14ac:dyDescent="0.25"/>
    <row r="124109" customFormat="1" x14ac:dyDescent="0.25"/>
    <row r="124110" customFormat="1" x14ac:dyDescent="0.25"/>
    <row r="124111" customFormat="1" x14ac:dyDescent="0.25"/>
    <row r="124112" customFormat="1" x14ac:dyDescent="0.25"/>
    <row r="124113" customFormat="1" x14ac:dyDescent="0.25"/>
    <row r="124114" customFormat="1" x14ac:dyDescent="0.25"/>
    <row r="124115" customFormat="1" x14ac:dyDescent="0.25"/>
    <row r="124116" customFormat="1" x14ac:dyDescent="0.25"/>
    <row r="124117" customFormat="1" x14ac:dyDescent="0.25"/>
    <row r="124118" customFormat="1" x14ac:dyDescent="0.25"/>
    <row r="124119" customFormat="1" x14ac:dyDescent="0.25"/>
    <row r="124120" customFormat="1" x14ac:dyDescent="0.25"/>
    <row r="124121" customFormat="1" x14ac:dyDescent="0.25"/>
    <row r="124122" customFormat="1" x14ac:dyDescent="0.25"/>
    <row r="124123" customFormat="1" x14ac:dyDescent="0.25"/>
    <row r="124124" customFormat="1" x14ac:dyDescent="0.25"/>
    <row r="124125" customFormat="1" x14ac:dyDescent="0.25"/>
    <row r="124126" customFormat="1" x14ac:dyDescent="0.25"/>
    <row r="124127" customFormat="1" x14ac:dyDescent="0.25"/>
    <row r="124128" customFormat="1" x14ac:dyDescent="0.25"/>
    <row r="124129" customFormat="1" x14ac:dyDescent="0.25"/>
    <row r="124130" customFormat="1" x14ac:dyDescent="0.25"/>
    <row r="124131" customFormat="1" x14ac:dyDescent="0.25"/>
    <row r="124132" customFormat="1" x14ac:dyDescent="0.25"/>
    <row r="124133" customFormat="1" x14ac:dyDescent="0.25"/>
    <row r="124134" customFormat="1" x14ac:dyDescent="0.25"/>
    <row r="124135" customFormat="1" x14ac:dyDescent="0.25"/>
    <row r="124136" customFormat="1" x14ac:dyDescent="0.25"/>
    <row r="124137" customFormat="1" x14ac:dyDescent="0.25"/>
    <row r="124138" customFormat="1" x14ac:dyDescent="0.25"/>
    <row r="124139" customFormat="1" x14ac:dyDescent="0.25"/>
    <row r="124140" customFormat="1" x14ac:dyDescent="0.25"/>
    <row r="124141" customFormat="1" x14ac:dyDescent="0.25"/>
    <row r="124142" customFormat="1" x14ac:dyDescent="0.25"/>
    <row r="124143" customFormat="1" x14ac:dyDescent="0.25"/>
    <row r="124144" customFormat="1" x14ac:dyDescent="0.25"/>
    <row r="124145" customFormat="1" x14ac:dyDescent="0.25"/>
    <row r="124146" customFormat="1" x14ac:dyDescent="0.25"/>
    <row r="124147" customFormat="1" x14ac:dyDescent="0.25"/>
    <row r="124148" customFormat="1" x14ac:dyDescent="0.25"/>
    <row r="124149" customFormat="1" x14ac:dyDescent="0.25"/>
    <row r="124150" customFormat="1" x14ac:dyDescent="0.25"/>
    <row r="124151" customFormat="1" x14ac:dyDescent="0.25"/>
    <row r="124152" customFormat="1" x14ac:dyDescent="0.25"/>
    <row r="124153" customFormat="1" x14ac:dyDescent="0.25"/>
    <row r="124154" customFormat="1" x14ac:dyDescent="0.25"/>
    <row r="124155" customFormat="1" x14ac:dyDescent="0.25"/>
    <row r="124156" customFormat="1" x14ac:dyDescent="0.25"/>
    <row r="124157" customFormat="1" x14ac:dyDescent="0.25"/>
    <row r="124158" customFormat="1" x14ac:dyDescent="0.25"/>
    <row r="124159" customFormat="1" x14ac:dyDescent="0.25"/>
    <row r="124160" customFormat="1" x14ac:dyDescent="0.25"/>
    <row r="124161" customFormat="1" x14ac:dyDescent="0.25"/>
    <row r="124162" customFormat="1" x14ac:dyDescent="0.25"/>
    <row r="124163" customFormat="1" x14ac:dyDescent="0.25"/>
    <row r="124164" customFormat="1" x14ac:dyDescent="0.25"/>
    <row r="124165" customFormat="1" x14ac:dyDescent="0.25"/>
    <row r="124166" customFormat="1" x14ac:dyDescent="0.25"/>
    <row r="124167" customFormat="1" x14ac:dyDescent="0.25"/>
    <row r="124168" customFormat="1" x14ac:dyDescent="0.25"/>
    <row r="124169" customFormat="1" x14ac:dyDescent="0.25"/>
    <row r="124170" customFormat="1" x14ac:dyDescent="0.25"/>
    <row r="124171" customFormat="1" x14ac:dyDescent="0.25"/>
    <row r="124172" customFormat="1" x14ac:dyDescent="0.25"/>
    <row r="124173" customFormat="1" x14ac:dyDescent="0.25"/>
    <row r="124174" customFormat="1" x14ac:dyDescent="0.25"/>
    <row r="124175" customFormat="1" x14ac:dyDescent="0.25"/>
    <row r="124176" customFormat="1" x14ac:dyDescent="0.25"/>
    <row r="124177" customFormat="1" x14ac:dyDescent="0.25"/>
    <row r="124178" customFormat="1" x14ac:dyDescent="0.25"/>
    <row r="124179" customFormat="1" x14ac:dyDescent="0.25"/>
    <row r="124180" customFormat="1" x14ac:dyDescent="0.25"/>
    <row r="124181" customFormat="1" x14ac:dyDescent="0.25"/>
    <row r="124182" customFormat="1" x14ac:dyDescent="0.25"/>
    <row r="124183" customFormat="1" x14ac:dyDescent="0.25"/>
    <row r="124184" customFormat="1" x14ac:dyDescent="0.25"/>
    <row r="124185" customFormat="1" x14ac:dyDescent="0.25"/>
    <row r="124186" customFormat="1" x14ac:dyDescent="0.25"/>
    <row r="124187" customFormat="1" x14ac:dyDescent="0.25"/>
    <row r="124188" customFormat="1" x14ac:dyDescent="0.25"/>
    <row r="124189" customFormat="1" x14ac:dyDescent="0.25"/>
    <row r="124190" customFormat="1" x14ac:dyDescent="0.25"/>
    <row r="124191" customFormat="1" x14ac:dyDescent="0.25"/>
    <row r="124192" customFormat="1" x14ac:dyDescent="0.25"/>
    <row r="124193" customFormat="1" x14ac:dyDescent="0.25"/>
    <row r="124194" customFormat="1" x14ac:dyDescent="0.25"/>
    <row r="124195" customFormat="1" x14ac:dyDescent="0.25"/>
    <row r="124196" customFormat="1" x14ac:dyDescent="0.25"/>
    <row r="124197" customFormat="1" x14ac:dyDescent="0.25"/>
    <row r="124198" customFormat="1" x14ac:dyDescent="0.25"/>
    <row r="124199" customFormat="1" x14ac:dyDescent="0.25"/>
    <row r="124200" customFormat="1" x14ac:dyDescent="0.25"/>
    <row r="124201" customFormat="1" x14ac:dyDescent="0.25"/>
    <row r="124202" customFormat="1" x14ac:dyDescent="0.25"/>
    <row r="124203" customFormat="1" x14ac:dyDescent="0.25"/>
    <row r="124204" customFormat="1" x14ac:dyDescent="0.25"/>
    <row r="124205" customFormat="1" x14ac:dyDescent="0.25"/>
    <row r="124206" customFormat="1" x14ac:dyDescent="0.25"/>
    <row r="124207" customFormat="1" x14ac:dyDescent="0.25"/>
    <row r="124208" customFormat="1" x14ac:dyDescent="0.25"/>
    <row r="124209" customFormat="1" x14ac:dyDescent="0.25"/>
    <row r="124210" customFormat="1" x14ac:dyDescent="0.25"/>
    <row r="124211" customFormat="1" x14ac:dyDescent="0.25"/>
    <row r="124212" customFormat="1" x14ac:dyDescent="0.25"/>
    <row r="124213" customFormat="1" x14ac:dyDescent="0.25"/>
    <row r="124214" customFormat="1" x14ac:dyDescent="0.25"/>
    <row r="124215" customFormat="1" x14ac:dyDescent="0.25"/>
    <row r="124216" customFormat="1" x14ac:dyDescent="0.25"/>
    <row r="124217" customFormat="1" x14ac:dyDescent="0.25"/>
    <row r="124218" customFormat="1" x14ac:dyDescent="0.25"/>
    <row r="124219" customFormat="1" x14ac:dyDescent="0.25"/>
    <row r="124220" customFormat="1" x14ac:dyDescent="0.25"/>
    <row r="124221" customFormat="1" x14ac:dyDescent="0.25"/>
    <row r="124222" customFormat="1" x14ac:dyDescent="0.25"/>
    <row r="124223" customFormat="1" x14ac:dyDescent="0.25"/>
    <row r="124224" customFormat="1" x14ac:dyDescent="0.25"/>
    <row r="124225" customFormat="1" x14ac:dyDescent="0.25"/>
    <row r="124226" customFormat="1" x14ac:dyDescent="0.25"/>
    <row r="124227" customFormat="1" x14ac:dyDescent="0.25"/>
    <row r="124228" customFormat="1" x14ac:dyDescent="0.25"/>
    <row r="124229" customFormat="1" x14ac:dyDescent="0.25"/>
    <row r="124230" customFormat="1" x14ac:dyDescent="0.25"/>
    <row r="124231" customFormat="1" x14ac:dyDescent="0.25"/>
    <row r="124232" customFormat="1" x14ac:dyDescent="0.25"/>
    <row r="124233" customFormat="1" x14ac:dyDescent="0.25"/>
    <row r="124234" customFormat="1" x14ac:dyDescent="0.25"/>
    <row r="124235" customFormat="1" x14ac:dyDescent="0.25"/>
    <row r="124236" customFormat="1" x14ac:dyDescent="0.25"/>
    <row r="124237" customFormat="1" x14ac:dyDescent="0.25"/>
    <row r="124238" customFormat="1" x14ac:dyDescent="0.25"/>
    <row r="124239" customFormat="1" x14ac:dyDescent="0.25"/>
    <row r="124240" customFormat="1" x14ac:dyDescent="0.25"/>
    <row r="124241" customFormat="1" x14ac:dyDescent="0.25"/>
    <row r="124242" customFormat="1" x14ac:dyDescent="0.25"/>
    <row r="124243" customFormat="1" x14ac:dyDescent="0.25"/>
    <row r="124244" customFormat="1" x14ac:dyDescent="0.25"/>
    <row r="124245" customFormat="1" x14ac:dyDescent="0.25"/>
    <row r="124246" customFormat="1" x14ac:dyDescent="0.25"/>
    <row r="124247" customFormat="1" x14ac:dyDescent="0.25"/>
    <row r="124248" customFormat="1" x14ac:dyDescent="0.25"/>
    <row r="124249" customFormat="1" x14ac:dyDescent="0.25"/>
    <row r="124250" customFormat="1" x14ac:dyDescent="0.25"/>
    <row r="124251" customFormat="1" x14ac:dyDescent="0.25"/>
    <row r="124252" customFormat="1" x14ac:dyDescent="0.25"/>
    <row r="124253" customFormat="1" x14ac:dyDescent="0.25"/>
    <row r="124254" customFormat="1" x14ac:dyDescent="0.25"/>
    <row r="124255" customFormat="1" x14ac:dyDescent="0.25"/>
    <row r="124256" customFormat="1" x14ac:dyDescent="0.25"/>
    <row r="124257" customFormat="1" x14ac:dyDescent="0.25"/>
    <row r="124258" customFormat="1" x14ac:dyDescent="0.25"/>
    <row r="124259" customFormat="1" x14ac:dyDescent="0.25"/>
    <row r="124260" customFormat="1" x14ac:dyDescent="0.25"/>
    <row r="124261" customFormat="1" x14ac:dyDescent="0.25"/>
    <row r="124262" customFormat="1" x14ac:dyDescent="0.25"/>
    <row r="124263" customFormat="1" x14ac:dyDescent="0.25"/>
    <row r="124264" customFormat="1" x14ac:dyDescent="0.25"/>
    <row r="124265" customFormat="1" x14ac:dyDescent="0.25"/>
    <row r="124266" customFormat="1" x14ac:dyDescent="0.25"/>
    <row r="124267" customFormat="1" x14ac:dyDescent="0.25"/>
    <row r="124268" customFormat="1" x14ac:dyDescent="0.25"/>
    <row r="124269" customFormat="1" x14ac:dyDescent="0.25"/>
    <row r="124270" customFormat="1" x14ac:dyDescent="0.25"/>
    <row r="124271" customFormat="1" x14ac:dyDescent="0.25"/>
    <row r="124272" customFormat="1" x14ac:dyDescent="0.25"/>
    <row r="124273" customFormat="1" x14ac:dyDescent="0.25"/>
    <row r="124274" customFormat="1" x14ac:dyDescent="0.25"/>
    <row r="124275" customFormat="1" x14ac:dyDescent="0.25"/>
    <row r="124276" customFormat="1" x14ac:dyDescent="0.25"/>
    <row r="124277" customFormat="1" x14ac:dyDescent="0.25"/>
    <row r="124278" customFormat="1" x14ac:dyDescent="0.25"/>
    <row r="124279" customFormat="1" x14ac:dyDescent="0.25"/>
    <row r="124280" customFormat="1" x14ac:dyDescent="0.25"/>
    <row r="124281" customFormat="1" x14ac:dyDescent="0.25"/>
    <row r="124282" customFormat="1" x14ac:dyDescent="0.25"/>
    <row r="124283" customFormat="1" x14ac:dyDescent="0.25"/>
    <row r="124284" customFormat="1" x14ac:dyDescent="0.25"/>
    <row r="124285" customFormat="1" x14ac:dyDescent="0.25"/>
    <row r="124286" customFormat="1" x14ac:dyDescent="0.25"/>
    <row r="124287" customFormat="1" x14ac:dyDescent="0.25"/>
    <row r="124288" customFormat="1" x14ac:dyDescent="0.25"/>
    <row r="124289" customFormat="1" x14ac:dyDescent="0.25"/>
    <row r="124290" customFormat="1" x14ac:dyDescent="0.25"/>
    <row r="124291" customFormat="1" x14ac:dyDescent="0.25"/>
    <row r="124292" customFormat="1" x14ac:dyDescent="0.25"/>
    <row r="124293" customFormat="1" x14ac:dyDescent="0.25"/>
    <row r="124294" customFormat="1" x14ac:dyDescent="0.25"/>
    <row r="124295" customFormat="1" x14ac:dyDescent="0.25"/>
    <row r="124296" customFormat="1" x14ac:dyDescent="0.25"/>
    <row r="124297" customFormat="1" x14ac:dyDescent="0.25"/>
    <row r="124298" customFormat="1" x14ac:dyDescent="0.25"/>
    <row r="124299" customFormat="1" x14ac:dyDescent="0.25"/>
    <row r="124300" customFormat="1" x14ac:dyDescent="0.25"/>
    <row r="124301" customFormat="1" x14ac:dyDescent="0.25"/>
    <row r="124302" customFormat="1" x14ac:dyDescent="0.25"/>
    <row r="124303" customFormat="1" x14ac:dyDescent="0.25"/>
    <row r="124304" customFormat="1" x14ac:dyDescent="0.25"/>
    <row r="124305" customFormat="1" x14ac:dyDescent="0.25"/>
    <row r="124306" customFormat="1" x14ac:dyDescent="0.25"/>
    <row r="124307" customFormat="1" x14ac:dyDescent="0.25"/>
    <row r="124308" customFormat="1" x14ac:dyDescent="0.25"/>
    <row r="124309" customFormat="1" x14ac:dyDescent="0.25"/>
    <row r="124310" customFormat="1" x14ac:dyDescent="0.25"/>
    <row r="124311" customFormat="1" x14ac:dyDescent="0.25"/>
    <row r="124312" customFormat="1" x14ac:dyDescent="0.25"/>
    <row r="124313" customFormat="1" x14ac:dyDescent="0.25"/>
    <row r="124314" customFormat="1" x14ac:dyDescent="0.25"/>
    <row r="124315" customFormat="1" x14ac:dyDescent="0.25"/>
    <row r="124316" customFormat="1" x14ac:dyDescent="0.25"/>
    <row r="124317" customFormat="1" x14ac:dyDescent="0.25"/>
    <row r="124318" customFormat="1" x14ac:dyDescent="0.25"/>
    <row r="124319" customFormat="1" x14ac:dyDescent="0.25"/>
    <row r="124320" customFormat="1" x14ac:dyDescent="0.25"/>
    <row r="124321" customFormat="1" x14ac:dyDescent="0.25"/>
    <row r="124322" customFormat="1" x14ac:dyDescent="0.25"/>
    <row r="124323" customFormat="1" x14ac:dyDescent="0.25"/>
    <row r="124324" customFormat="1" x14ac:dyDescent="0.25"/>
    <row r="124325" customFormat="1" x14ac:dyDescent="0.25"/>
    <row r="124326" customFormat="1" x14ac:dyDescent="0.25"/>
    <row r="124327" customFormat="1" x14ac:dyDescent="0.25"/>
    <row r="124328" customFormat="1" x14ac:dyDescent="0.25"/>
    <row r="124329" customFormat="1" x14ac:dyDescent="0.25"/>
    <row r="124330" customFormat="1" x14ac:dyDescent="0.25"/>
    <row r="124331" customFormat="1" x14ac:dyDescent="0.25"/>
    <row r="124332" customFormat="1" x14ac:dyDescent="0.25"/>
    <row r="124333" customFormat="1" x14ac:dyDescent="0.25"/>
    <row r="124334" customFormat="1" x14ac:dyDescent="0.25"/>
    <row r="124335" customFormat="1" x14ac:dyDescent="0.25"/>
    <row r="124336" customFormat="1" x14ac:dyDescent="0.25"/>
    <row r="124337" customFormat="1" x14ac:dyDescent="0.25"/>
    <row r="124338" customFormat="1" x14ac:dyDescent="0.25"/>
    <row r="124339" customFormat="1" x14ac:dyDescent="0.25"/>
    <row r="124340" customFormat="1" x14ac:dyDescent="0.25"/>
    <row r="124341" customFormat="1" x14ac:dyDescent="0.25"/>
    <row r="124342" customFormat="1" x14ac:dyDescent="0.25"/>
    <row r="124343" customFormat="1" x14ac:dyDescent="0.25"/>
    <row r="124344" customFormat="1" x14ac:dyDescent="0.25"/>
    <row r="124345" customFormat="1" x14ac:dyDescent="0.25"/>
    <row r="124346" customFormat="1" x14ac:dyDescent="0.25"/>
    <row r="124347" customFormat="1" x14ac:dyDescent="0.25"/>
    <row r="124348" customFormat="1" x14ac:dyDescent="0.25"/>
    <row r="124349" customFormat="1" x14ac:dyDescent="0.25"/>
    <row r="124350" customFormat="1" x14ac:dyDescent="0.25"/>
    <row r="124351" customFormat="1" x14ac:dyDescent="0.25"/>
    <row r="124352" customFormat="1" x14ac:dyDescent="0.25"/>
    <row r="124353" customFormat="1" x14ac:dyDescent="0.25"/>
    <row r="124354" customFormat="1" x14ac:dyDescent="0.25"/>
    <row r="124355" customFormat="1" x14ac:dyDescent="0.25"/>
    <row r="124356" customFormat="1" x14ac:dyDescent="0.25"/>
    <row r="124357" customFormat="1" x14ac:dyDescent="0.25"/>
    <row r="124358" customFormat="1" x14ac:dyDescent="0.25"/>
    <row r="124359" customFormat="1" x14ac:dyDescent="0.25"/>
    <row r="124360" customFormat="1" x14ac:dyDescent="0.25"/>
    <row r="124361" customFormat="1" x14ac:dyDescent="0.25"/>
    <row r="124362" customFormat="1" x14ac:dyDescent="0.25"/>
    <row r="124363" customFormat="1" x14ac:dyDescent="0.25"/>
    <row r="124364" customFormat="1" x14ac:dyDescent="0.25"/>
    <row r="124365" customFormat="1" x14ac:dyDescent="0.25"/>
    <row r="124366" customFormat="1" x14ac:dyDescent="0.25"/>
    <row r="124367" customFormat="1" x14ac:dyDescent="0.25"/>
    <row r="124368" customFormat="1" x14ac:dyDescent="0.25"/>
    <row r="124369" customFormat="1" x14ac:dyDescent="0.25"/>
    <row r="124370" customFormat="1" x14ac:dyDescent="0.25"/>
    <row r="124371" customFormat="1" x14ac:dyDescent="0.25"/>
    <row r="124372" customFormat="1" x14ac:dyDescent="0.25"/>
    <row r="124373" customFormat="1" x14ac:dyDescent="0.25"/>
    <row r="124374" customFormat="1" x14ac:dyDescent="0.25"/>
    <row r="124375" customFormat="1" x14ac:dyDescent="0.25"/>
    <row r="124376" customFormat="1" x14ac:dyDescent="0.25"/>
    <row r="124377" customFormat="1" x14ac:dyDescent="0.25"/>
    <row r="124378" customFormat="1" x14ac:dyDescent="0.25"/>
    <row r="124379" customFormat="1" x14ac:dyDescent="0.25"/>
    <row r="124380" customFormat="1" x14ac:dyDescent="0.25"/>
    <row r="124381" customFormat="1" x14ac:dyDescent="0.25"/>
    <row r="124382" customFormat="1" x14ac:dyDescent="0.25"/>
    <row r="124383" customFormat="1" x14ac:dyDescent="0.25"/>
    <row r="124384" customFormat="1" x14ac:dyDescent="0.25"/>
    <row r="124385" customFormat="1" x14ac:dyDescent="0.25"/>
    <row r="124386" customFormat="1" x14ac:dyDescent="0.25"/>
    <row r="124387" customFormat="1" x14ac:dyDescent="0.25"/>
    <row r="124388" customFormat="1" x14ac:dyDescent="0.25"/>
    <row r="124389" customFormat="1" x14ac:dyDescent="0.25"/>
    <row r="124390" customFormat="1" x14ac:dyDescent="0.25"/>
    <row r="124391" customFormat="1" x14ac:dyDescent="0.25"/>
    <row r="124392" customFormat="1" x14ac:dyDescent="0.25"/>
    <row r="124393" customFormat="1" x14ac:dyDescent="0.25"/>
    <row r="124394" customFormat="1" x14ac:dyDescent="0.25"/>
    <row r="124395" customFormat="1" x14ac:dyDescent="0.25"/>
    <row r="124396" customFormat="1" x14ac:dyDescent="0.25"/>
    <row r="124397" customFormat="1" x14ac:dyDescent="0.25"/>
    <row r="124398" customFormat="1" x14ac:dyDescent="0.25"/>
    <row r="124399" customFormat="1" x14ac:dyDescent="0.25"/>
    <row r="124400" customFormat="1" x14ac:dyDescent="0.25"/>
    <row r="124401" customFormat="1" x14ac:dyDescent="0.25"/>
    <row r="124402" customFormat="1" x14ac:dyDescent="0.25"/>
    <row r="124403" customFormat="1" x14ac:dyDescent="0.25"/>
    <row r="124404" customFormat="1" x14ac:dyDescent="0.25"/>
    <row r="124405" customFormat="1" x14ac:dyDescent="0.25"/>
    <row r="124406" customFormat="1" x14ac:dyDescent="0.25"/>
    <row r="124407" customFormat="1" x14ac:dyDescent="0.25"/>
    <row r="124408" customFormat="1" x14ac:dyDescent="0.25"/>
    <row r="124409" customFormat="1" x14ac:dyDescent="0.25"/>
    <row r="124410" customFormat="1" x14ac:dyDescent="0.25"/>
    <row r="124411" customFormat="1" x14ac:dyDescent="0.25"/>
    <row r="124412" customFormat="1" x14ac:dyDescent="0.25"/>
    <row r="124413" customFormat="1" x14ac:dyDescent="0.25"/>
    <row r="124414" customFormat="1" x14ac:dyDescent="0.25"/>
    <row r="124415" customFormat="1" x14ac:dyDescent="0.25"/>
    <row r="124416" customFormat="1" x14ac:dyDescent="0.25"/>
    <row r="124417" customFormat="1" x14ac:dyDescent="0.25"/>
    <row r="124418" customFormat="1" x14ac:dyDescent="0.25"/>
    <row r="124419" customFormat="1" x14ac:dyDescent="0.25"/>
    <row r="124420" customFormat="1" x14ac:dyDescent="0.25"/>
    <row r="124421" customFormat="1" x14ac:dyDescent="0.25"/>
    <row r="124422" customFormat="1" x14ac:dyDescent="0.25"/>
    <row r="124423" customFormat="1" x14ac:dyDescent="0.25"/>
    <row r="124424" customFormat="1" x14ac:dyDescent="0.25"/>
    <row r="124425" customFormat="1" x14ac:dyDescent="0.25"/>
    <row r="124426" customFormat="1" x14ac:dyDescent="0.25"/>
    <row r="124427" customFormat="1" x14ac:dyDescent="0.25"/>
    <row r="124428" customFormat="1" x14ac:dyDescent="0.25"/>
    <row r="124429" customFormat="1" x14ac:dyDescent="0.25"/>
    <row r="124430" customFormat="1" x14ac:dyDescent="0.25"/>
    <row r="124431" customFormat="1" x14ac:dyDescent="0.25"/>
    <row r="124432" customFormat="1" x14ac:dyDescent="0.25"/>
    <row r="124433" customFormat="1" x14ac:dyDescent="0.25"/>
    <row r="124434" customFormat="1" x14ac:dyDescent="0.25"/>
    <row r="124435" customFormat="1" x14ac:dyDescent="0.25"/>
    <row r="124436" customFormat="1" x14ac:dyDescent="0.25"/>
    <row r="124437" customFormat="1" x14ac:dyDescent="0.25"/>
    <row r="124438" customFormat="1" x14ac:dyDescent="0.25"/>
    <row r="124439" customFormat="1" x14ac:dyDescent="0.25"/>
    <row r="124440" customFormat="1" x14ac:dyDescent="0.25"/>
    <row r="124441" customFormat="1" x14ac:dyDescent="0.25"/>
    <row r="124442" customFormat="1" x14ac:dyDescent="0.25"/>
    <row r="124443" customFormat="1" x14ac:dyDescent="0.25"/>
    <row r="124444" customFormat="1" x14ac:dyDescent="0.25"/>
    <row r="124445" customFormat="1" x14ac:dyDescent="0.25"/>
    <row r="124446" customFormat="1" x14ac:dyDescent="0.25"/>
    <row r="124447" customFormat="1" x14ac:dyDescent="0.25"/>
    <row r="124448" customFormat="1" x14ac:dyDescent="0.25"/>
    <row r="124449" customFormat="1" x14ac:dyDescent="0.25"/>
    <row r="124450" customFormat="1" x14ac:dyDescent="0.25"/>
    <row r="124451" customFormat="1" x14ac:dyDescent="0.25"/>
    <row r="124452" customFormat="1" x14ac:dyDescent="0.25"/>
    <row r="124453" customFormat="1" x14ac:dyDescent="0.25"/>
    <row r="124454" customFormat="1" x14ac:dyDescent="0.25"/>
    <row r="124455" customFormat="1" x14ac:dyDescent="0.25"/>
    <row r="124456" customFormat="1" x14ac:dyDescent="0.25"/>
    <row r="124457" customFormat="1" x14ac:dyDescent="0.25"/>
    <row r="124458" customFormat="1" x14ac:dyDescent="0.25"/>
    <row r="124459" customFormat="1" x14ac:dyDescent="0.25"/>
    <row r="124460" customFormat="1" x14ac:dyDescent="0.25"/>
    <row r="124461" customFormat="1" x14ac:dyDescent="0.25"/>
    <row r="124462" customFormat="1" x14ac:dyDescent="0.25"/>
    <row r="124463" customFormat="1" x14ac:dyDescent="0.25"/>
    <row r="124464" customFormat="1" x14ac:dyDescent="0.25"/>
    <row r="124465" customFormat="1" x14ac:dyDescent="0.25"/>
    <row r="124466" customFormat="1" x14ac:dyDescent="0.25"/>
    <row r="124467" customFormat="1" x14ac:dyDescent="0.25"/>
    <row r="124468" customFormat="1" x14ac:dyDescent="0.25"/>
    <row r="124469" customFormat="1" x14ac:dyDescent="0.25"/>
    <row r="124470" customFormat="1" x14ac:dyDescent="0.25"/>
    <row r="124471" customFormat="1" x14ac:dyDescent="0.25"/>
    <row r="124472" customFormat="1" x14ac:dyDescent="0.25"/>
    <row r="124473" customFormat="1" x14ac:dyDescent="0.25"/>
    <row r="124474" customFormat="1" x14ac:dyDescent="0.25"/>
    <row r="124475" customFormat="1" x14ac:dyDescent="0.25"/>
    <row r="124476" customFormat="1" x14ac:dyDescent="0.25"/>
    <row r="124477" customFormat="1" x14ac:dyDescent="0.25"/>
    <row r="124478" customFormat="1" x14ac:dyDescent="0.25"/>
    <row r="124479" customFormat="1" x14ac:dyDescent="0.25"/>
    <row r="124480" customFormat="1" x14ac:dyDescent="0.25"/>
    <row r="124481" customFormat="1" x14ac:dyDescent="0.25"/>
    <row r="124482" customFormat="1" x14ac:dyDescent="0.25"/>
    <row r="124483" customFormat="1" x14ac:dyDescent="0.25"/>
    <row r="124484" customFormat="1" x14ac:dyDescent="0.25"/>
    <row r="124485" customFormat="1" x14ac:dyDescent="0.25"/>
    <row r="124486" customFormat="1" x14ac:dyDescent="0.25"/>
    <row r="124487" customFormat="1" x14ac:dyDescent="0.25"/>
    <row r="124488" customFormat="1" x14ac:dyDescent="0.25"/>
    <row r="124489" customFormat="1" x14ac:dyDescent="0.25"/>
    <row r="124490" customFormat="1" x14ac:dyDescent="0.25"/>
    <row r="124491" customFormat="1" x14ac:dyDescent="0.25"/>
    <row r="124492" customFormat="1" x14ac:dyDescent="0.25"/>
    <row r="124493" customFormat="1" x14ac:dyDescent="0.25"/>
    <row r="124494" customFormat="1" x14ac:dyDescent="0.25"/>
    <row r="124495" customFormat="1" x14ac:dyDescent="0.25"/>
    <row r="124496" customFormat="1" x14ac:dyDescent="0.25"/>
    <row r="124497" customFormat="1" x14ac:dyDescent="0.25"/>
    <row r="124498" customFormat="1" x14ac:dyDescent="0.25"/>
    <row r="124499" customFormat="1" x14ac:dyDescent="0.25"/>
    <row r="124500" customFormat="1" x14ac:dyDescent="0.25"/>
    <row r="124501" customFormat="1" x14ac:dyDescent="0.25"/>
    <row r="124502" customFormat="1" x14ac:dyDescent="0.25"/>
    <row r="124503" customFormat="1" x14ac:dyDescent="0.25"/>
    <row r="124504" customFormat="1" x14ac:dyDescent="0.25"/>
    <row r="124505" customFormat="1" x14ac:dyDescent="0.25"/>
    <row r="124506" customFormat="1" x14ac:dyDescent="0.25"/>
    <row r="124507" customFormat="1" x14ac:dyDescent="0.25"/>
    <row r="124508" customFormat="1" x14ac:dyDescent="0.25"/>
    <row r="124509" customFormat="1" x14ac:dyDescent="0.25"/>
    <row r="124510" customFormat="1" x14ac:dyDescent="0.25"/>
    <row r="124511" customFormat="1" x14ac:dyDescent="0.25"/>
    <row r="124512" customFormat="1" x14ac:dyDescent="0.25"/>
    <row r="124513" customFormat="1" x14ac:dyDescent="0.25"/>
    <row r="124514" customFormat="1" x14ac:dyDescent="0.25"/>
    <row r="124515" customFormat="1" x14ac:dyDescent="0.25"/>
    <row r="124516" customFormat="1" x14ac:dyDescent="0.25"/>
    <row r="124517" customFormat="1" x14ac:dyDescent="0.25"/>
    <row r="124518" customFormat="1" x14ac:dyDescent="0.25"/>
    <row r="124519" customFormat="1" x14ac:dyDescent="0.25"/>
    <row r="124520" customFormat="1" x14ac:dyDescent="0.25"/>
    <row r="124521" customFormat="1" x14ac:dyDescent="0.25"/>
    <row r="124522" customFormat="1" x14ac:dyDescent="0.25"/>
    <row r="124523" customFormat="1" x14ac:dyDescent="0.25"/>
    <row r="124524" customFormat="1" x14ac:dyDescent="0.25"/>
    <row r="124525" customFormat="1" x14ac:dyDescent="0.25"/>
    <row r="124526" customFormat="1" x14ac:dyDescent="0.25"/>
    <row r="124527" customFormat="1" x14ac:dyDescent="0.25"/>
    <row r="124528" customFormat="1" x14ac:dyDescent="0.25"/>
    <row r="124529" customFormat="1" x14ac:dyDescent="0.25"/>
    <row r="124530" customFormat="1" x14ac:dyDescent="0.25"/>
    <row r="124531" customFormat="1" x14ac:dyDescent="0.25"/>
    <row r="124532" customFormat="1" x14ac:dyDescent="0.25"/>
    <row r="124533" customFormat="1" x14ac:dyDescent="0.25"/>
    <row r="124534" customFormat="1" x14ac:dyDescent="0.25"/>
    <row r="124535" customFormat="1" x14ac:dyDescent="0.25"/>
    <row r="124536" customFormat="1" x14ac:dyDescent="0.25"/>
    <row r="124537" customFormat="1" x14ac:dyDescent="0.25"/>
    <row r="124538" customFormat="1" x14ac:dyDescent="0.25"/>
    <row r="124539" customFormat="1" x14ac:dyDescent="0.25"/>
    <row r="124540" customFormat="1" x14ac:dyDescent="0.25"/>
    <row r="124541" customFormat="1" x14ac:dyDescent="0.25"/>
    <row r="124542" customFormat="1" x14ac:dyDescent="0.25"/>
    <row r="124543" customFormat="1" x14ac:dyDescent="0.25"/>
    <row r="124544" customFormat="1" x14ac:dyDescent="0.25"/>
    <row r="124545" customFormat="1" x14ac:dyDescent="0.25"/>
    <row r="124546" customFormat="1" x14ac:dyDescent="0.25"/>
    <row r="124547" customFormat="1" x14ac:dyDescent="0.25"/>
    <row r="124548" customFormat="1" x14ac:dyDescent="0.25"/>
    <row r="124549" customFormat="1" x14ac:dyDescent="0.25"/>
    <row r="124550" customFormat="1" x14ac:dyDescent="0.25"/>
    <row r="124551" customFormat="1" x14ac:dyDescent="0.25"/>
    <row r="124552" customFormat="1" x14ac:dyDescent="0.25"/>
    <row r="124553" customFormat="1" x14ac:dyDescent="0.25"/>
    <row r="124554" customFormat="1" x14ac:dyDescent="0.25"/>
    <row r="124555" customFormat="1" x14ac:dyDescent="0.25"/>
    <row r="124556" customFormat="1" x14ac:dyDescent="0.25"/>
    <row r="124557" customFormat="1" x14ac:dyDescent="0.25"/>
    <row r="124558" customFormat="1" x14ac:dyDescent="0.25"/>
    <row r="124559" customFormat="1" x14ac:dyDescent="0.25"/>
    <row r="124560" customFormat="1" x14ac:dyDescent="0.25"/>
    <row r="124561" customFormat="1" x14ac:dyDescent="0.25"/>
    <row r="124562" customFormat="1" x14ac:dyDescent="0.25"/>
    <row r="124563" customFormat="1" x14ac:dyDescent="0.25"/>
    <row r="124564" customFormat="1" x14ac:dyDescent="0.25"/>
    <row r="124565" customFormat="1" x14ac:dyDescent="0.25"/>
    <row r="124566" customFormat="1" x14ac:dyDescent="0.25"/>
    <row r="124567" customFormat="1" x14ac:dyDescent="0.25"/>
    <row r="124568" customFormat="1" x14ac:dyDescent="0.25"/>
    <row r="124569" customFormat="1" x14ac:dyDescent="0.25"/>
    <row r="124570" customFormat="1" x14ac:dyDescent="0.25"/>
    <row r="124571" customFormat="1" x14ac:dyDescent="0.25"/>
    <row r="124572" customFormat="1" x14ac:dyDescent="0.25"/>
    <row r="124573" customFormat="1" x14ac:dyDescent="0.25"/>
    <row r="124574" customFormat="1" x14ac:dyDescent="0.25"/>
    <row r="124575" customFormat="1" x14ac:dyDescent="0.25"/>
    <row r="124576" customFormat="1" x14ac:dyDescent="0.25"/>
    <row r="124577" customFormat="1" x14ac:dyDescent="0.25"/>
    <row r="124578" customFormat="1" x14ac:dyDescent="0.25"/>
    <row r="124579" customFormat="1" x14ac:dyDescent="0.25"/>
    <row r="124580" customFormat="1" x14ac:dyDescent="0.25"/>
    <row r="124581" customFormat="1" x14ac:dyDescent="0.25"/>
    <row r="124582" customFormat="1" x14ac:dyDescent="0.25"/>
    <row r="124583" customFormat="1" x14ac:dyDescent="0.25"/>
    <row r="124584" customFormat="1" x14ac:dyDescent="0.25"/>
    <row r="124585" customFormat="1" x14ac:dyDescent="0.25"/>
    <row r="124586" customFormat="1" x14ac:dyDescent="0.25"/>
    <row r="124587" customFormat="1" x14ac:dyDescent="0.25"/>
    <row r="124588" customFormat="1" x14ac:dyDescent="0.25"/>
    <row r="124589" customFormat="1" x14ac:dyDescent="0.25"/>
    <row r="124590" customFormat="1" x14ac:dyDescent="0.25"/>
    <row r="124591" customFormat="1" x14ac:dyDescent="0.25"/>
    <row r="124592" customFormat="1" x14ac:dyDescent="0.25"/>
    <row r="124593" customFormat="1" x14ac:dyDescent="0.25"/>
    <row r="124594" customFormat="1" x14ac:dyDescent="0.25"/>
    <row r="124595" customFormat="1" x14ac:dyDescent="0.25"/>
    <row r="124596" customFormat="1" x14ac:dyDescent="0.25"/>
    <row r="124597" customFormat="1" x14ac:dyDescent="0.25"/>
    <row r="124598" customFormat="1" x14ac:dyDescent="0.25"/>
    <row r="124599" customFormat="1" x14ac:dyDescent="0.25"/>
    <row r="124600" customFormat="1" x14ac:dyDescent="0.25"/>
    <row r="124601" customFormat="1" x14ac:dyDescent="0.25"/>
    <row r="124602" customFormat="1" x14ac:dyDescent="0.25"/>
    <row r="124603" customFormat="1" x14ac:dyDescent="0.25"/>
    <row r="124604" customFormat="1" x14ac:dyDescent="0.25"/>
    <row r="124605" customFormat="1" x14ac:dyDescent="0.25"/>
    <row r="124606" customFormat="1" x14ac:dyDescent="0.25"/>
    <row r="124607" customFormat="1" x14ac:dyDescent="0.25"/>
    <row r="124608" customFormat="1" x14ac:dyDescent="0.25"/>
    <row r="124609" customFormat="1" x14ac:dyDescent="0.25"/>
    <row r="124610" customFormat="1" x14ac:dyDescent="0.25"/>
    <row r="124611" customFormat="1" x14ac:dyDescent="0.25"/>
    <row r="124612" customFormat="1" x14ac:dyDescent="0.25"/>
    <row r="124613" customFormat="1" x14ac:dyDescent="0.25"/>
    <row r="124614" customFormat="1" x14ac:dyDescent="0.25"/>
    <row r="124615" customFormat="1" x14ac:dyDescent="0.25"/>
    <row r="124616" customFormat="1" x14ac:dyDescent="0.25"/>
    <row r="124617" customFormat="1" x14ac:dyDescent="0.25"/>
    <row r="124618" customFormat="1" x14ac:dyDescent="0.25"/>
    <row r="124619" customFormat="1" x14ac:dyDescent="0.25"/>
    <row r="124620" customFormat="1" x14ac:dyDescent="0.25"/>
    <row r="124621" customFormat="1" x14ac:dyDescent="0.25"/>
    <row r="124622" customFormat="1" x14ac:dyDescent="0.25"/>
    <row r="124623" customFormat="1" x14ac:dyDescent="0.25"/>
    <row r="124624" customFormat="1" x14ac:dyDescent="0.25"/>
    <row r="124625" customFormat="1" x14ac:dyDescent="0.25"/>
    <row r="124626" customFormat="1" x14ac:dyDescent="0.25"/>
    <row r="124627" customFormat="1" x14ac:dyDescent="0.25"/>
    <row r="124628" customFormat="1" x14ac:dyDescent="0.25"/>
    <row r="124629" customFormat="1" x14ac:dyDescent="0.25"/>
    <row r="124630" customFormat="1" x14ac:dyDescent="0.25"/>
    <row r="124631" customFormat="1" x14ac:dyDescent="0.25"/>
    <row r="124632" customFormat="1" x14ac:dyDescent="0.25"/>
    <row r="124633" customFormat="1" x14ac:dyDescent="0.25"/>
    <row r="124634" customFormat="1" x14ac:dyDescent="0.25"/>
    <row r="124635" customFormat="1" x14ac:dyDescent="0.25"/>
    <row r="124636" customFormat="1" x14ac:dyDescent="0.25"/>
    <row r="124637" customFormat="1" x14ac:dyDescent="0.25"/>
    <row r="124638" customFormat="1" x14ac:dyDescent="0.25"/>
    <row r="124639" customFormat="1" x14ac:dyDescent="0.25"/>
    <row r="124640" customFormat="1" x14ac:dyDescent="0.25"/>
    <row r="124641" customFormat="1" x14ac:dyDescent="0.25"/>
    <row r="124642" customFormat="1" x14ac:dyDescent="0.25"/>
    <row r="124643" customFormat="1" x14ac:dyDescent="0.25"/>
    <row r="124644" customFormat="1" x14ac:dyDescent="0.25"/>
    <row r="124645" customFormat="1" x14ac:dyDescent="0.25"/>
    <row r="124646" customFormat="1" x14ac:dyDescent="0.25"/>
    <row r="124647" customFormat="1" x14ac:dyDescent="0.25"/>
    <row r="124648" customFormat="1" x14ac:dyDescent="0.25"/>
    <row r="124649" customFormat="1" x14ac:dyDescent="0.25"/>
    <row r="124650" customFormat="1" x14ac:dyDescent="0.25"/>
    <row r="124651" customFormat="1" x14ac:dyDescent="0.25"/>
    <row r="124652" customFormat="1" x14ac:dyDescent="0.25"/>
    <row r="124653" customFormat="1" x14ac:dyDescent="0.25"/>
    <row r="124654" customFormat="1" x14ac:dyDescent="0.25"/>
    <row r="124655" customFormat="1" x14ac:dyDescent="0.25"/>
    <row r="124656" customFormat="1" x14ac:dyDescent="0.25"/>
    <row r="124657" customFormat="1" x14ac:dyDescent="0.25"/>
    <row r="124658" customFormat="1" x14ac:dyDescent="0.25"/>
    <row r="124659" customFormat="1" x14ac:dyDescent="0.25"/>
    <row r="124660" customFormat="1" x14ac:dyDescent="0.25"/>
    <row r="124661" customFormat="1" x14ac:dyDescent="0.25"/>
    <row r="124662" customFormat="1" x14ac:dyDescent="0.25"/>
    <row r="124663" customFormat="1" x14ac:dyDescent="0.25"/>
    <row r="124664" customFormat="1" x14ac:dyDescent="0.25"/>
    <row r="124665" customFormat="1" x14ac:dyDescent="0.25"/>
    <row r="124666" customFormat="1" x14ac:dyDescent="0.25"/>
    <row r="124667" customFormat="1" x14ac:dyDescent="0.25"/>
    <row r="124668" customFormat="1" x14ac:dyDescent="0.25"/>
    <row r="124669" customFormat="1" x14ac:dyDescent="0.25"/>
    <row r="124670" customFormat="1" x14ac:dyDescent="0.25"/>
    <row r="124671" customFormat="1" x14ac:dyDescent="0.25"/>
    <row r="124672" customFormat="1" x14ac:dyDescent="0.25"/>
    <row r="124673" customFormat="1" x14ac:dyDescent="0.25"/>
    <row r="124674" customFormat="1" x14ac:dyDescent="0.25"/>
    <row r="124675" customFormat="1" x14ac:dyDescent="0.25"/>
    <row r="124676" customFormat="1" x14ac:dyDescent="0.25"/>
    <row r="124677" customFormat="1" x14ac:dyDescent="0.25"/>
    <row r="124678" customFormat="1" x14ac:dyDescent="0.25"/>
    <row r="124679" customFormat="1" x14ac:dyDescent="0.25"/>
    <row r="124680" customFormat="1" x14ac:dyDescent="0.25"/>
    <row r="124681" customFormat="1" x14ac:dyDescent="0.25"/>
    <row r="124682" customFormat="1" x14ac:dyDescent="0.25"/>
    <row r="124683" customFormat="1" x14ac:dyDescent="0.25"/>
    <row r="124684" customFormat="1" x14ac:dyDescent="0.25"/>
    <row r="124685" customFormat="1" x14ac:dyDescent="0.25"/>
    <row r="124686" customFormat="1" x14ac:dyDescent="0.25"/>
    <row r="124687" customFormat="1" x14ac:dyDescent="0.25"/>
    <row r="124688" customFormat="1" x14ac:dyDescent="0.25"/>
    <row r="124689" customFormat="1" x14ac:dyDescent="0.25"/>
    <row r="124690" customFormat="1" x14ac:dyDescent="0.25"/>
    <row r="124691" customFormat="1" x14ac:dyDescent="0.25"/>
    <row r="124692" customFormat="1" x14ac:dyDescent="0.25"/>
    <row r="124693" customFormat="1" x14ac:dyDescent="0.25"/>
    <row r="124694" customFormat="1" x14ac:dyDescent="0.25"/>
    <row r="124695" customFormat="1" x14ac:dyDescent="0.25"/>
    <row r="124696" customFormat="1" x14ac:dyDescent="0.25"/>
    <row r="124697" customFormat="1" x14ac:dyDescent="0.25"/>
    <row r="124698" customFormat="1" x14ac:dyDescent="0.25"/>
    <row r="124699" customFormat="1" x14ac:dyDescent="0.25"/>
    <row r="124700" customFormat="1" x14ac:dyDescent="0.25"/>
    <row r="124701" customFormat="1" x14ac:dyDescent="0.25"/>
    <row r="124702" customFormat="1" x14ac:dyDescent="0.25"/>
    <row r="124703" customFormat="1" x14ac:dyDescent="0.25"/>
    <row r="124704" customFormat="1" x14ac:dyDescent="0.25"/>
    <row r="124705" customFormat="1" x14ac:dyDescent="0.25"/>
    <row r="124706" customFormat="1" x14ac:dyDescent="0.25"/>
    <row r="124707" customFormat="1" x14ac:dyDescent="0.25"/>
    <row r="124708" customFormat="1" x14ac:dyDescent="0.25"/>
    <row r="124709" customFormat="1" x14ac:dyDescent="0.25"/>
    <row r="124710" customFormat="1" x14ac:dyDescent="0.25"/>
    <row r="124711" customFormat="1" x14ac:dyDescent="0.25"/>
    <row r="124712" customFormat="1" x14ac:dyDescent="0.25"/>
    <row r="124713" customFormat="1" x14ac:dyDescent="0.25"/>
    <row r="124714" customFormat="1" x14ac:dyDescent="0.25"/>
    <row r="124715" customFormat="1" x14ac:dyDescent="0.25"/>
    <row r="124716" customFormat="1" x14ac:dyDescent="0.25"/>
    <row r="124717" customFormat="1" x14ac:dyDescent="0.25"/>
    <row r="124718" customFormat="1" x14ac:dyDescent="0.25"/>
    <row r="124719" customFormat="1" x14ac:dyDescent="0.25"/>
    <row r="124720" customFormat="1" x14ac:dyDescent="0.25"/>
    <row r="124721" customFormat="1" x14ac:dyDescent="0.25"/>
    <row r="124722" customFormat="1" x14ac:dyDescent="0.25"/>
    <row r="124723" customFormat="1" x14ac:dyDescent="0.25"/>
    <row r="124724" customFormat="1" x14ac:dyDescent="0.25"/>
    <row r="124725" customFormat="1" x14ac:dyDescent="0.25"/>
    <row r="124726" customFormat="1" x14ac:dyDescent="0.25"/>
    <row r="124727" customFormat="1" x14ac:dyDescent="0.25"/>
    <row r="124728" customFormat="1" x14ac:dyDescent="0.25"/>
    <row r="124729" customFormat="1" x14ac:dyDescent="0.25"/>
    <row r="124730" customFormat="1" x14ac:dyDescent="0.25"/>
    <row r="124731" customFormat="1" x14ac:dyDescent="0.25"/>
    <row r="124732" customFormat="1" x14ac:dyDescent="0.25"/>
    <row r="124733" customFormat="1" x14ac:dyDescent="0.25"/>
    <row r="124734" customFormat="1" x14ac:dyDescent="0.25"/>
    <row r="124735" customFormat="1" x14ac:dyDescent="0.25"/>
    <row r="124736" customFormat="1" x14ac:dyDescent="0.25"/>
    <row r="124737" customFormat="1" x14ac:dyDescent="0.25"/>
    <row r="124738" customFormat="1" x14ac:dyDescent="0.25"/>
    <row r="124739" customFormat="1" x14ac:dyDescent="0.25"/>
    <row r="124740" customFormat="1" x14ac:dyDescent="0.25"/>
    <row r="124741" customFormat="1" x14ac:dyDescent="0.25"/>
    <row r="124742" customFormat="1" x14ac:dyDescent="0.25"/>
    <row r="124743" customFormat="1" x14ac:dyDescent="0.25"/>
    <row r="124744" customFormat="1" x14ac:dyDescent="0.25"/>
    <row r="124745" customFormat="1" x14ac:dyDescent="0.25"/>
    <row r="124746" customFormat="1" x14ac:dyDescent="0.25"/>
    <row r="124747" customFormat="1" x14ac:dyDescent="0.25"/>
    <row r="124748" customFormat="1" x14ac:dyDescent="0.25"/>
    <row r="124749" customFormat="1" x14ac:dyDescent="0.25"/>
    <row r="124750" customFormat="1" x14ac:dyDescent="0.25"/>
    <row r="124751" customFormat="1" x14ac:dyDescent="0.25"/>
    <row r="124752" customFormat="1" x14ac:dyDescent="0.25"/>
    <row r="124753" customFormat="1" x14ac:dyDescent="0.25"/>
    <row r="124754" customFormat="1" x14ac:dyDescent="0.25"/>
    <row r="124755" customFormat="1" x14ac:dyDescent="0.25"/>
    <row r="124756" customFormat="1" x14ac:dyDescent="0.25"/>
    <row r="124757" customFormat="1" x14ac:dyDescent="0.25"/>
    <row r="124758" customFormat="1" x14ac:dyDescent="0.25"/>
    <row r="124759" customFormat="1" x14ac:dyDescent="0.25"/>
    <row r="124760" customFormat="1" x14ac:dyDescent="0.25"/>
    <row r="124761" customFormat="1" x14ac:dyDescent="0.25"/>
    <row r="124762" customFormat="1" x14ac:dyDescent="0.25"/>
    <row r="124763" customFormat="1" x14ac:dyDescent="0.25"/>
    <row r="124764" customFormat="1" x14ac:dyDescent="0.25"/>
    <row r="124765" customFormat="1" x14ac:dyDescent="0.25"/>
    <row r="124766" customFormat="1" x14ac:dyDescent="0.25"/>
    <row r="124767" customFormat="1" x14ac:dyDescent="0.25"/>
    <row r="124768" customFormat="1" x14ac:dyDescent="0.25"/>
    <row r="124769" customFormat="1" x14ac:dyDescent="0.25"/>
    <row r="124770" customFormat="1" x14ac:dyDescent="0.25"/>
    <row r="124771" customFormat="1" x14ac:dyDescent="0.25"/>
    <row r="124772" customFormat="1" x14ac:dyDescent="0.25"/>
    <row r="124773" customFormat="1" x14ac:dyDescent="0.25"/>
    <row r="124774" customFormat="1" x14ac:dyDescent="0.25"/>
    <row r="124775" customFormat="1" x14ac:dyDescent="0.25"/>
    <row r="124776" customFormat="1" x14ac:dyDescent="0.25"/>
    <row r="124777" customFormat="1" x14ac:dyDescent="0.25"/>
    <row r="124778" customFormat="1" x14ac:dyDescent="0.25"/>
    <row r="124779" customFormat="1" x14ac:dyDescent="0.25"/>
    <row r="124780" customFormat="1" x14ac:dyDescent="0.25"/>
    <row r="124781" customFormat="1" x14ac:dyDescent="0.25"/>
    <row r="124782" customFormat="1" x14ac:dyDescent="0.25"/>
    <row r="124783" customFormat="1" x14ac:dyDescent="0.25"/>
    <row r="124784" customFormat="1" x14ac:dyDescent="0.25"/>
    <row r="124785" customFormat="1" x14ac:dyDescent="0.25"/>
    <row r="124786" customFormat="1" x14ac:dyDescent="0.25"/>
    <row r="124787" customFormat="1" x14ac:dyDescent="0.25"/>
    <row r="124788" customFormat="1" x14ac:dyDescent="0.25"/>
    <row r="124789" customFormat="1" x14ac:dyDescent="0.25"/>
    <row r="124790" customFormat="1" x14ac:dyDescent="0.25"/>
    <row r="124791" customFormat="1" x14ac:dyDescent="0.25"/>
    <row r="124792" customFormat="1" x14ac:dyDescent="0.25"/>
    <row r="124793" customFormat="1" x14ac:dyDescent="0.25"/>
    <row r="124794" customFormat="1" x14ac:dyDescent="0.25"/>
    <row r="124795" customFormat="1" x14ac:dyDescent="0.25"/>
    <row r="124796" customFormat="1" x14ac:dyDescent="0.25"/>
    <row r="124797" customFormat="1" x14ac:dyDescent="0.25"/>
    <row r="124798" customFormat="1" x14ac:dyDescent="0.25"/>
    <row r="124799" customFormat="1" x14ac:dyDescent="0.25"/>
    <row r="124800" customFormat="1" x14ac:dyDescent="0.25"/>
    <row r="124801" customFormat="1" x14ac:dyDescent="0.25"/>
    <row r="124802" customFormat="1" x14ac:dyDescent="0.25"/>
    <row r="124803" customFormat="1" x14ac:dyDescent="0.25"/>
    <row r="124804" customFormat="1" x14ac:dyDescent="0.25"/>
    <row r="124805" customFormat="1" x14ac:dyDescent="0.25"/>
    <row r="124806" customFormat="1" x14ac:dyDescent="0.25"/>
    <row r="124807" customFormat="1" x14ac:dyDescent="0.25"/>
    <row r="124808" customFormat="1" x14ac:dyDescent="0.25"/>
    <row r="124809" customFormat="1" x14ac:dyDescent="0.25"/>
    <row r="124810" customFormat="1" x14ac:dyDescent="0.25"/>
    <row r="124811" customFormat="1" x14ac:dyDescent="0.25"/>
    <row r="124812" customFormat="1" x14ac:dyDescent="0.25"/>
    <row r="124813" customFormat="1" x14ac:dyDescent="0.25"/>
    <row r="124814" customFormat="1" x14ac:dyDescent="0.25"/>
    <row r="124815" customFormat="1" x14ac:dyDescent="0.25"/>
    <row r="124816" customFormat="1" x14ac:dyDescent="0.25"/>
    <row r="124817" customFormat="1" x14ac:dyDescent="0.25"/>
    <row r="124818" customFormat="1" x14ac:dyDescent="0.25"/>
    <row r="124819" customFormat="1" x14ac:dyDescent="0.25"/>
    <row r="124820" customFormat="1" x14ac:dyDescent="0.25"/>
    <row r="124821" customFormat="1" x14ac:dyDescent="0.25"/>
    <row r="124822" customFormat="1" x14ac:dyDescent="0.25"/>
    <row r="124823" customFormat="1" x14ac:dyDescent="0.25"/>
    <row r="124824" customFormat="1" x14ac:dyDescent="0.25"/>
    <row r="124825" customFormat="1" x14ac:dyDescent="0.25"/>
    <row r="124826" customFormat="1" x14ac:dyDescent="0.25"/>
    <row r="124827" customFormat="1" x14ac:dyDescent="0.25"/>
    <row r="124828" customFormat="1" x14ac:dyDescent="0.25"/>
    <row r="124829" customFormat="1" x14ac:dyDescent="0.25"/>
    <row r="124830" customFormat="1" x14ac:dyDescent="0.25"/>
    <row r="124831" customFormat="1" x14ac:dyDescent="0.25"/>
    <row r="124832" customFormat="1" x14ac:dyDescent="0.25"/>
    <row r="124833" customFormat="1" x14ac:dyDescent="0.25"/>
    <row r="124834" customFormat="1" x14ac:dyDescent="0.25"/>
    <row r="124835" customFormat="1" x14ac:dyDescent="0.25"/>
    <row r="124836" customFormat="1" x14ac:dyDescent="0.25"/>
    <row r="124837" customFormat="1" x14ac:dyDescent="0.25"/>
    <row r="124838" customFormat="1" x14ac:dyDescent="0.25"/>
    <row r="124839" customFormat="1" x14ac:dyDescent="0.25"/>
    <row r="124840" customFormat="1" x14ac:dyDescent="0.25"/>
    <row r="124841" customFormat="1" x14ac:dyDescent="0.25"/>
    <row r="124842" customFormat="1" x14ac:dyDescent="0.25"/>
    <row r="124843" customFormat="1" x14ac:dyDescent="0.25"/>
    <row r="124844" customFormat="1" x14ac:dyDescent="0.25"/>
    <row r="124845" customFormat="1" x14ac:dyDescent="0.25"/>
    <row r="124846" customFormat="1" x14ac:dyDescent="0.25"/>
    <row r="124847" customFormat="1" x14ac:dyDescent="0.25"/>
    <row r="124848" customFormat="1" x14ac:dyDescent="0.25"/>
    <row r="124849" customFormat="1" x14ac:dyDescent="0.25"/>
    <row r="124850" customFormat="1" x14ac:dyDescent="0.25"/>
    <row r="124851" customFormat="1" x14ac:dyDescent="0.25"/>
    <row r="124852" customFormat="1" x14ac:dyDescent="0.25"/>
    <row r="124853" customFormat="1" x14ac:dyDescent="0.25"/>
    <row r="124854" customFormat="1" x14ac:dyDescent="0.25"/>
    <row r="124855" customFormat="1" x14ac:dyDescent="0.25"/>
    <row r="124856" customFormat="1" x14ac:dyDescent="0.25"/>
    <row r="124857" customFormat="1" x14ac:dyDescent="0.25"/>
    <row r="124858" customFormat="1" x14ac:dyDescent="0.25"/>
    <row r="124859" customFormat="1" x14ac:dyDescent="0.25"/>
    <row r="124860" customFormat="1" x14ac:dyDescent="0.25"/>
    <row r="124861" customFormat="1" x14ac:dyDescent="0.25"/>
    <row r="124862" customFormat="1" x14ac:dyDescent="0.25"/>
    <row r="124863" customFormat="1" x14ac:dyDescent="0.25"/>
    <row r="124864" customFormat="1" x14ac:dyDescent="0.25"/>
    <row r="124865" customFormat="1" x14ac:dyDescent="0.25"/>
    <row r="124866" customFormat="1" x14ac:dyDescent="0.25"/>
    <row r="124867" customFormat="1" x14ac:dyDescent="0.25"/>
    <row r="124868" customFormat="1" x14ac:dyDescent="0.25"/>
    <row r="124869" customFormat="1" x14ac:dyDescent="0.25"/>
    <row r="124870" customFormat="1" x14ac:dyDescent="0.25"/>
    <row r="124871" customFormat="1" x14ac:dyDescent="0.25"/>
    <row r="124872" customFormat="1" x14ac:dyDescent="0.25"/>
    <row r="124873" customFormat="1" x14ac:dyDescent="0.25"/>
    <row r="124874" customFormat="1" x14ac:dyDescent="0.25"/>
    <row r="124875" customFormat="1" x14ac:dyDescent="0.25"/>
    <row r="124876" customFormat="1" x14ac:dyDescent="0.25"/>
    <row r="124877" customFormat="1" x14ac:dyDescent="0.25"/>
    <row r="124878" customFormat="1" x14ac:dyDescent="0.25"/>
    <row r="124879" customFormat="1" x14ac:dyDescent="0.25"/>
    <row r="124880" customFormat="1" x14ac:dyDescent="0.25"/>
    <row r="124881" customFormat="1" x14ac:dyDescent="0.25"/>
    <row r="124882" customFormat="1" x14ac:dyDescent="0.25"/>
    <row r="124883" customFormat="1" x14ac:dyDescent="0.25"/>
    <row r="124884" customFormat="1" x14ac:dyDescent="0.25"/>
    <row r="124885" customFormat="1" x14ac:dyDescent="0.25"/>
    <row r="124886" customFormat="1" x14ac:dyDescent="0.25"/>
    <row r="124887" customFormat="1" x14ac:dyDescent="0.25"/>
    <row r="124888" customFormat="1" x14ac:dyDescent="0.25"/>
    <row r="124889" customFormat="1" x14ac:dyDescent="0.25"/>
    <row r="124890" customFormat="1" x14ac:dyDescent="0.25"/>
    <row r="124891" customFormat="1" x14ac:dyDescent="0.25"/>
    <row r="124892" customFormat="1" x14ac:dyDescent="0.25"/>
    <row r="124893" customFormat="1" x14ac:dyDescent="0.25"/>
    <row r="124894" customFormat="1" x14ac:dyDescent="0.25"/>
    <row r="124895" customFormat="1" x14ac:dyDescent="0.25"/>
    <row r="124896" customFormat="1" x14ac:dyDescent="0.25"/>
    <row r="124897" customFormat="1" x14ac:dyDescent="0.25"/>
    <row r="124898" customFormat="1" x14ac:dyDescent="0.25"/>
    <row r="124899" customFormat="1" x14ac:dyDescent="0.25"/>
    <row r="124900" customFormat="1" x14ac:dyDescent="0.25"/>
    <row r="124901" customFormat="1" x14ac:dyDescent="0.25"/>
    <row r="124902" customFormat="1" x14ac:dyDescent="0.25"/>
    <row r="124903" customFormat="1" x14ac:dyDescent="0.25"/>
    <row r="124904" customFormat="1" x14ac:dyDescent="0.25"/>
    <row r="124905" customFormat="1" x14ac:dyDescent="0.25"/>
    <row r="124906" customFormat="1" x14ac:dyDescent="0.25"/>
    <row r="124907" customFormat="1" x14ac:dyDescent="0.25"/>
    <row r="124908" customFormat="1" x14ac:dyDescent="0.25"/>
    <row r="124909" customFormat="1" x14ac:dyDescent="0.25"/>
    <row r="124910" customFormat="1" x14ac:dyDescent="0.25"/>
    <row r="124911" customFormat="1" x14ac:dyDescent="0.25"/>
    <row r="124912" customFormat="1" x14ac:dyDescent="0.25"/>
    <row r="124913" customFormat="1" x14ac:dyDescent="0.25"/>
    <row r="124914" customFormat="1" x14ac:dyDescent="0.25"/>
    <row r="124915" customFormat="1" x14ac:dyDescent="0.25"/>
    <row r="124916" customFormat="1" x14ac:dyDescent="0.25"/>
    <row r="124917" customFormat="1" x14ac:dyDescent="0.25"/>
    <row r="124918" customFormat="1" x14ac:dyDescent="0.25"/>
    <row r="124919" customFormat="1" x14ac:dyDescent="0.25"/>
    <row r="124920" customFormat="1" x14ac:dyDescent="0.25"/>
    <row r="124921" customFormat="1" x14ac:dyDescent="0.25"/>
    <row r="124922" customFormat="1" x14ac:dyDescent="0.25"/>
    <row r="124923" customFormat="1" x14ac:dyDescent="0.25"/>
    <row r="124924" customFormat="1" x14ac:dyDescent="0.25"/>
    <row r="124925" customFormat="1" x14ac:dyDescent="0.25"/>
    <row r="124926" customFormat="1" x14ac:dyDescent="0.25"/>
    <row r="124927" customFormat="1" x14ac:dyDescent="0.25"/>
    <row r="124928" customFormat="1" x14ac:dyDescent="0.25"/>
    <row r="124929" customFormat="1" x14ac:dyDescent="0.25"/>
    <row r="124930" customFormat="1" x14ac:dyDescent="0.25"/>
    <row r="124931" customFormat="1" x14ac:dyDescent="0.25"/>
    <row r="124932" customFormat="1" x14ac:dyDescent="0.25"/>
    <row r="124933" customFormat="1" x14ac:dyDescent="0.25"/>
    <row r="124934" customFormat="1" x14ac:dyDescent="0.25"/>
    <row r="124935" customFormat="1" x14ac:dyDescent="0.25"/>
    <row r="124936" customFormat="1" x14ac:dyDescent="0.25"/>
    <row r="124937" customFormat="1" x14ac:dyDescent="0.25"/>
    <row r="124938" customFormat="1" x14ac:dyDescent="0.25"/>
    <row r="124939" customFormat="1" x14ac:dyDescent="0.25"/>
    <row r="124940" customFormat="1" x14ac:dyDescent="0.25"/>
    <row r="124941" customFormat="1" x14ac:dyDescent="0.25"/>
    <row r="124942" customFormat="1" x14ac:dyDescent="0.25"/>
    <row r="124943" customFormat="1" x14ac:dyDescent="0.25"/>
    <row r="124944" customFormat="1" x14ac:dyDescent="0.25"/>
    <row r="124945" customFormat="1" x14ac:dyDescent="0.25"/>
    <row r="124946" customFormat="1" x14ac:dyDescent="0.25"/>
    <row r="124947" customFormat="1" x14ac:dyDescent="0.25"/>
    <row r="124948" customFormat="1" x14ac:dyDescent="0.25"/>
    <row r="124949" customFormat="1" x14ac:dyDescent="0.25"/>
    <row r="124950" customFormat="1" x14ac:dyDescent="0.25"/>
    <row r="124951" customFormat="1" x14ac:dyDescent="0.25"/>
    <row r="124952" customFormat="1" x14ac:dyDescent="0.25"/>
    <row r="124953" customFormat="1" x14ac:dyDescent="0.25"/>
    <row r="124954" customFormat="1" x14ac:dyDescent="0.25"/>
    <row r="124955" customFormat="1" x14ac:dyDescent="0.25"/>
    <row r="124956" customFormat="1" x14ac:dyDescent="0.25"/>
    <row r="124957" customFormat="1" x14ac:dyDescent="0.25"/>
    <row r="124958" customFormat="1" x14ac:dyDescent="0.25"/>
    <row r="124959" customFormat="1" x14ac:dyDescent="0.25"/>
    <row r="124960" customFormat="1" x14ac:dyDescent="0.25"/>
    <row r="124961" customFormat="1" x14ac:dyDescent="0.25"/>
    <row r="124962" customFormat="1" x14ac:dyDescent="0.25"/>
    <row r="124963" customFormat="1" x14ac:dyDescent="0.25"/>
    <row r="124964" customFormat="1" x14ac:dyDescent="0.25"/>
    <row r="124965" customFormat="1" x14ac:dyDescent="0.25"/>
    <row r="124966" customFormat="1" x14ac:dyDescent="0.25"/>
    <row r="124967" customFormat="1" x14ac:dyDescent="0.25"/>
    <row r="124968" customFormat="1" x14ac:dyDescent="0.25"/>
    <row r="124969" customFormat="1" x14ac:dyDescent="0.25"/>
    <row r="124970" customFormat="1" x14ac:dyDescent="0.25"/>
    <row r="124971" customFormat="1" x14ac:dyDescent="0.25"/>
    <row r="124972" customFormat="1" x14ac:dyDescent="0.25"/>
    <row r="124973" customFormat="1" x14ac:dyDescent="0.25"/>
    <row r="124974" customFormat="1" x14ac:dyDescent="0.25"/>
    <row r="124975" customFormat="1" x14ac:dyDescent="0.25"/>
    <row r="124976" customFormat="1" x14ac:dyDescent="0.25"/>
    <row r="124977" customFormat="1" x14ac:dyDescent="0.25"/>
    <row r="124978" customFormat="1" x14ac:dyDescent="0.25"/>
    <row r="124979" customFormat="1" x14ac:dyDescent="0.25"/>
    <row r="124980" customFormat="1" x14ac:dyDescent="0.25"/>
    <row r="124981" customFormat="1" x14ac:dyDescent="0.25"/>
    <row r="124982" customFormat="1" x14ac:dyDescent="0.25"/>
    <row r="124983" customFormat="1" x14ac:dyDescent="0.25"/>
    <row r="124984" customFormat="1" x14ac:dyDescent="0.25"/>
    <row r="124985" customFormat="1" x14ac:dyDescent="0.25"/>
    <row r="124986" customFormat="1" x14ac:dyDescent="0.25"/>
    <row r="124987" customFormat="1" x14ac:dyDescent="0.25"/>
    <row r="124988" customFormat="1" x14ac:dyDescent="0.25"/>
    <row r="124989" customFormat="1" x14ac:dyDescent="0.25"/>
    <row r="124990" customFormat="1" x14ac:dyDescent="0.25"/>
    <row r="124991" customFormat="1" x14ac:dyDescent="0.25"/>
    <row r="124992" customFormat="1" x14ac:dyDescent="0.25"/>
    <row r="124993" customFormat="1" x14ac:dyDescent="0.25"/>
    <row r="124994" customFormat="1" x14ac:dyDescent="0.25"/>
    <row r="124995" customFormat="1" x14ac:dyDescent="0.25"/>
    <row r="124996" customFormat="1" x14ac:dyDescent="0.25"/>
    <row r="124997" customFormat="1" x14ac:dyDescent="0.25"/>
    <row r="124998" customFormat="1" x14ac:dyDescent="0.25"/>
    <row r="124999" customFormat="1" x14ac:dyDescent="0.25"/>
    <row r="125000" customFormat="1" x14ac:dyDescent="0.25"/>
    <row r="125001" customFormat="1" x14ac:dyDescent="0.25"/>
    <row r="125002" customFormat="1" x14ac:dyDescent="0.25"/>
    <row r="125003" customFormat="1" x14ac:dyDescent="0.25"/>
    <row r="125004" customFormat="1" x14ac:dyDescent="0.25"/>
    <row r="125005" customFormat="1" x14ac:dyDescent="0.25"/>
    <row r="125006" customFormat="1" x14ac:dyDescent="0.25"/>
    <row r="125007" customFormat="1" x14ac:dyDescent="0.25"/>
    <row r="125008" customFormat="1" x14ac:dyDescent="0.25"/>
    <row r="125009" customFormat="1" x14ac:dyDescent="0.25"/>
    <row r="125010" customFormat="1" x14ac:dyDescent="0.25"/>
    <row r="125011" customFormat="1" x14ac:dyDescent="0.25"/>
    <row r="125012" customFormat="1" x14ac:dyDescent="0.25"/>
    <row r="125013" customFormat="1" x14ac:dyDescent="0.25"/>
    <row r="125014" customFormat="1" x14ac:dyDescent="0.25"/>
    <row r="125015" customFormat="1" x14ac:dyDescent="0.25"/>
    <row r="125016" customFormat="1" x14ac:dyDescent="0.25"/>
    <row r="125017" customFormat="1" x14ac:dyDescent="0.25"/>
    <row r="125018" customFormat="1" x14ac:dyDescent="0.25"/>
    <row r="125019" customFormat="1" x14ac:dyDescent="0.25"/>
    <row r="125020" customFormat="1" x14ac:dyDescent="0.25"/>
    <row r="125021" customFormat="1" x14ac:dyDescent="0.25"/>
    <row r="125022" customFormat="1" x14ac:dyDescent="0.25"/>
    <row r="125023" customFormat="1" x14ac:dyDescent="0.25"/>
    <row r="125024" customFormat="1" x14ac:dyDescent="0.25"/>
    <row r="125025" customFormat="1" x14ac:dyDescent="0.25"/>
    <row r="125026" customFormat="1" x14ac:dyDescent="0.25"/>
    <row r="125027" customFormat="1" x14ac:dyDescent="0.25"/>
    <row r="125028" customFormat="1" x14ac:dyDescent="0.25"/>
    <row r="125029" customFormat="1" x14ac:dyDescent="0.25"/>
    <row r="125030" customFormat="1" x14ac:dyDescent="0.25"/>
    <row r="125031" customFormat="1" x14ac:dyDescent="0.25"/>
    <row r="125032" customFormat="1" x14ac:dyDescent="0.25"/>
    <row r="125033" customFormat="1" x14ac:dyDescent="0.25"/>
    <row r="125034" customFormat="1" x14ac:dyDescent="0.25"/>
    <row r="125035" customFormat="1" x14ac:dyDescent="0.25"/>
    <row r="125036" customFormat="1" x14ac:dyDescent="0.25"/>
    <row r="125037" customFormat="1" x14ac:dyDescent="0.25"/>
    <row r="125038" customFormat="1" x14ac:dyDescent="0.25"/>
    <row r="125039" customFormat="1" x14ac:dyDescent="0.25"/>
    <row r="125040" customFormat="1" x14ac:dyDescent="0.25"/>
    <row r="125041" customFormat="1" x14ac:dyDescent="0.25"/>
    <row r="125042" customFormat="1" x14ac:dyDescent="0.25"/>
    <row r="125043" customFormat="1" x14ac:dyDescent="0.25"/>
    <row r="125044" customFormat="1" x14ac:dyDescent="0.25"/>
    <row r="125045" customFormat="1" x14ac:dyDescent="0.25"/>
    <row r="125046" customFormat="1" x14ac:dyDescent="0.25"/>
    <row r="125047" customFormat="1" x14ac:dyDescent="0.25"/>
    <row r="125048" customFormat="1" x14ac:dyDescent="0.25"/>
    <row r="125049" customFormat="1" x14ac:dyDescent="0.25"/>
    <row r="125050" customFormat="1" x14ac:dyDescent="0.25"/>
    <row r="125051" customFormat="1" x14ac:dyDescent="0.25"/>
    <row r="125052" customFormat="1" x14ac:dyDescent="0.25"/>
    <row r="125053" customFormat="1" x14ac:dyDescent="0.25"/>
    <row r="125054" customFormat="1" x14ac:dyDescent="0.25"/>
    <row r="125055" customFormat="1" x14ac:dyDescent="0.25"/>
    <row r="125056" customFormat="1" x14ac:dyDescent="0.25"/>
    <row r="125057" customFormat="1" x14ac:dyDescent="0.25"/>
    <row r="125058" customFormat="1" x14ac:dyDescent="0.25"/>
    <row r="125059" customFormat="1" x14ac:dyDescent="0.25"/>
    <row r="125060" customFormat="1" x14ac:dyDescent="0.25"/>
    <row r="125061" customFormat="1" x14ac:dyDescent="0.25"/>
    <row r="125062" customFormat="1" x14ac:dyDescent="0.25"/>
    <row r="125063" customFormat="1" x14ac:dyDescent="0.25"/>
    <row r="125064" customFormat="1" x14ac:dyDescent="0.25"/>
    <row r="125065" customFormat="1" x14ac:dyDescent="0.25"/>
    <row r="125066" customFormat="1" x14ac:dyDescent="0.25"/>
    <row r="125067" customFormat="1" x14ac:dyDescent="0.25"/>
    <row r="125068" customFormat="1" x14ac:dyDescent="0.25"/>
    <row r="125069" customFormat="1" x14ac:dyDescent="0.25"/>
    <row r="125070" customFormat="1" x14ac:dyDescent="0.25"/>
    <row r="125071" customFormat="1" x14ac:dyDescent="0.25"/>
    <row r="125072" customFormat="1" x14ac:dyDescent="0.25"/>
    <row r="125073" customFormat="1" x14ac:dyDescent="0.25"/>
    <row r="125074" customFormat="1" x14ac:dyDescent="0.25"/>
    <row r="125075" customFormat="1" x14ac:dyDescent="0.25"/>
    <row r="125076" customFormat="1" x14ac:dyDescent="0.25"/>
    <row r="125077" customFormat="1" x14ac:dyDescent="0.25"/>
    <row r="125078" customFormat="1" x14ac:dyDescent="0.25"/>
    <row r="125079" customFormat="1" x14ac:dyDescent="0.25"/>
    <row r="125080" customFormat="1" x14ac:dyDescent="0.25"/>
    <row r="125081" customFormat="1" x14ac:dyDescent="0.25"/>
    <row r="125082" customFormat="1" x14ac:dyDescent="0.25"/>
    <row r="125083" customFormat="1" x14ac:dyDescent="0.25"/>
    <row r="125084" customFormat="1" x14ac:dyDescent="0.25"/>
    <row r="125085" customFormat="1" x14ac:dyDescent="0.25"/>
    <row r="125086" customFormat="1" x14ac:dyDescent="0.25"/>
    <row r="125087" customFormat="1" x14ac:dyDescent="0.25"/>
    <row r="125088" customFormat="1" x14ac:dyDescent="0.25"/>
    <row r="125089" customFormat="1" x14ac:dyDescent="0.25"/>
    <row r="125090" customFormat="1" x14ac:dyDescent="0.25"/>
    <row r="125091" customFormat="1" x14ac:dyDescent="0.25"/>
    <row r="125092" customFormat="1" x14ac:dyDescent="0.25"/>
    <row r="125093" customFormat="1" x14ac:dyDescent="0.25"/>
    <row r="125094" customFormat="1" x14ac:dyDescent="0.25"/>
    <row r="125095" customFormat="1" x14ac:dyDescent="0.25"/>
    <row r="125096" customFormat="1" x14ac:dyDescent="0.25"/>
    <row r="125097" customFormat="1" x14ac:dyDescent="0.25"/>
    <row r="125098" customFormat="1" x14ac:dyDescent="0.25"/>
    <row r="125099" customFormat="1" x14ac:dyDescent="0.25"/>
    <row r="125100" customFormat="1" x14ac:dyDescent="0.25"/>
    <row r="125101" customFormat="1" x14ac:dyDescent="0.25"/>
    <row r="125102" customFormat="1" x14ac:dyDescent="0.25"/>
    <row r="125103" customFormat="1" x14ac:dyDescent="0.25"/>
    <row r="125104" customFormat="1" x14ac:dyDescent="0.25"/>
    <row r="125105" customFormat="1" x14ac:dyDescent="0.25"/>
    <row r="125106" customFormat="1" x14ac:dyDescent="0.25"/>
    <row r="125107" customFormat="1" x14ac:dyDescent="0.25"/>
    <row r="125108" customFormat="1" x14ac:dyDescent="0.25"/>
    <row r="125109" customFormat="1" x14ac:dyDescent="0.25"/>
    <row r="125110" customFormat="1" x14ac:dyDescent="0.25"/>
    <row r="125111" customFormat="1" x14ac:dyDescent="0.25"/>
    <row r="125112" customFormat="1" x14ac:dyDescent="0.25"/>
    <row r="125113" customFormat="1" x14ac:dyDescent="0.25"/>
    <row r="125114" customFormat="1" x14ac:dyDescent="0.25"/>
    <row r="125115" customFormat="1" x14ac:dyDescent="0.25"/>
    <row r="125116" customFormat="1" x14ac:dyDescent="0.25"/>
    <row r="125117" customFormat="1" x14ac:dyDescent="0.25"/>
    <row r="125118" customFormat="1" x14ac:dyDescent="0.25"/>
    <row r="125119" customFormat="1" x14ac:dyDescent="0.25"/>
    <row r="125120" customFormat="1" x14ac:dyDescent="0.25"/>
    <row r="125121" customFormat="1" x14ac:dyDescent="0.25"/>
    <row r="125122" customFormat="1" x14ac:dyDescent="0.25"/>
    <row r="125123" customFormat="1" x14ac:dyDescent="0.25"/>
    <row r="125124" customFormat="1" x14ac:dyDescent="0.25"/>
    <row r="125125" customFormat="1" x14ac:dyDescent="0.25"/>
    <row r="125126" customFormat="1" x14ac:dyDescent="0.25"/>
    <row r="125127" customFormat="1" x14ac:dyDescent="0.25"/>
    <row r="125128" customFormat="1" x14ac:dyDescent="0.25"/>
    <row r="125129" customFormat="1" x14ac:dyDescent="0.25"/>
    <row r="125130" customFormat="1" x14ac:dyDescent="0.25"/>
    <row r="125131" customFormat="1" x14ac:dyDescent="0.25"/>
    <row r="125132" customFormat="1" x14ac:dyDescent="0.25"/>
    <row r="125133" customFormat="1" x14ac:dyDescent="0.25"/>
    <row r="125134" customFormat="1" x14ac:dyDescent="0.25"/>
    <row r="125135" customFormat="1" x14ac:dyDescent="0.25"/>
    <row r="125136" customFormat="1" x14ac:dyDescent="0.25"/>
    <row r="125137" customFormat="1" x14ac:dyDescent="0.25"/>
    <row r="125138" customFormat="1" x14ac:dyDescent="0.25"/>
    <row r="125139" customFormat="1" x14ac:dyDescent="0.25"/>
    <row r="125140" customFormat="1" x14ac:dyDescent="0.25"/>
    <row r="125141" customFormat="1" x14ac:dyDescent="0.25"/>
    <row r="125142" customFormat="1" x14ac:dyDescent="0.25"/>
    <row r="125143" customFormat="1" x14ac:dyDescent="0.25"/>
    <row r="125144" customFormat="1" x14ac:dyDescent="0.25"/>
    <row r="125145" customFormat="1" x14ac:dyDescent="0.25"/>
    <row r="125146" customFormat="1" x14ac:dyDescent="0.25"/>
    <row r="125147" customFormat="1" x14ac:dyDescent="0.25"/>
    <row r="125148" customFormat="1" x14ac:dyDescent="0.25"/>
    <row r="125149" customFormat="1" x14ac:dyDescent="0.25"/>
    <row r="125150" customFormat="1" x14ac:dyDescent="0.25"/>
    <row r="125151" customFormat="1" x14ac:dyDescent="0.25"/>
    <row r="125152" customFormat="1" x14ac:dyDescent="0.25"/>
    <row r="125153" customFormat="1" x14ac:dyDescent="0.25"/>
    <row r="125154" customFormat="1" x14ac:dyDescent="0.25"/>
    <row r="125155" customFormat="1" x14ac:dyDescent="0.25"/>
    <row r="125156" customFormat="1" x14ac:dyDescent="0.25"/>
    <row r="125157" customFormat="1" x14ac:dyDescent="0.25"/>
    <row r="125158" customFormat="1" x14ac:dyDescent="0.25"/>
    <row r="125159" customFormat="1" x14ac:dyDescent="0.25"/>
    <row r="125160" customFormat="1" x14ac:dyDescent="0.25"/>
    <row r="125161" customFormat="1" x14ac:dyDescent="0.25"/>
    <row r="125162" customFormat="1" x14ac:dyDescent="0.25"/>
    <row r="125163" customFormat="1" x14ac:dyDescent="0.25"/>
    <row r="125164" customFormat="1" x14ac:dyDescent="0.25"/>
    <row r="125165" customFormat="1" x14ac:dyDescent="0.25"/>
    <row r="125166" customFormat="1" x14ac:dyDescent="0.25"/>
    <row r="125167" customFormat="1" x14ac:dyDescent="0.25"/>
    <row r="125168" customFormat="1" x14ac:dyDescent="0.25"/>
    <row r="125169" customFormat="1" x14ac:dyDescent="0.25"/>
    <row r="125170" customFormat="1" x14ac:dyDescent="0.25"/>
    <row r="125171" customFormat="1" x14ac:dyDescent="0.25"/>
    <row r="125172" customFormat="1" x14ac:dyDescent="0.25"/>
    <row r="125173" customFormat="1" x14ac:dyDescent="0.25"/>
    <row r="125174" customFormat="1" x14ac:dyDescent="0.25"/>
    <row r="125175" customFormat="1" x14ac:dyDescent="0.25"/>
    <row r="125176" customFormat="1" x14ac:dyDescent="0.25"/>
    <row r="125177" customFormat="1" x14ac:dyDescent="0.25"/>
    <row r="125178" customFormat="1" x14ac:dyDescent="0.25"/>
    <row r="125179" customFormat="1" x14ac:dyDescent="0.25"/>
    <row r="125180" customFormat="1" x14ac:dyDescent="0.25"/>
    <row r="125181" customFormat="1" x14ac:dyDescent="0.25"/>
    <row r="125182" customFormat="1" x14ac:dyDescent="0.25"/>
    <row r="125183" customFormat="1" x14ac:dyDescent="0.25"/>
    <row r="125184" customFormat="1" x14ac:dyDescent="0.25"/>
    <row r="125185" customFormat="1" x14ac:dyDescent="0.25"/>
    <row r="125186" customFormat="1" x14ac:dyDescent="0.25"/>
    <row r="125187" customFormat="1" x14ac:dyDescent="0.25"/>
    <row r="125188" customFormat="1" x14ac:dyDescent="0.25"/>
    <row r="125189" customFormat="1" x14ac:dyDescent="0.25"/>
    <row r="125190" customFormat="1" x14ac:dyDescent="0.25"/>
    <row r="125191" customFormat="1" x14ac:dyDescent="0.25"/>
    <row r="125192" customFormat="1" x14ac:dyDescent="0.25"/>
    <row r="125193" customFormat="1" x14ac:dyDescent="0.25"/>
    <row r="125194" customFormat="1" x14ac:dyDescent="0.25"/>
    <row r="125195" customFormat="1" x14ac:dyDescent="0.25"/>
    <row r="125196" customFormat="1" x14ac:dyDescent="0.25"/>
    <row r="125197" customFormat="1" x14ac:dyDescent="0.25"/>
    <row r="125198" customFormat="1" x14ac:dyDescent="0.25"/>
    <row r="125199" customFormat="1" x14ac:dyDescent="0.25"/>
    <row r="125200" customFormat="1" x14ac:dyDescent="0.25"/>
    <row r="125201" customFormat="1" x14ac:dyDescent="0.25"/>
    <row r="125202" customFormat="1" x14ac:dyDescent="0.25"/>
    <row r="125203" customFormat="1" x14ac:dyDescent="0.25"/>
    <row r="125204" customFormat="1" x14ac:dyDescent="0.25"/>
    <row r="125205" customFormat="1" x14ac:dyDescent="0.25"/>
    <row r="125206" customFormat="1" x14ac:dyDescent="0.25"/>
    <row r="125207" customFormat="1" x14ac:dyDescent="0.25"/>
    <row r="125208" customFormat="1" x14ac:dyDescent="0.25"/>
    <row r="125209" customFormat="1" x14ac:dyDescent="0.25"/>
    <row r="125210" customFormat="1" x14ac:dyDescent="0.25"/>
    <row r="125211" customFormat="1" x14ac:dyDescent="0.25"/>
    <row r="125212" customFormat="1" x14ac:dyDescent="0.25"/>
    <row r="125213" customFormat="1" x14ac:dyDescent="0.25"/>
    <row r="125214" customFormat="1" x14ac:dyDescent="0.25"/>
    <row r="125215" customFormat="1" x14ac:dyDescent="0.25"/>
    <row r="125216" customFormat="1" x14ac:dyDescent="0.25"/>
    <row r="125217" customFormat="1" x14ac:dyDescent="0.25"/>
    <row r="125218" customFormat="1" x14ac:dyDescent="0.25"/>
    <row r="125219" customFormat="1" x14ac:dyDescent="0.25"/>
    <row r="125220" customFormat="1" x14ac:dyDescent="0.25"/>
    <row r="125221" customFormat="1" x14ac:dyDescent="0.25"/>
    <row r="125222" customFormat="1" x14ac:dyDescent="0.25"/>
    <row r="125223" customFormat="1" x14ac:dyDescent="0.25"/>
    <row r="125224" customFormat="1" x14ac:dyDescent="0.25"/>
    <row r="125225" customFormat="1" x14ac:dyDescent="0.25"/>
    <row r="125226" customFormat="1" x14ac:dyDescent="0.25"/>
    <row r="125227" customFormat="1" x14ac:dyDescent="0.25"/>
    <row r="125228" customFormat="1" x14ac:dyDescent="0.25"/>
    <row r="125229" customFormat="1" x14ac:dyDescent="0.25"/>
    <row r="125230" customFormat="1" x14ac:dyDescent="0.25"/>
    <row r="125231" customFormat="1" x14ac:dyDescent="0.25"/>
    <row r="125232" customFormat="1" x14ac:dyDescent="0.25"/>
    <row r="125233" customFormat="1" x14ac:dyDescent="0.25"/>
    <row r="125234" customFormat="1" x14ac:dyDescent="0.25"/>
    <row r="125235" customFormat="1" x14ac:dyDescent="0.25"/>
    <row r="125236" customFormat="1" x14ac:dyDescent="0.25"/>
    <row r="125237" customFormat="1" x14ac:dyDescent="0.25"/>
    <row r="125238" customFormat="1" x14ac:dyDescent="0.25"/>
    <row r="125239" customFormat="1" x14ac:dyDescent="0.25"/>
    <row r="125240" customFormat="1" x14ac:dyDescent="0.25"/>
    <row r="125241" customFormat="1" x14ac:dyDescent="0.25"/>
    <row r="125242" customFormat="1" x14ac:dyDescent="0.25"/>
    <row r="125243" customFormat="1" x14ac:dyDescent="0.25"/>
    <row r="125244" customFormat="1" x14ac:dyDescent="0.25"/>
    <row r="125245" customFormat="1" x14ac:dyDescent="0.25"/>
    <row r="125246" customFormat="1" x14ac:dyDescent="0.25"/>
    <row r="125247" customFormat="1" x14ac:dyDescent="0.25"/>
    <row r="125248" customFormat="1" x14ac:dyDescent="0.25"/>
    <row r="125249" customFormat="1" x14ac:dyDescent="0.25"/>
    <row r="125250" customFormat="1" x14ac:dyDescent="0.25"/>
    <row r="125251" customFormat="1" x14ac:dyDescent="0.25"/>
    <row r="125252" customFormat="1" x14ac:dyDescent="0.25"/>
    <row r="125253" customFormat="1" x14ac:dyDescent="0.25"/>
    <row r="125254" customFormat="1" x14ac:dyDescent="0.25"/>
    <row r="125255" customFormat="1" x14ac:dyDescent="0.25"/>
    <row r="125256" customFormat="1" x14ac:dyDescent="0.25"/>
    <row r="125257" customFormat="1" x14ac:dyDescent="0.25"/>
    <row r="125258" customFormat="1" x14ac:dyDescent="0.25"/>
    <row r="125259" customFormat="1" x14ac:dyDescent="0.25"/>
    <row r="125260" customFormat="1" x14ac:dyDescent="0.25"/>
    <row r="125261" customFormat="1" x14ac:dyDescent="0.25"/>
    <row r="125262" customFormat="1" x14ac:dyDescent="0.25"/>
    <row r="125263" customFormat="1" x14ac:dyDescent="0.25"/>
    <row r="125264" customFormat="1" x14ac:dyDescent="0.25"/>
    <row r="125265" customFormat="1" x14ac:dyDescent="0.25"/>
    <row r="125266" customFormat="1" x14ac:dyDescent="0.25"/>
    <row r="125267" customFormat="1" x14ac:dyDescent="0.25"/>
    <row r="125268" customFormat="1" x14ac:dyDescent="0.25"/>
    <row r="125269" customFormat="1" x14ac:dyDescent="0.25"/>
    <row r="125270" customFormat="1" x14ac:dyDescent="0.25"/>
    <row r="125271" customFormat="1" x14ac:dyDescent="0.25"/>
    <row r="125272" customFormat="1" x14ac:dyDescent="0.25"/>
    <row r="125273" customFormat="1" x14ac:dyDescent="0.25"/>
    <row r="125274" customFormat="1" x14ac:dyDescent="0.25"/>
    <row r="125275" customFormat="1" x14ac:dyDescent="0.25"/>
    <row r="125276" customFormat="1" x14ac:dyDescent="0.25"/>
    <row r="125277" customFormat="1" x14ac:dyDescent="0.25"/>
    <row r="125278" customFormat="1" x14ac:dyDescent="0.25"/>
    <row r="125279" customFormat="1" x14ac:dyDescent="0.25"/>
    <row r="125280" customFormat="1" x14ac:dyDescent="0.25"/>
    <row r="125281" customFormat="1" x14ac:dyDescent="0.25"/>
    <row r="125282" customFormat="1" x14ac:dyDescent="0.25"/>
    <row r="125283" customFormat="1" x14ac:dyDescent="0.25"/>
    <row r="125284" customFormat="1" x14ac:dyDescent="0.25"/>
    <row r="125285" customFormat="1" x14ac:dyDescent="0.25"/>
    <row r="125286" customFormat="1" x14ac:dyDescent="0.25"/>
    <row r="125287" customFormat="1" x14ac:dyDescent="0.25"/>
    <row r="125288" customFormat="1" x14ac:dyDescent="0.25"/>
    <row r="125289" customFormat="1" x14ac:dyDescent="0.25"/>
    <row r="125290" customFormat="1" x14ac:dyDescent="0.25"/>
    <row r="125291" customFormat="1" x14ac:dyDescent="0.25"/>
    <row r="125292" customFormat="1" x14ac:dyDescent="0.25"/>
    <row r="125293" customFormat="1" x14ac:dyDescent="0.25"/>
    <row r="125294" customFormat="1" x14ac:dyDescent="0.25"/>
    <row r="125295" customFormat="1" x14ac:dyDescent="0.25"/>
    <row r="125296" customFormat="1" x14ac:dyDescent="0.25"/>
    <row r="125297" customFormat="1" x14ac:dyDescent="0.25"/>
    <row r="125298" customFormat="1" x14ac:dyDescent="0.25"/>
    <row r="125299" customFormat="1" x14ac:dyDescent="0.25"/>
    <row r="125300" customFormat="1" x14ac:dyDescent="0.25"/>
    <row r="125301" customFormat="1" x14ac:dyDescent="0.25"/>
    <row r="125302" customFormat="1" x14ac:dyDescent="0.25"/>
    <row r="125303" customFormat="1" x14ac:dyDescent="0.25"/>
    <row r="125304" customFormat="1" x14ac:dyDescent="0.25"/>
    <row r="125305" customFormat="1" x14ac:dyDescent="0.25"/>
    <row r="125306" customFormat="1" x14ac:dyDescent="0.25"/>
    <row r="125307" customFormat="1" x14ac:dyDescent="0.25"/>
    <row r="125308" customFormat="1" x14ac:dyDescent="0.25"/>
    <row r="125309" customFormat="1" x14ac:dyDescent="0.25"/>
    <row r="125310" customFormat="1" x14ac:dyDescent="0.25"/>
    <row r="125311" customFormat="1" x14ac:dyDescent="0.25"/>
    <row r="125312" customFormat="1" x14ac:dyDescent="0.25"/>
    <row r="125313" customFormat="1" x14ac:dyDescent="0.25"/>
    <row r="125314" customFormat="1" x14ac:dyDescent="0.25"/>
    <row r="125315" customFormat="1" x14ac:dyDescent="0.25"/>
    <row r="125316" customFormat="1" x14ac:dyDescent="0.25"/>
    <row r="125317" customFormat="1" x14ac:dyDescent="0.25"/>
    <row r="125318" customFormat="1" x14ac:dyDescent="0.25"/>
    <row r="125319" customFormat="1" x14ac:dyDescent="0.25"/>
    <row r="125320" customFormat="1" x14ac:dyDescent="0.25"/>
    <row r="125321" customFormat="1" x14ac:dyDescent="0.25"/>
    <row r="125322" customFormat="1" x14ac:dyDescent="0.25"/>
    <row r="125323" customFormat="1" x14ac:dyDescent="0.25"/>
    <row r="125324" customFormat="1" x14ac:dyDescent="0.25"/>
    <row r="125325" customFormat="1" x14ac:dyDescent="0.25"/>
    <row r="125326" customFormat="1" x14ac:dyDescent="0.25"/>
    <row r="125327" customFormat="1" x14ac:dyDescent="0.25"/>
    <row r="125328" customFormat="1" x14ac:dyDescent="0.25"/>
    <row r="125329" customFormat="1" x14ac:dyDescent="0.25"/>
    <row r="125330" customFormat="1" x14ac:dyDescent="0.25"/>
    <row r="125331" customFormat="1" x14ac:dyDescent="0.25"/>
    <row r="125332" customFormat="1" x14ac:dyDescent="0.25"/>
    <row r="125333" customFormat="1" x14ac:dyDescent="0.25"/>
    <row r="125334" customFormat="1" x14ac:dyDescent="0.25"/>
    <row r="125335" customFormat="1" x14ac:dyDescent="0.25"/>
    <row r="125336" customFormat="1" x14ac:dyDescent="0.25"/>
    <row r="125337" customFormat="1" x14ac:dyDescent="0.25"/>
    <row r="125338" customFormat="1" x14ac:dyDescent="0.25"/>
    <row r="125339" customFormat="1" x14ac:dyDescent="0.25"/>
    <row r="125340" customFormat="1" x14ac:dyDescent="0.25"/>
    <row r="125341" customFormat="1" x14ac:dyDescent="0.25"/>
    <row r="125342" customFormat="1" x14ac:dyDescent="0.25"/>
    <row r="125343" customFormat="1" x14ac:dyDescent="0.25"/>
    <row r="125344" customFormat="1" x14ac:dyDescent="0.25"/>
    <row r="125345" customFormat="1" x14ac:dyDescent="0.25"/>
    <row r="125346" customFormat="1" x14ac:dyDescent="0.25"/>
    <row r="125347" customFormat="1" x14ac:dyDescent="0.25"/>
    <row r="125348" customFormat="1" x14ac:dyDescent="0.25"/>
    <row r="125349" customFormat="1" x14ac:dyDescent="0.25"/>
    <row r="125350" customFormat="1" x14ac:dyDescent="0.25"/>
    <row r="125351" customFormat="1" x14ac:dyDescent="0.25"/>
    <row r="125352" customFormat="1" x14ac:dyDescent="0.25"/>
    <row r="125353" customFormat="1" x14ac:dyDescent="0.25"/>
    <row r="125354" customFormat="1" x14ac:dyDescent="0.25"/>
    <row r="125355" customFormat="1" x14ac:dyDescent="0.25"/>
    <row r="125356" customFormat="1" x14ac:dyDescent="0.25"/>
    <row r="125357" customFormat="1" x14ac:dyDescent="0.25"/>
    <row r="125358" customFormat="1" x14ac:dyDescent="0.25"/>
    <row r="125359" customFormat="1" x14ac:dyDescent="0.25"/>
    <row r="125360" customFormat="1" x14ac:dyDescent="0.25"/>
    <row r="125361" customFormat="1" x14ac:dyDescent="0.25"/>
    <row r="125362" customFormat="1" x14ac:dyDescent="0.25"/>
    <row r="125363" customFormat="1" x14ac:dyDescent="0.25"/>
    <row r="125364" customFormat="1" x14ac:dyDescent="0.25"/>
    <row r="125365" customFormat="1" x14ac:dyDescent="0.25"/>
    <row r="125366" customFormat="1" x14ac:dyDescent="0.25"/>
    <row r="125367" customFormat="1" x14ac:dyDescent="0.25"/>
    <row r="125368" customFormat="1" x14ac:dyDescent="0.25"/>
    <row r="125369" customFormat="1" x14ac:dyDescent="0.25"/>
    <row r="125370" customFormat="1" x14ac:dyDescent="0.25"/>
    <row r="125371" customFormat="1" x14ac:dyDescent="0.25"/>
    <row r="125372" customFormat="1" x14ac:dyDescent="0.25"/>
    <row r="125373" customFormat="1" x14ac:dyDescent="0.25"/>
    <row r="125374" customFormat="1" x14ac:dyDescent="0.25"/>
    <row r="125375" customFormat="1" x14ac:dyDescent="0.25"/>
    <row r="125376" customFormat="1" x14ac:dyDescent="0.25"/>
    <row r="125377" customFormat="1" x14ac:dyDescent="0.25"/>
    <row r="125378" customFormat="1" x14ac:dyDescent="0.25"/>
    <row r="125379" customFormat="1" x14ac:dyDescent="0.25"/>
    <row r="125380" customFormat="1" x14ac:dyDescent="0.25"/>
    <row r="125381" customFormat="1" x14ac:dyDescent="0.25"/>
    <row r="125382" customFormat="1" x14ac:dyDescent="0.25"/>
    <row r="125383" customFormat="1" x14ac:dyDescent="0.25"/>
    <row r="125384" customFormat="1" x14ac:dyDescent="0.25"/>
    <row r="125385" customFormat="1" x14ac:dyDescent="0.25"/>
    <row r="125386" customFormat="1" x14ac:dyDescent="0.25"/>
    <row r="125387" customFormat="1" x14ac:dyDescent="0.25"/>
    <row r="125388" customFormat="1" x14ac:dyDescent="0.25"/>
    <row r="125389" customFormat="1" x14ac:dyDescent="0.25"/>
    <row r="125390" customFormat="1" x14ac:dyDescent="0.25"/>
    <row r="125391" customFormat="1" x14ac:dyDescent="0.25"/>
    <row r="125392" customFormat="1" x14ac:dyDescent="0.25"/>
    <row r="125393" customFormat="1" x14ac:dyDescent="0.25"/>
    <row r="125394" customFormat="1" x14ac:dyDescent="0.25"/>
    <row r="125395" customFormat="1" x14ac:dyDescent="0.25"/>
    <row r="125396" customFormat="1" x14ac:dyDescent="0.25"/>
    <row r="125397" customFormat="1" x14ac:dyDescent="0.25"/>
    <row r="125398" customFormat="1" x14ac:dyDescent="0.25"/>
    <row r="125399" customFormat="1" x14ac:dyDescent="0.25"/>
    <row r="125400" customFormat="1" x14ac:dyDescent="0.25"/>
    <row r="125401" customFormat="1" x14ac:dyDescent="0.25"/>
    <row r="125402" customFormat="1" x14ac:dyDescent="0.25"/>
    <row r="125403" customFormat="1" x14ac:dyDescent="0.25"/>
    <row r="125404" customFormat="1" x14ac:dyDescent="0.25"/>
    <row r="125405" customFormat="1" x14ac:dyDescent="0.25"/>
    <row r="125406" customFormat="1" x14ac:dyDescent="0.25"/>
    <row r="125407" customFormat="1" x14ac:dyDescent="0.25"/>
    <row r="125408" customFormat="1" x14ac:dyDescent="0.25"/>
    <row r="125409" customFormat="1" x14ac:dyDescent="0.25"/>
    <row r="125410" customFormat="1" x14ac:dyDescent="0.25"/>
    <row r="125411" customFormat="1" x14ac:dyDescent="0.25"/>
    <row r="125412" customFormat="1" x14ac:dyDescent="0.25"/>
    <row r="125413" customFormat="1" x14ac:dyDescent="0.25"/>
    <row r="125414" customFormat="1" x14ac:dyDescent="0.25"/>
    <row r="125415" customFormat="1" x14ac:dyDescent="0.25"/>
    <row r="125416" customFormat="1" x14ac:dyDescent="0.25"/>
    <row r="125417" customFormat="1" x14ac:dyDescent="0.25"/>
    <row r="125418" customFormat="1" x14ac:dyDescent="0.25"/>
    <row r="125419" customFormat="1" x14ac:dyDescent="0.25"/>
    <row r="125420" customFormat="1" x14ac:dyDescent="0.25"/>
    <row r="125421" customFormat="1" x14ac:dyDescent="0.25"/>
    <row r="125422" customFormat="1" x14ac:dyDescent="0.25"/>
    <row r="125423" customFormat="1" x14ac:dyDescent="0.25"/>
    <row r="125424" customFormat="1" x14ac:dyDescent="0.25"/>
    <row r="125425" customFormat="1" x14ac:dyDescent="0.25"/>
    <row r="125426" customFormat="1" x14ac:dyDescent="0.25"/>
    <row r="125427" customFormat="1" x14ac:dyDescent="0.25"/>
    <row r="125428" customFormat="1" x14ac:dyDescent="0.25"/>
    <row r="125429" customFormat="1" x14ac:dyDescent="0.25"/>
    <row r="125430" customFormat="1" x14ac:dyDescent="0.25"/>
    <row r="125431" customFormat="1" x14ac:dyDescent="0.25"/>
    <row r="125432" customFormat="1" x14ac:dyDescent="0.25"/>
    <row r="125433" customFormat="1" x14ac:dyDescent="0.25"/>
    <row r="125434" customFormat="1" x14ac:dyDescent="0.25"/>
    <row r="125435" customFormat="1" x14ac:dyDescent="0.25"/>
    <row r="125436" customFormat="1" x14ac:dyDescent="0.25"/>
    <row r="125437" customFormat="1" x14ac:dyDescent="0.25"/>
    <row r="125438" customFormat="1" x14ac:dyDescent="0.25"/>
    <row r="125439" customFormat="1" x14ac:dyDescent="0.25"/>
    <row r="125440" customFormat="1" x14ac:dyDescent="0.25"/>
    <row r="125441" customFormat="1" x14ac:dyDescent="0.25"/>
    <row r="125442" customFormat="1" x14ac:dyDescent="0.25"/>
    <row r="125443" customFormat="1" x14ac:dyDescent="0.25"/>
    <row r="125444" customFormat="1" x14ac:dyDescent="0.25"/>
    <row r="125445" customFormat="1" x14ac:dyDescent="0.25"/>
    <row r="125446" customFormat="1" x14ac:dyDescent="0.25"/>
    <row r="125447" customFormat="1" x14ac:dyDescent="0.25"/>
    <row r="125448" customFormat="1" x14ac:dyDescent="0.25"/>
    <row r="125449" customFormat="1" x14ac:dyDescent="0.25"/>
    <row r="125450" customFormat="1" x14ac:dyDescent="0.25"/>
    <row r="125451" customFormat="1" x14ac:dyDescent="0.25"/>
    <row r="125452" customFormat="1" x14ac:dyDescent="0.25"/>
    <row r="125453" customFormat="1" x14ac:dyDescent="0.25"/>
    <row r="125454" customFormat="1" x14ac:dyDescent="0.25"/>
    <row r="125455" customFormat="1" x14ac:dyDescent="0.25"/>
    <row r="125456" customFormat="1" x14ac:dyDescent="0.25"/>
    <row r="125457" customFormat="1" x14ac:dyDescent="0.25"/>
    <row r="125458" customFormat="1" x14ac:dyDescent="0.25"/>
    <row r="125459" customFormat="1" x14ac:dyDescent="0.25"/>
    <row r="125460" customFormat="1" x14ac:dyDescent="0.25"/>
    <row r="125461" customFormat="1" x14ac:dyDescent="0.25"/>
    <row r="125462" customFormat="1" x14ac:dyDescent="0.25"/>
    <row r="125463" customFormat="1" x14ac:dyDescent="0.25"/>
    <row r="125464" customFormat="1" x14ac:dyDescent="0.25"/>
    <row r="125465" customFormat="1" x14ac:dyDescent="0.25"/>
    <row r="125466" customFormat="1" x14ac:dyDescent="0.25"/>
    <row r="125467" customFormat="1" x14ac:dyDescent="0.25"/>
    <row r="125468" customFormat="1" x14ac:dyDescent="0.25"/>
    <row r="125469" customFormat="1" x14ac:dyDescent="0.25"/>
    <row r="125470" customFormat="1" x14ac:dyDescent="0.25"/>
    <row r="125471" customFormat="1" x14ac:dyDescent="0.25"/>
    <row r="125472" customFormat="1" x14ac:dyDescent="0.25"/>
    <row r="125473" customFormat="1" x14ac:dyDescent="0.25"/>
    <row r="125474" customFormat="1" x14ac:dyDescent="0.25"/>
    <row r="125475" customFormat="1" x14ac:dyDescent="0.25"/>
    <row r="125476" customFormat="1" x14ac:dyDescent="0.25"/>
    <row r="125477" customFormat="1" x14ac:dyDescent="0.25"/>
    <row r="125478" customFormat="1" x14ac:dyDescent="0.25"/>
    <row r="125479" customFormat="1" x14ac:dyDescent="0.25"/>
    <row r="125480" customFormat="1" x14ac:dyDescent="0.25"/>
    <row r="125481" customFormat="1" x14ac:dyDescent="0.25"/>
    <row r="125482" customFormat="1" x14ac:dyDescent="0.25"/>
    <row r="125483" customFormat="1" x14ac:dyDescent="0.25"/>
    <row r="125484" customFormat="1" x14ac:dyDescent="0.25"/>
    <row r="125485" customFormat="1" x14ac:dyDescent="0.25"/>
    <row r="125486" customFormat="1" x14ac:dyDescent="0.25"/>
    <row r="125487" customFormat="1" x14ac:dyDescent="0.25"/>
    <row r="125488" customFormat="1" x14ac:dyDescent="0.25"/>
    <row r="125489" customFormat="1" x14ac:dyDescent="0.25"/>
    <row r="125490" customFormat="1" x14ac:dyDescent="0.25"/>
    <row r="125491" customFormat="1" x14ac:dyDescent="0.25"/>
    <row r="125492" customFormat="1" x14ac:dyDescent="0.25"/>
    <row r="125493" customFormat="1" x14ac:dyDescent="0.25"/>
    <row r="125494" customFormat="1" x14ac:dyDescent="0.25"/>
    <row r="125495" customFormat="1" x14ac:dyDescent="0.25"/>
    <row r="125496" customFormat="1" x14ac:dyDescent="0.25"/>
    <row r="125497" customFormat="1" x14ac:dyDescent="0.25"/>
    <row r="125498" customFormat="1" x14ac:dyDescent="0.25"/>
    <row r="125499" customFormat="1" x14ac:dyDescent="0.25"/>
    <row r="125500" customFormat="1" x14ac:dyDescent="0.25"/>
    <row r="125501" customFormat="1" x14ac:dyDescent="0.25"/>
    <row r="125502" customFormat="1" x14ac:dyDescent="0.25"/>
    <row r="125503" customFormat="1" x14ac:dyDescent="0.25"/>
    <row r="125504" customFormat="1" x14ac:dyDescent="0.25"/>
    <row r="125505" customFormat="1" x14ac:dyDescent="0.25"/>
    <row r="125506" customFormat="1" x14ac:dyDescent="0.25"/>
    <row r="125507" customFormat="1" x14ac:dyDescent="0.25"/>
    <row r="125508" customFormat="1" x14ac:dyDescent="0.25"/>
    <row r="125509" customFormat="1" x14ac:dyDescent="0.25"/>
    <row r="125510" customFormat="1" x14ac:dyDescent="0.25"/>
    <row r="125511" customFormat="1" x14ac:dyDescent="0.25"/>
    <row r="125512" customFormat="1" x14ac:dyDescent="0.25"/>
    <row r="125513" customFormat="1" x14ac:dyDescent="0.25"/>
    <row r="125514" customFormat="1" x14ac:dyDescent="0.25"/>
    <row r="125515" customFormat="1" x14ac:dyDescent="0.25"/>
    <row r="125516" customFormat="1" x14ac:dyDescent="0.25"/>
    <row r="125517" customFormat="1" x14ac:dyDescent="0.25"/>
    <row r="125518" customFormat="1" x14ac:dyDescent="0.25"/>
    <row r="125519" customFormat="1" x14ac:dyDescent="0.25"/>
    <row r="125520" customFormat="1" x14ac:dyDescent="0.25"/>
    <row r="125521" customFormat="1" x14ac:dyDescent="0.25"/>
    <row r="125522" customFormat="1" x14ac:dyDescent="0.25"/>
    <row r="125523" customFormat="1" x14ac:dyDescent="0.25"/>
    <row r="125524" customFormat="1" x14ac:dyDescent="0.25"/>
    <row r="125525" customFormat="1" x14ac:dyDescent="0.25"/>
    <row r="125526" customFormat="1" x14ac:dyDescent="0.25"/>
    <row r="125527" customFormat="1" x14ac:dyDescent="0.25"/>
    <row r="125528" customFormat="1" x14ac:dyDescent="0.25"/>
    <row r="125529" customFormat="1" x14ac:dyDescent="0.25"/>
    <row r="125530" customFormat="1" x14ac:dyDescent="0.25"/>
    <row r="125531" customFormat="1" x14ac:dyDescent="0.25"/>
    <row r="125532" customFormat="1" x14ac:dyDescent="0.25"/>
    <row r="125533" customFormat="1" x14ac:dyDescent="0.25"/>
    <row r="125534" customFormat="1" x14ac:dyDescent="0.25"/>
    <row r="125535" customFormat="1" x14ac:dyDescent="0.25"/>
    <row r="125536" customFormat="1" x14ac:dyDescent="0.25"/>
    <row r="125537" customFormat="1" x14ac:dyDescent="0.25"/>
    <row r="125538" customFormat="1" x14ac:dyDescent="0.25"/>
    <row r="125539" customFormat="1" x14ac:dyDescent="0.25"/>
    <row r="125540" customFormat="1" x14ac:dyDescent="0.25"/>
    <row r="125541" customFormat="1" x14ac:dyDescent="0.25"/>
    <row r="125542" customFormat="1" x14ac:dyDescent="0.25"/>
    <row r="125543" customFormat="1" x14ac:dyDescent="0.25"/>
    <row r="125544" customFormat="1" x14ac:dyDescent="0.25"/>
    <row r="125545" customFormat="1" x14ac:dyDescent="0.25"/>
    <row r="125546" customFormat="1" x14ac:dyDescent="0.25"/>
    <row r="125547" customFormat="1" x14ac:dyDescent="0.25"/>
    <row r="125548" customFormat="1" x14ac:dyDescent="0.25"/>
    <row r="125549" customFormat="1" x14ac:dyDescent="0.25"/>
    <row r="125550" customFormat="1" x14ac:dyDescent="0.25"/>
    <row r="125551" customFormat="1" x14ac:dyDescent="0.25"/>
    <row r="125552" customFormat="1" x14ac:dyDescent="0.25"/>
    <row r="125553" customFormat="1" x14ac:dyDescent="0.25"/>
    <row r="125554" customFormat="1" x14ac:dyDescent="0.25"/>
    <row r="125555" customFormat="1" x14ac:dyDescent="0.25"/>
    <row r="125556" customFormat="1" x14ac:dyDescent="0.25"/>
    <row r="125557" customFormat="1" x14ac:dyDescent="0.25"/>
    <row r="125558" customFormat="1" x14ac:dyDescent="0.25"/>
    <row r="125559" customFormat="1" x14ac:dyDescent="0.25"/>
    <row r="125560" customFormat="1" x14ac:dyDescent="0.25"/>
    <row r="125561" customFormat="1" x14ac:dyDescent="0.25"/>
    <row r="125562" customFormat="1" x14ac:dyDescent="0.25"/>
    <row r="125563" customFormat="1" x14ac:dyDescent="0.25"/>
    <row r="125564" customFormat="1" x14ac:dyDescent="0.25"/>
    <row r="125565" customFormat="1" x14ac:dyDescent="0.25"/>
    <row r="125566" customFormat="1" x14ac:dyDescent="0.25"/>
    <row r="125567" customFormat="1" x14ac:dyDescent="0.25"/>
    <row r="125568" customFormat="1" x14ac:dyDescent="0.25"/>
    <row r="125569" customFormat="1" x14ac:dyDescent="0.25"/>
    <row r="125570" customFormat="1" x14ac:dyDescent="0.25"/>
    <row r="125571" customFormat="1" x14ac:dyDescent="0.25"/>
    <row r="125572" customFormat="1" x14ac:dyDescent="0.25"/>
    <row r="125573" customFormat="1" x14ac:dyDescent="0.25"/>
    <row r="125574" customFormat="1" x14ac:dyDescent="0.25"/>
    <row r="125575" customFormat="1" x14ac:dyDescent="0.25"/>
    <row r="125576" customFormat="1" x14ac:dyDescent="0.25"/>
    <row r="125577" customFormat="1" x14ac:dyDescent="0.25"/>
    <row r="125578" customFormat="1" x14ac:dyDescent="0.25"/>
    <row r="125579" customFormat="1" x14ac:dyDescent="0.25"/>
    <row r="125580" customFormat="1" x14ac:dyDescent="0.25"/>
    <row r="125581" customFormat="1" x14ac:dyDescent="0.25"/>
    <row r="125582" customFormat="1" x14ac:dyDescent="0.25"/>
    <row r="125583" customFormat="1" x14ac:dyDescent="0.25"/>
    <row r="125584" customFormat="1" x14ac:dyDescent="0.25"/>
    <row r="125585" customFormat="1" x14ac:dyDescent="0.25"/>
    <row r="125586" customFormat="1" x14ac:dyDescent="0.25"/>
    <row r="125587" customFormat="1" x14ac:dyDescent="0.25"/>
    <row r="125588" customFormat="1" x14ac:dyDescent="0.25"/>
    <row r="125589" customFormat="1" x14ac:dyDescent="0.25"/>
    <row r="125590" customFormat="1" x14ac:dyDescent="0.25"/>
    <row r="125591" customFormat="1" x14ac:dyDescent="0.25"/>
    <row r="125592" customFormat="1" x14ac:dyDescent="0.25"/>
    <row r="125593" customFormat="1" x14ac:dyDescent="0.25"/>
    <row r="125594" customFormat="1" x14ac:dyDescent="0.25"/>
    <row r="125595" customFormat="1" x14ac:dyDescent="0.25"/>
    <row r="125596" customFormat="1" x14ac:dyDescent="0.25"/>
    <row r="125597" customFormat="1" x14ac:dyDescent="0.25"/>
    <row r="125598" customFormat="1" x14ac:dyDescent="0.25"/>
    <row r="125599" customFormat="1" x14ac:dyDescent="0.25"/>
    <row r="125600" customFormat="1" x14ac:dyDescent="0.25"/>
    <row r="125601" customFormat="1" x14ac:dyDescent="0.25"/>
    <row r="125602" customFormat="1" x14ac:dyDescent="0.25"/>
    <row r="125603" customFormat="1" x14ac:dyDescent="0.25"/>
    <row r="125604" customFormat="1" x14ac:dyDescent="0.25"/>
    <row r="125605" customFormat="1" x14ac:dyDescent="0.25"/>
    <row r="125606" customFormat="1" x14ac:dyDescent="0.25"/>
    <row r="125607" customFormat="1" x14ac:dyDescent="0.25"/>
    <row r="125608" customFormat="1" x14ac:dyDescent="0.25"/>
    <row r="125609" customFormat="1" x14ac:dyDescent="0.25"/>
    <row r="125610" customFormat="1" x14ac:dyDescent="0.25"/>
    <row r="125611" customFormat="1" x14ac:dyDescent="0.25"/>
    <row r="125612" customFormat="1" x14ac:dyDescent="0.25"/>
    <row r="125613" customFormat="1" x14ac:dyDescent="0.25"/>
    <row r="125614" customFormat="1" x14ac:dyDescent="0.25"/>
    <row r="125615" customFormat="1" x14ac:dyDescent="0.25"/>
    <row r="125616" customFormat="1" x14ac:dyDescent="0.25"/>
    <row r="125617" customFormat="1" x14ac:dyDescent="0.25"/>
    <row r="125618" customFormat="1" x14ac:dyDescent="0.25"/>
    <row r="125619" customFormat="1" x14ac:dyDescent="0.25"/>
    <row r="125620" customFormat="1" x14ac:dyDescent="0.25"/>
    <row r="125621" customFormat="1" x14ac:dyDescent="0.25"/>
    <row r="125622" customFormat="1" x14ac:dyDescent="0.25"/>
    <row r="125623" customFormat="1" x14ac:dyDescent="0.25"/>
    <row r="125624" customFormat="1" x14ac:dyDescent="0.25"/>
    <row r="125625" customFormat="1" x14ac:dyDescent="0.25"/>
    <row r="125626" customFormat="1" x14ac:dyDescent="0.25"/>
    <row r="125627" customFormat="1" x14ac:dyDescent="0.25"/>
    <row r="125628" customFormat="1" x14ac:dyDescent="0.25"/>
    <row r="125629" customFormat="1" x14ac:dyDescent="0.25"/>
    <row r="125630" customFormat="1" x14ac:dyDescent="0.25"/>
    <row r="125631" customFormat="1" x14ac:dyDescent="0.25"/>
    <row r="125632" customFormat="1" x14ac:dyDescent="0.25"/>
    <row r="125633" customFormat="1" x14ac:dyDescent="0.25"/>
    <row r="125634" customFormat="1" x14ac:dyDescent="0.25"/>
    <row r="125635" customFormat="1" x14ac:dyDescent="0.25"/>
    <row r="125636" customFormat="1" x14ac:dyDescent="0.25"/>
    <row r="125637" customFormat="1" x14ac:dyDescent="0.25"/>
    <row r="125638" customFormat="1" x14ac:dyDescent="0.25"/>
    <row r="125639" customFormat="1" x14ac:dyDescent="0.25"/>
    <row r="125640" customFormat="1" x14ac:dyDescent="0.25"/>
    <row r="125641" customFormat="1" x14ac:dyDescent="0.25"/>
    <row r="125642" customFormat="1" x14ac:dyDescent="0.25"/>
    <row r="125643" customFormat="1" x14ac:dyDescent="0.25"/>
    <row r="125644" customFormat="1" x14ac:dyDescent="0.25"/>
    <row r="125645" customFormat="1" x14ac:dyDescent="0.25"/>
    <row r="125646" customFormat="1" x14ac:dyDescent="0.25"/>
    <row r="125647" customFormat="1" x14ac:dyDescent="0.25"/>
    <row r="125648" customFormat="1" x14ac:dyDescent="0.25"/>
    <row r="125649" customFormat="1" x14ac:dyDescent="0.25"/>
    <row r="125650" customFormat="1" x14ac:dyDescent="0.25"/>
    <row r="125651" customFormat="1" x14ac:dyDescent="0.25"/>
    <row r="125652" customFormat="1" x14ac:dyDescent="0.25"/>
    <row r="125653" customFormat="1" x14ac:dyDescent="0.25"/>
    <row r="125654" customFormat="1" x14ac:dyDescent="0.25"/>
    <row r="125655" customFormat="1" x14ac:dyDescent="0.25"/>
    <row r="125656" customFormat="1" x14ac:dyDescent="0.25"/>
    <row r="125657" customFormat="1" x14ac:dyDescent="0.25"/>
    <row r="125658" customFormat="1" x14ac:dyDescent="0.25"/>
    <row r="125659" customFormat="1" x14ac:dyDescent="0.25"/>
    <row r="125660" customFormat="1" x14ac:dyDescent="0.25"/>
    <row r="125661" customFormat="1" x14ac:dyDescent="0.25"/>
    <row r="125662" customFormat="1" x14ac:dyDescent="0.25"/>
    <row r="125663" customFormat="1" x14ac:dyDescent="0.25"/>
    <row r="125664" customFormat="1" x14ac:dyDescent="0.25"/>
    <row r="125665" customFormat="1" x14ac:dyDescent="0.25"/>
    <row r="125666" customFormat="1" x14ac:dyDescent="0.25"/>
    <row r="125667" customFormat="1" x14ac:dyDescent="0.25"/>
    <row r="125668" customFormat="1" x14ac:dyDescent="0.25"/>
    <row r="125669" customFormat="1" x14ac:dyDescent="0.25"/>
    <row r="125670" customFormat="1" x14ac:dyDescent="0.25"/>
    <row r="125671" customFormat="1" x14ac:dyDescent="0.25"/>
    <row r="125672" customFormat="1" x14ac:dyDescent="0.25"/>
    <row r="125673" customFormat="1" x14ac:dyDescent="0.25"/>
    <row r="125674" customFormat="1" x14ac:dyDescent="0.25"/>
    <row r="125675" customFormat="1" x14ac:dyDescent="0.25"/>
    <row r="125676" customFormat="1" x14ac:dyDescent="0.25"/>
    <row r="125677" customFormat="1" x14ac:dyDescent="0.25"/>
    <row r="125678" customFormat="1" x14ac:dyDescent="0.25"/>
    <row r="125679" customFormat="1" x14ac:dyDescent="0.25"/>
    <row r="125680" customFormat="1" x14ac:dyDescent="0.25"/>
    <row r="125681" customFormat="1" x14ac:dyDescent="0.25"/>
    <row r="125682" customFormat="1" x14ac:dyDescent="0.25"/>
    <row r="125683" customFormat="1" x14ac:dyDescent="0.25"/>
    <row r="125684" customFormat="1" x14ac:dyDescent="0.25"/>
    <row r="125685" customFormat="1" x14ac:dyDescent="0.25"/>
    <row r="125686" customFormat="1" x14ac:dyDescent="0.25"/>
    <row r="125687" customFormat="1" x14ac:dyDescent="0.25"/>
    <row r="125688" customFormat="1" x14ac:dyDescent="0.25"/>
    <row r="125689" customFormat="1" x14ac:dyDescent="0.25"/>
    <row r="125690" customFormat="1" x14ac:dyDescent="0.25"/>
    <row r="125691" customFormat="1" x14ac:dyDescent="0.25"/>
    <row r="125692" customFormat="1" x14ac:dyDescent="0.25"/>
    <row r="125693" customFormat="1" x14ac:dyDescent="0.25"/>
    <row r="125694" customFormat="1" x14ac:dyDescent="0.25"/>
    <row r="125695" customFormat="1" x14ac:dyDescent="0.25"/>
    <row r="125696" customFormat="1" x14ac:dyDescent="0.25"/>
    <row r="125697" customFormat="1" x14ac:dyDescent="0.25"/>
    <row r="125698" customFormat="1" x14ac:dyDescent="0.25"/>
    <row r="125699" customFormat="1" x14ac:dyDescent="0.25"/>
    <row r="125700" customFormat="1" x14ac:dyDescent="0.25"/>
    <row r="125701" customFormat="1" x14ac:dyDescent="0.25"/>
    <row r="125702" customFormat="1" x14ac:dyDescent="0.25"/>
    <row r="125703" customFormat="1" x14ac:dyDescent="0.25"/>
    <row r="125704" customFormat="1" x14ac:dyDescent="0.25"/>
    <row r="125705" customFormat="1" x14ac:dyDescent="0.25"/>
    <row r="125706" customFormat="1" x14ac:dyDescent="0.25"/>
    <row r="125707" customFormat="1" x14ac:dyDescent="0.25"/>
    <row r="125708" customFormat="1" x14ac:dyDescent="0.25"/>
    <row r="125709" customFormat="1" x14ac:dyDescent="0.25"/>
    <row r="125710" customFormat="1" x14ac:dyDescent="0.25"/>
    <row r="125711" customFormat="1" x14ac:dyDescent="0.25"/>
    <row r="125712" customFormat="1" x14ac:dyDescent="0.25"/>
    <row r="125713" customFormat="1" x14ac:dyDescent="0.25"/>
    <row r="125714" customFormat="1" x14ac:dyDescent="0.25"/>
    <row r="125715" customFormat="1" x14ac:dyDescent="0.25"/>
    <row r="125716" customFormat="1" x14ac:dyDescent="0.25"/>
    <row r="125717" customFormat="1" x14ac:dyDescent="0.25"/>
    <row r="125718" customFormat="1" x14ac:dyDescent="0.25"/>
    <row r="125719" customFormat="1" x14ac:dyDescent="0.25"/>
    <row r="125720" customFormat="1" x14ac:dyDescent="0.25"/>
    <row r="125721" customFormat="1" x14ac:dyDescent="0.25"/>
    <row r="125722" customFormat="1" x14ac:dyDescent="0.25"/>
    <row r="125723" customFormat="1" x14ac:dyDescent="0.25"/>
    <row r="125724" customFormat="1" x14ac:dyDescent="0.25"/>
    <row r="125725" customFormat="1" x14ac:dyDescent="0.25"/>
    <row r="125726" customFormat="1" x14ac:dyDescent="0.25"/>
    <row r="125727" customFormat="1" x14ac:dyDescent="0.25"/>
    <row r="125728" customFormat="1" x14ac:dyDescent="0.25"/>
    <row r="125729" customFormat="1" x14ac:dyDescent="0.25"/>
    <row r="125730" customFormat="1" x14ac:dyDescent="0.25"/>
    <row r="125731" customFormat="1" x14ac:dyDescent="0.25"/>
    <row r="125732" customFormat="1" x14ac:dyDescent="0.25"/>
    <row r="125733" customFormat="1" x14ac:dyDescent="0.25"/>
    <row r="125734" customFormat="1" x14ac:dyDescent="0.25"/>
    <row r="125735" customFormat="1" x14ac:dyDescent="0.25"/>
    <row r="125736" customFormat="1" x14ac:dyDescent="0.25"/>
    <row r="125737" customFormat="1" x14ac:dyDescent="0.25"/>
    <row r="125738" customFormat="1" x14ac:dyDescent="0.25"/>
    <row r="125739" customFormat="1" x14ac:dyDescent="0.25"/>
    <row r="125740" customFormat="1" x14ac:dyDescent="0.25"/>
    <row r="125741" customFormat="1" x14ac:dyDescent="0.25"/>
    <row r="125742" customFormat="1" x14ac:dyDescent="0.25"/>
    <row r="125743" customFormat="1" x14ac:dyDescent="0.25"/>
    <row r="125744" customFormat="1" x14ac:dyDescent="0.25"/>
    <row r="125745" customFormat="1" x14ac:dyDescent="0.25"/>
    <row r="125746" customFormat="1" x14ac:dyDescent="0.25"/>
    <row r="125747" customFormat="1" x14ac:dyDescent="0.25"/>
    <row r="125748" customFormat="1" x14ac:dyDescent="0.25"/>
    <row r="125749" customFormat="1" x14ac:dyDescent="0.25"/>
    <row r="125750" customFormat="1" x14ac:dyDescent="0.25"/>
    <row r="125751" customFormat="1" x14ac:dyDescent="0.25"/>
    <row r="125752" customFormat="1" x14ac:dyDescent="0.25"/>
    <row r="125753" customFormat="1" x14ac:dyDescent="0.25"/>
    <row r="125754" customFormat="1" x14ac:dyDescent="0.25"/>
    <row r="125755" customFormat="1" x14ac:dyDescent="0.25"/>
    <row r="125756" customFormat="1" x14ac:dyDescent="0.25"/>
    <row r="125757" customFormat="1" x14ac:dyDescent="0.25"/>
    <row r="125758" customFormat="1" x14ac:dyDescent="0.25"/>
    <row r="125759" customFormat="1" x14ac:dyDescent="0.25"/>
    <row r="125760" customFormat="1" x14ac:dyDescent="0.25"/>
    <row r="125761" customFormat="1" x14ac:dyDescent="0.25"/>
    <row r="125762" customFormat="1" x14ac:dyDescent="0.25"/>
    <row r="125763" customFormat="1" x14ac:dyDescent="0.25"/>
    <row r="125764" customFormat="1" x14ac:dyDescent="0.25"/>
    <row r="125765" customFormat="1" x14ac:dyDescent="0.25"/>
    <row r="125766" customFormat="1" x14ac:dyDescent="0.25"/>
    <row r="125767" customFormat="1" x14ac:dyDescent="0.25"/>
    <row r="125768" customFormat="1" x14ac:dyDescent="0.25"/>
    <row r="125769" customFormat="1" x14ac:dyDescent="0.25"/>
    <row r="125770" customFormat="1" x14ac:dyDescent="0.25"/>
    <row r="125771" customFormat="1" x14ac:dyDescent="0.25"/>
    <row r="125772" customFormat="1" x14ac:dyDescent="0.25"/>
    <row r="125773" customFormat="1" x14ac:dyDescent="0.25"/>
    <row r="125774" customFormat="1" x14ac:dyDescent="0.25"/>
    <row r="125775" customFormat="1" x14ac:dyDescent="0.25"/>
    <row r="125776" customFormat="1" x14ac:dyDescent="0.25"/>
    <row r="125777" customFormat="1" x14ac:dyDescent="0.25"/>
    <row r="125778" customFormat="1" x14ac:dyDescent="0.25"/>
    <row r="125779" customFormat="1" x14ac:dyDescent="0.25"/>
    <row r="125780" customFormat="1" x14ac:dyDescent="0.25"/>
    <row r="125781" customFormat="1" x14ac:dyDescent="0.25"/>
    <row r="125782" customFormat="1" x14ac:dyDescent="0.25"/>
    <row r="125783" customFormat="1" x14ac:dyDescent="0.25"/>
    <row r="125784" customFormat="1" x14ac:dyDescent="0.25"/>
    <row r="125785" customFormat="1" x14ac:dyDescent="0.25"/>
    <row r="125786" customFormat="1" x14ac:dyDescent="0.25"/>
    <row r="125787" customFormat="1" x14ac:dyDescent="0.25"/>
    <row r="125788" customFormat="1" x14ac:dyDescent="0.25"/>
    <row r="125789" customFormat="1" x14ac:dyDescent="0.25"/>
    <row r="125790" customFormat="1" x14ac:dyDescent="0.25"/>
    <row r="125791" customFormat="1" x14ac:dyDescent="0.25"/>
    <row r="125792" customFormat="1" x14ac:dyDescent="0.25"/>
    <row r="125793" customFormat="1" x14ac:dyDescent="0.25"/>
    <row r="125794" customFormat="1" x14ac:dyDescent="0.25"/>
    <row r="125795" customFormat="1" x14ac:dyDescent="0.25"/>
    <row r="125796" customFormat="1" x14ac:dyDescent="0.25"/>
    <row r="125797" customFormat="1" x14ac:dyDescent="0.25"/>
    <row r="125798" customFormat="1" x14ac:dyDescent="0.25"/>
    <row r="125799" customFormat="1" x14ac:dyDescent="0.25"/>
    <row r="125800" customFormat="1" x14ac:dyDescent="0.25"/>
    <row r="125801" customFormat="1" x14ac:dyDescent="0.25"/>
    <row r="125802" customFormat="1" x14ac:dyDescent="0.25"/>
    <row r="125803" customFormat="1" x14ac:dyDescent="0.25"/>
    <row r="125804" customFormat="1" x14ac:dyDescent="0.25"/>
    <row r="125805" customFormat="1" x14ac:dyDescent="0.25"/>
    <row r="125806" customFormat="1" x14ac:dyDescent="0.25"/>
    <row r="125807" customFormat="1" x14ac:dyDescent="0.25"/>
    <row r="125808" customFormat="1" x14ac:dyDescent="0.25"/>
    <row r="125809" customFormat="1" x14ac:dyDescent="0.25"/>
    <row r="125810" customFormat="1" x14ac:dyDescent="0.25"/>
    <row r="125811" customFormat="1" x14ac:dyDescent="0.25"/>
    <row r="125812" customFormat="1" x14ac:dyDescent="0.25"/>
    <row r="125813" customFormat="1" x14ac:dyDescent="0.25"/>
    <row r="125814" customFormat="1" x14ac:dyDescent="0.25"/>
    <row r="125815" customFormat="1" x14ac:dyDescent="0.25"/>
    <row r="125816" customFormat="1" x14ac:dyDescent="0.25"/>
    <row r="125817" customFormat="1" x14ac:dyDescent="0.25"/>
    <row r="125818" customFormat="1" x14ac:dyDescent="0.25"/>
    <row r="125819" customFormat="1" x14ac:dyDescent="0.25"/>
    <row r="125820" customFormat="1" x14ac:dyDescent="0.25"/>
    <row r="125821" customFormat="1" x14ac:dyDescent="0.25"/>
    <row r="125822" customFormat="1" x14ac:dyDescent="0.25"/>
    <row r="125823" customFormat="1" x14ac:dyDescent="0.25"/>
    <row r="125824" customFormat="1" x14ac:dyDescent="0.25"/>
    <row r="125825" customFormat="1" x14ac:dyDescent="0.25"/>
    <row r="125826" customFormat="1" x14ac:dyDescent="0.25"/>
    <row r="125827" customFormat="1" x14ac:dyDescent="0.25"/>
    <row r="125828" customFormat="1" x14ac:dyDescent="0.25"/>
    <row r="125829" customFormat="1" x14ac:dyDescent="0.25"/>
    <row r="125830" customFormat="1" x14ac:dyDescent="0.25"/>
    <row r="125831" customFormat="1" x14ac:dyDescent="0.25"/>
    <row r="125832" customFormat="1" x14ac:dyDescent="0.25"/>
    <row r="125833" customFormat="1" x14ac:dyDescent="0.25"/>
    <row r="125834" customFormat="1" x14ac:dyDescent="0.25"/>
    <row r="125835" customFormat="1" x14ac:dyDescent="0.25"/>
    <row r="125836" customFormat="1" x14ac:dyDescent="0.25"/>
    <row r="125837" customFormat="1" x14ac:dyDescent="0.25"/>
    <row r="125838" customFormat="1" x14ac:dyDescent="0.25"/>
    <row r="125839" customFormat="1" x14ac:dyDescent="0.25"/>
    <row r="125840" customFormat="1" x14ac:dyDescent="0.25"/>
    <row r="125841" customFormat="1" x14ac:dyDescent="0.25"/>
    <row r="125842" customFormat="1" x14ac:dyDescent="0.25"/>
    <row r="125843" customFormat="1" x14ac:dyDescent="0.25"/>
    <row r="125844" customFormat="1" x14ac:dyDescent="0.25"/>
    <row r="125845" customFormat="1" x14ac:dyDescent="0.25"/>
    <row r="125846" customFormat="1" x14ac:dyDescent="0.25"/>
    <row r="125847" customFormat="1" x14ac:dyDescent="0.25"/>
    <row r="125848" customFormat="1" x14ac:dyDescent="0.25"/>
    <row r="125849" customFormat="1" x14ac:dyDescent="0.25"/>
    <row r="125850" customFormat="1" x14ac:dyDescent="0.25"/>
    <row r="125851" customFormat="1" x14ac:dyDescent="0.25"/>
    <row r="125852" customFormat="1" x14ac:dyDescent="0.25"/>
    <row r="125853" customFormat="1" x14ac:dyDescent="0.25"/>
    <row r="125854" customFormat="1" x14ac:dyDescent="0.25"/>
    <row r="125855" customFormat="1" x14ac:dyDescent="0.25"/>
    <row r="125856" customFormat="1" x14ac:dyDescent="0.25"/>
    <row r="125857" customFormat="1" x14ac:dyDescent="0.25"/>
    <row r="125858" customFormat="1" x14ac:dyDescent="0.25"/>
    <row r="125859" customFormat="1" x14ac:dyDescent="0.25"/>
    <row r="125860" customFormat="1" x14ac:dyDescent="0.25"/>
    <row r="125861" customFormat="1" x14ac:dyDescent="0.25"/>
    <row r="125862" customFormat="1" x14ac:dyDescent="0.25"/>
    <row r="125863" customFormat="1" x14ac:dyDescent="0.25"/>
    <row r="125864" customFormat="1" x14ac:dyDescent="0.25"/>
    <row r="125865" customFormat="1" x14ac:dyDescent="0.25"/>
    <row r="125866" customFormat="1" x14ac:dyDescent="0.25"/>
    <row r="125867" customFormat="1" x14ac:dyDescent="0.25"/>
    <row r="125868" customFormat="1" x14ac:dyDescent="0.25"/>
    <row r="125869" customFormat="1" x14ac:dyDescent="0.25"/>
    <row r="125870" customFormat="1" x14ac:dyDescent="0.25"/>
    <row r="125871" customFormat="1" x14ac:dyDescent="0.25"/>
    <row r="125872" customFormat="1" x14ac:dyDescent="0.25"/>
    <row r="125873" customFormat="1" x14ac:dyDescent="0.25"/>
    <row r="125874" customFormat="1" x14ac:dyDescent="0.25"/>
    <row r="125875" customFormat="1" x14ac:dyDescent="0.25"/>
    <row r="125876" customFormat="1" x14ac:dyDescent="0.25"/>
    <row r="125877" customFormat="1" x14ac:dyDescent="0.25"/>
    <row r="125878" customFormat="1" x14ac:dyDescent="0.25"/>
    <row r="125879" customFormat="1" x14ac:dyDescent="0.25"/>
    <row r="125880" customFormat="1" x14ac:dyDescent="0.25"/>
    <row r="125881" customFormat="1" x14ac:dyDescent="0.25"/>
    <row r="125882" customFormat="1" x14ac:dyDescent="0.25"/>
    <row r="125883" customFormat="1" x14ac:dyDescent="0.25"/>
    <row r="125884" customFormat="1" x14ac:dyDescent="0.25"/>
    <row r="125885" customFormat="1" x14ac:dyDescent="0.25"/>
    <row r="125886" customFormat="1" x14ac:dyDescent="0.25"/>
    <row r="125887" customFormat="1" x14ac:dyDescent="0.25"/>
    <row r="125888" customFormat="1" x14ac:dyDescent="0.25"/>
    <row r="125889" customFormat="1" x14ac:dyDescent="0.25"/>
    <row r="125890" customFormat="1" x14ac:dyDescent="0.25"/>
    <row r="125891" customFormat="1" x14ac:dyDescent="0.25"/>
    <row r="125892" customFormat="1" x14ac:dyDescent="0.25"/>
    <row r="125893" customFormat="1" x14ac:dyDescent="0.25"/>
    <row r="125894" customFormat="1" x14ac:dyDescent="0.25"/>
    <row r="125895" customFormat="1" x14ac:dyDescent="0.25"/>
    <row r="125896" customFormat="1" x14ac:dyDescent="0.25"/>
    <row r="125897" customFormat="1" x14ac:dyDescent="0.25"/>
    <row r="125898" customFormat="1" x14ac:dyDescent="0.25"/>
    <row r="125899" customFormat="1" x14ac:dyDescent="0.25"/>
    <row r="125900" customFormat="1" x14ac:dyDescent="0.25"/>
    <row r="125901" customFormat="1" x14ac:dyDescent="0.25"/>
    <row r="125902" customFormat="1" x14ac:dyDescent="0.25"/>
    <row r="125903" customFormat="1" x14ac:dyDescent="0.25"/>
    <row r="125904" customFormat="1" x14ac:dyDescent="0.25"/>
    <row r="125905" customFormat="1" x14ac:dyDescent="0.25"/>
    <row r="125906" customFormat="1" x14ac:dyDescent="0.25"/>
    <row r="125907" customFormat="1" x14ac:dyDescent="0.25"/>
    <row r="125908" customFormat="1" x14ac:dyDescent="0.25"/>
    <row r="125909" customFormat="1" x14ac:dyDescent="0.25"/>
    <row r="125910" customFormat="1" x14ac:dyDescent="0.25"/>
    <row r="125911" customFormat="1" x14ac:dyDescent="0.25"/>
    <row r="125912" customFormat="1" x14ac:dyDescent="0.25"/>
    <row r="125913" customFormat="1" x14ac:dyDescent="0.25"/>
    <row r="125914" customFormat="1" x14ac:dyDescent="0.25"/>
    <row r="125915" customFormat="1" x14ac:dyDescent="0.25"/>
    <row r="125916" customFormat="1" x14ac:dyDescent="0.25"/>
    <row r="125917" customFormat="1" x14ac:dyDescent="0.25"/>
    <row r="125918" customFormat="1" x14ac:dyDescent="0.25"/>
    <row r="125919" customFormat="1" x14ac:dyDescent="0.25"/>
    <row r="125920" customFormat="1" x14ac:dyDescent="0.25"/>
    <row r="125921" customFormat="1" x14ac:dyDescent="0.25"/>
    <row r="125922" customFormat="1" x14ac:dyDescent="0.25"/>
    <row r="125923" customFormat="1" x14ac:dyDescent="0.25"/>
    <row r="125924" customFormat="1" x14ac:dyDescent="0.25"/>
    <row r="125925" customFormat="1" x14ac:dyDescent="0.25"/>
    <row r="125926" customFormat="1" x14ac:dyDescent="0.25"/>
    <row r="125927" customFormat="1" x14ac:dyDescent="0.25"/>
    <row r="125928" customFormat="1" x14ac:dyDescent="0.25"/>
    <row r="125929" customFormat="1" x14ac:dyDescent="0.25"/>
    <row r="125930" customFormat="1" x14ac:dyDescent="0.25"/>
    <row r="125931" customFormat="1" x14ac:dyDescent="0.25"/>
    <row r="125932" customFormat="1" x14ac:dyDescent="0.25"/>
    <row r="125933" customFormat="1" x14ac:dyDescent="0.25"/>
    <row r="125934" customFormat="1" x14ac:dyDescent="0.25"/>
    <row r="125935" customFormat="1" x14ac:dyDescent="0.25"/>
    <row r="125936" customFormat="1" x14ac:dyDescent="0.25"/>
    <row r="125937" customFormat="1" x14ac:dyDescent="0.25"/>
    <row r="125938" customFormat="1" x14ac:dyDescent="0.25"/>
    <row r="125939" customFormat="1" x14ac:dyDescent="0.25"/>
    <row r="125940" customFormat="1" x14ac:dyDescent="0.25"/>
    <row r="125941" customFormat="1" x14ac:dyDescent="0.25"/>
    <row r="125942" customFormat="1" x14ac:dyDescent="0.25"/>
    <row r="125943" customFormat="1" x14ac:dyDescent="0.25"/>
    <row r="125944" customFormat="1" x14ac:dyDescent="0.25"/>
    <row r="125945" customFormat="1" x14ac:dyDescent="0.25"/>
    <row r="125946" customFormat="1" x14ac:dyDescent="0.25"/>
    <row r="125947" customFormat="1" x14ac:dyDescent="0.25"/>
    <row r="125948" customFormat="1" x14ac:dyDescent="0.25"/>
    <row r="125949" customFormat="1" x14ac:dyDescent="0.25"/>
    <row r="125950" customFormat="1" x14ac:dyDescent="0.25"/>
    <row r="125951" customFormat="1" x14ac:dyDescent="0.25"/>
    <row r="125952" customFormat="1" x14ac:dyDescent="0.25"/>
    <row r="125953" customFormat="1" x14ac:dyDescent="0.25"/>
    <row r="125954" customFormat="1" x14ac:dyDescent="0.25"/>
    <row r="125955" customFormat="1" x14ac:dyDescent="0.25"/>
    <row r="125956" customFormat="1" x14ac:dyDescent="0.25"/>
    <row r="125957" customFormat="1" x14ac:dyDescent="0.25"/>
    <row r="125958" customFormat="1" x14ac:dyDescent="0.25"/>
    <row r="125959" customFormat="1" x14ac:dyDescent="0.25"/>
    <row r="125960" customFormat="1" x14ac:dyDescent="0.25"/>
    <row r="125961" customFormat="1" x14ac:dyDescent="0.25"/>
    <row r="125962" customFormat="1" x14ac:dyDescent="0.25"/>
    <row r="125963" customFormat="1" x14ac:dyDescent="0.25"/>
    <row r="125964" customFormat="1" x14ac:dyDescent="0.25"/>
    <row r="125965" customFormat="1" x14ac:dyDescent="0.25"/>
    <row r="125966" customFormat="1" x14ac:dyDescent="0.25"/>
    <row r="125967" customFormat="1" x14ac:dyDescent="0.25"/>
    <row r="125968" customFormat="1" x14ac:dyDescent="0.25"/>
    <row r="125969" customFormat="1" x14ac:dyDescent="0.25"/>
    <row r="125970" customFormat="1" x14ac:dyDescent="0.25"/>
    <row r="125971" customFormat="1" x14ac:dyDescent="0.25"/>
    <row r="125972" customFormat="1" x14ac:dyDescent="0.25"/>
    <row r="125973" customFormat="1" x14ac:dyDescent="0.25"/>
    <row r="125974" customFormat="1" x14ac:dyDescent="0.25"/>
    <row r="125975" customFormat="1" x14ac:dyDescent="0.25"/>
    <row r="125976" customFormat="1" x14ac:dyDescent="0.25"/>
    <row r="125977" customFormat="1" x14ac:dyDescent="0.25"/>
    <row r="125978" customFormat="1" x14ac:dyDescent="0.25"/>
    <row r="125979" customFormat="1" x14ac:dyDescent="0.25"/>
    <row r="125980" customFormat="1" x14ac:dyDescent="0.25"/>
    <row r="125981" customFormat="1" x14ac:dyDescent="0.25"/>
    <row r="125982" customFormat="1" x14ac:dyDescent="0.25"/>
    <row r="125983" customFormat="1" x14ac:dyDescent="0.25"/>
    <row r="125984" customFormat="1" x14ac:dyDescent="0.25"/>
    <row r="125985" customFormat="1" x14ac:dyDescent="0.25"/>
    <row r="125986" customFormat="1" x14ac:dyDescent="0.25"/>
    <row r="125987" customFormat="1" x14ac:dyDescent="0.25"/>
    <row r="125988" customFormat="1" x14ac:dyDescent="0.25"/>
    <row r="125989" customFormat="1" x14ac:dyDescent="0.25"/>
    <row r="125990" customFormat="1" x14ac:dyDescent="0.25"/>
    <row r="125991" customFormat="1" x14ac:dyDescent="0.25"/>
    <row r="125992" customFormat="1" x14ac:dyDescent="0.25"/>
    <row r="125993" customFormat="1" x14ac:dyDescent="0.25"/>
    <row r="125994" customFormat="1" x14ac:dyDescent="0.25"/>
    <row r="125995" customFormat="1" x14ac:dyDescent="0.25"/>
    <row r="125996" customFormat="1" x14ac:dyDescent="0.25"/>
    <row r="125997" customFormat="1" x14ac:dyDescent="0.25"/>
    <row r="125998" customFormat="1" x14ac:dyDescent="0.25"/>
    <row r="125999" customFormat="1" x14ac:dyDescent="0.25"/>
    <row r="126000" customFormat="1" x14ac:dyDescent="0.25"/>
    <row r="126001" customFormat="1" x14ac:dyDescent="0.25"/>
    <row r="126002" customFormat="1" x14ac:dyDescent="0.25"/>
    <row r="126003" customFormat="1" x14ac:dyDescent="0.25"/>
    <row r="126004" customFormat="1" x14ac:dyDescent="0.25"/>
    <row r="126005" customFormat="1" x14ac:dyDescent="0.25"/>
    <row r="126006" customFormat="1" x14ac:dyDescent="0.25"/>
    <row r="126007" customFormat="1" x14ac:dyDescent="0.25"/>
    <row r="126008" customFormat="1" x14ac:dyDescent="0.25"/>
    <row r="126009" customFormat="1" x14ac:dyDescent="0.25"/>
    <row r="126010" customFormat="1" x14ac:dyDescent="0.25"/>
    <row r="126011" customFormat="1" x14ac:dyDescent="0.25"/>
    <row r="126012" customFormat="1" x14ac:dyDescent="0.25"/>
    <row r="126013" customFormat="1" x14ac:dyDescent="0.25"/>
    <row r="126014" customFormat="1" x14ac:dyDescent="0.25"/>
    <row r="126015" customFormat="1" x14ac:dyDescent="0.25"/>
    <row r="126016" customFormat="1" x14ac:dyDescent="0.25"/>
    <row r="126017" customFormat="1" x14ac:dyDescent="0.25"/>
    <row r="126018" customFormat="1" x14ac:dyDescent="0.25"/>
    <row r="126019" customFormat="1" x14ac:dyDescent="0.25"/>
    <row r="126020" customFormat="1" x14ac:dyDescent="0.25"/>
    <row r="126021" customFormat="1" x14ac:dyDescent="0.25"/>
    <row r="126022" customFormat="1" x14ac:dyDescent="0.25"/>
    <row r="126023" customFormat="1" x14ac:dyDescent="0.25"/>
    <row r="126024" customFormat="1" x14ac:dyDescent="0.25"/>
    <row r="126025" customFormat="1" x14ac:dyDescent="0.25"/>
    <row r="126026" customFormat="1" x14ac:dyDescent="0.25"/>
    <row r="126027" customFormat="1" x14ac:dyDescent="0.25"/>
    <row r="126028" customFormat="1" x14ac:dyDescent="0.25"/>
    <row r="126029" customFormat="1" x14ac:dyDescent="0.25"/>
    <row r="126030" customFormat="1" x14ac:dyDescent="0.25"/>
    <row r="126031" customFormat="1" x14ac:dyDescent="0.25"/>
    <row r="126032" customFormat="1" x14ac:dyDescent="0.25"/>
    <row r="126033" customFormat="1" x14ac:dyDescent="0.25"/>
    <row r="126034" customFormat="1" x14ac:dyDescent="0.25"/>
    <row r="126035" customFormat="1" x14ac:dyDescent="0.25"/>
    <row r="126036" customFormat="1" x14ac:dyDescent="0.25"/>
    <row r="126037" customFormat="1" x14ac:dyDescent="0.25"/>
    <row r="126038" customFormat="1" x14ac:dyDescent="0.25"/>
    <row r="126039" customFormat="1" x14ac:dyDescent="0.25"/>
    <row r="126040" customFormat="1" x14ac:dyDescent="0.25"/>
    <row r="126041" customFormat="1" x14ac:dyDescent="0.25"/>
    <row r="126042" customFormat="1" x14ac:dyDescent="0.25"/>
    <row r="126043" customFormat="1" x14ac:dyDescent="0.25"/>
    <row r="126044" customFormat="1" x14ac:dyDescent="0.25"/>
    <row r="126045" customFormat="1" x14ac:dyDescent="0.25"/>
    <row r="126046" customFormat="1" x14ac:dyDescent="0.25"/>
    <row r="126047" customFormat="1" x14ac:dyDescent="0.25"/>
    <row r="126048" customFormat="1" x14ac:dyDescent="0.25"/>
    <row r="126049" customFormat="1" x14ac:dyDescent="0.25"/>
    <row r="126050" customFormat="1" x14ac:dyDescent="0.25"/>
    <row r="126051" customFormat="1" x14ac:dyDescent="0.25"/>
    <row r="126052" customFormat="1" x14ac:dyDescent="0.25"/>
    <row r="126053" customFormat="1" x14ac:dyDescent="0.25"/>
    <row r="126054" customFormat="1" x14ac:dyDescent="0.25"/>
    <row r="126055" customFormat="1" x14ac:dyDescent="0.25"/>
    <row r="126056" customFormat="1" x14ac:dyDescent="0.25"/>
    <row r="126057" customFormat="1" x14ac:dyDescent="0.25"/>
    <row r="126058" customFormat="1" x14ac:dyDescent="0.25"/>
    <row r="126059" customFormat="1" x14ac:dyDescent="0.25"/>
    <row r="126060" customFormat="1" x14ac:dyDescent="0.25"/>
    <row r="126061" customFormat="1" x14ac:dyDescent="0.25"/>
    <row r="126062" customFormat="1" x14ac:dyDescent="0.25"/>
    <row r="126063" customFormat="1" x14ac:dyDescent="0.25"/>
    <row r="126064" customFormat="1" x14ac:dyDescent="0.25"/>
    <row r="126065" customFormat="1" x14ac:dyDescent="0.25"/>
    <row r="126066" customFormat="1" x14ac:dyDescent="0.25"/>
    <row r="126067" customFormat="1" x14ac:dyDescent="0.25"/>
    <row r="126068" customFormat="1" x14ac:dyDescent="0.25"/>
    <row r="126069" customFormat="1" x14ac:dyDescent="0.25"/>
    <row r="126070" customFormat="1" x14ac:dyDescent="0.25"/>
    <row r="126071" customFormat="1" x14ac:dyDescent="0.25"/>
    <row r="126072" customFormat="1" x14ac:dyDescent="0.25"/>
    <row r="126073" customFormat="1" x14ac:dyDescent="0.25"/>
    <row r="126074" customFormat="1" x14ac:dyDescent="0.25"/>
    <row r="126075" customFormat="1" x14ac:dyDescent="0.25"/>
    <row r="126076" customFormat="1" x14ac:dyDescent="0.25"/>
    <row r="126077" customFormat="1" x14ac:dyDescent="0.25"/>
    <row r="126078" customFormat="1" x14ac:dyDescent="0.25"/>
    <row r="126079" customFormat="1" x14ac:dyDescent="0.25"/>
    <row r="126080" customFormat="1" x14ac:dyDescent="0.25"/>
    <row r="126081" customFormat="1" x14ac:dyDescent="0.25"/>
    <row r="126082" customFormat="1" x14ac:dyDescent="0.25"/>
    <row r="126083" customFormat="1" x14ac:dyDescent="0.25"/>
    <row r="126084" customFormat="1" x14ac:dyDescent="0.25"/>
    <row r="126085" customFormat="1" x14ac:dyDescent="0.25"/>
    <row r="126086" customFormat="1" x14ac:dyDescent="0.25"/>
    <row r="126087" customFormat="1" x14ac:dyDescent="0.25"/>
    <row r="126088" customFormat="1" x14ac:dyDescent="0.25"/>
    <row r="126089" customFormat="1" x14ac:dyDescent="0.25"/>
    <row r="126090" customFormat="1" x14ac:dyDescent="0.25"/>
    <row r="126091" customFormat="1" x14ac:dyDescent="0.25"/>
    <row r="126092" customFormat="1" x14ac:dyDescent="0.25"/>
    <row r="126093" customFormat="1" x14ac:dyDescent="0.25"/>
    <row r="126094" customFormat="1" x14ac:dyDescent="0.25"/>
    <row r="126095" customFormat="1" x14ac:dyDescent="0.25"/>
    <row r="126096" customFormat="1" x14ac:dyDescent="0.25"/>
    <row r="126097" customFormat="1" x14ac:dyDescent="0.25"/>
    <row r="126098" customFormat="1" x14ac:dyDescent="0.25"/>
    <row r="126099" customFormat="1" x14ac:dyDescent="0.25"/>
    <row r="126100" customFormat="1" x14ac:dyDescent="0.25"/>
    <row r="126101" customFormat="1" x14ac:dyDescent="0.25"/>
    <row r="126102" customFormat="1" x14ac:dyDescent="0.25"/>
    <row r="126103" customFormat="1" x14ac:dyDescent="0.25"/>
    <row r="126104" customFormat="1" x14ac:dyDescent="0.25"/>
    <row r="126105" customFormat="1" x14ac:dyDescent="0.25"/>
    <row r="126106" customFormat="1" x14ac:dyDescent="0.25"/>
    <row r="126107" customFormat="1" x14ac:dyDescent="0.25"/>
    <row r="126108" customFormat="1" x14ac:dyDescent="0.25"/>
    <row r="126109" customFormat="1" x14ac:dyDescent="0.25"/>
    <row r="126110" customFormat="1" x14ac:dyDescent="0.25"/>
    <row r="126111" customFormat="1" x14ac:dyDescent="0.25"/>
    <row r="126112" customFormat="1" x14ac:dyDescent="0.25"/>
    <row r="126113" customFormat="1" x14ac:dyDescent="0.25"/>
    <row r="126114" customFormat="1" x14ac:dyDescent="0.25"/>
    <row r="126115" customFormat="1" x14ac:dyDescent="0.25"/>
    <row r="126116" customFormat="1" x14ac:dyDescent="0.25"/>
    <row r="126117" customFormat="1" x14ac:dyDescent="0.25"/>
    <row r="126118" customFormat="1" x14ac:dyDescent="0.25"/>
    <row r="126119" customFormat="1" x14ac:dyDescent="0.25"/>
    <row r="126120" customFormat="1" x14ac:dyDescent="0.25"/>
    <row r="126121" customFormat="1" x14ac:dyDescent="0.25"/>
    <row r="126122" customFormat="1" x14ac:dyDescent="0.25"/>
    <row r="126123" customFormat="1" x14ac:dyDescent="0.25"/>
    <row r="126124" customFormat="1" x14ac:dyDescent="0.25"/>
    <row r="126125" customFormat="1" x14ac:dyDescent="0.25"/>
    <row r="126126" customFormat="1" x14ac:dyDescent="0.25"/>
    <row r="126127" customFormat="1" x14ac:dyDescent="0.25"/>
    <row r="126128" customFormat="1" x14ac:dyDescent="0.25"/>
    <row r="126129" customFormat="1" x14ac:dyDescent="0.25"/>
    <row r="126130" customFormat="1" x14ac:dyDescent="0.25"/>
    <row r="126131" customFormat="1" x14ac:dyDescent="0.25"/>
    <row r="126132" customFormat="1" x14ac:dyDescent="0.25"/>
    <row r="126133" customFormat="1" x14ac:dyDescent="0.25"/>
    <row r="126134" customFormat="1" x14ac:dyDescent="0.25"/>
    <row r="126135" customFormat="1" x14ac:dyDescent="0.25"/>
    <row r="126136" customFormat="1" x14ac:dyDescent="0.25"/>
    <row r="126137" customFormat="1" x14ac:dyDescent="0.25"/>
    <row r="126138" customFormat="1" x14ac:dyDescent="0.25"/>
    <row r="126139" customFormat="1" x14ac:dyDescent="0.25"/>
    <row r="126140" customFormat="1" x14ac:dyDescent="0.25"/>
    <row r="126141" customFormat="1" x14ac:dyDescent="0.25"/>
    <row r="126142" customFormat="1" x14ac:dyDescent="0.25"/>
    <row r="126143" customFormat="1" x14ac:dyDescent="0.25"/>
    <row r="126144" customFormat="1" x14ac:dyDescent="0.25"/>
    <row r="126145" customFormat="1" x14ac:dyDescent="0.25"/>
    <row r="126146" customFormat="1" x14ac:dyDescent="0.25"/>
    <row r="126147" customFormat="1" x14ac:dyDescent="0.25"/>
    <row r="126148" customFormat="1" x14ac:dyDescent="0.25"/>
    <row r="126149" customFormat="1" x14ac:dyDescent="0.25"/>
    <row r="126150" customFormat="1" x14ac:dyDescent="0.25"/>
    <row r="126151" customFormat="1" x14ac:dyDescent="0.25"/>
    <row r="126152" customFormat="1" x14ac:dyDescent="0.25"/>
    <row r="126153" customFormat="1" x14ac:dyDescent="0.25"/>
    <row r="126154" customFormat="1" x14ac:dyDescent="0.25"/>
    <row r="126155" customFormat="1" x14ac:dyDescent="0.25"/>
    <row r="126156" customFormat="1" x14ac:dyDescent="0.25"/>
    <row r="126157" customFormat="1" x14ac:dyDescent="0.25"/>
    <row r="126158" customFormat="1" x14ac:dyDescent="0.25"/>
    <row r="126159" customFormat="1" x14ac:dyDescent="0.25"/>
    <row r="126160" customFormat="1" x14ac:dyDescent="0.25"/>
    <row r="126161" customFormat="1" x14ac:dyDescent="0.25"/>
    <row r="126162" customFormat="1" x14ac:dyDescent="0.25"/>
    <row r="126163" customFormat="1" x14ac:dyDescent="0.25"/>
    <row r="126164" customFormat="1" x14ac:dyDescent="0.25"/>
    <row r="126165" customFormat="1" x14ac:dyDescent="0.25"/>
    <row r="126166" customFormat="1" x14ac:dyDescent="0.25"/>
    <row r="126167" customFormat="1" x14ac:dyDescent="0.25"/>
    <row r="126168" customFormat="1" x14ac:dyDescent="0.25"/>
    <row r="126169" customFormat="1" x14ac:dyDescent="0.25"/>
    <row r="126170" customFormat="1" x14ac:dyDescent="0.25"/>
    <row r="126171" customFormat="1" x14ac:dyDescent="0.25"/>
    <row r="126172" customFormat="1" x14ac:dyDescent="0.25"/>
    <row r="126173" customFormat="1" x14ac:dyDescent="0.25"/>
    <row r="126174" customFormat="1" x14ac:dyDescent="0.25"/>
    <row r="126175" customFormat="1" x14ac:dyDescent="0.25"/>
    <row r="126176" customFormat="1" x14ac:dyDescent="0.25"/>
    <row r="126177" customFormat="1" x14ac:dyDescent="0.25"/>
    <row r="126178" customFormat="1" x14ac:dyDescent="0.25"/>
    <row r="126179" customFormat="1" x14ac:dyDescent="0.25"/>
    <row r="126180" customFormat="1" x14ac:dyDescent="0.25"/>
    <row r="126181" customFormat="1" x14ac:dyDescent="0.25"/>
    <row r="126182" customFormat="1" x14ac:dyDescent="0.25"/>
    <row r="126183" customFormat="1" x14ac:dyDescent="0.25"/>
    <row r="126184" customFormat="1" x14ac:dyDescent="0.25"/>
    <row r="126185" customFormat="1" x14ac:dyDescent="0.25"/>
    <row r="126186" customFormat="1" x14ac:dyDescent="0.25"/>
    <row r="126187" customFormat="1" x14ac:dyDescent="0.25"/>
    <row r="126188" customFormat="1" x14ac:dyDescent="0.25"/>
    <row r="126189" customFormat="1" x14ac:dyDescent="0.25"/>
    <row r="126190" customFormat="1" x14ac:dyDescent="0.25"/>
    <row r="126191" customFormat="1" x14ac:dyDescent="0.25"/>
    <row r="126192" customFormat="1" x14ac:dyDescent="0.25"/>
    <row r="126193" customFormat="1" x14ac:dyDescent="0.25"/>
    <row r="126194" customFormat="1" x14ac:dyDescent="0.25"/>
    <row r="126195" customFormat="1" x14ac:dyDescent="0.25"/>
    <row r="126196" customFormat="1" x14ac:dyDescent="0.25"/>
    <row r="126197" customFormat="1" x14ac:dyDescent="0.25"/>
    <row r="126198" customFormat="1" x14ac:dyDescent="0.25"/>
    <row r="126199" customFormat="1" x14ac:dyDescent="0.25"/>
    <row r="126200" customFormat="1" x14ac:dyDescent="0.25"/>
    <row r="126201" customFormat="1" x14ac:dyDescent="0.25"/>
    <row r="126202" customFormat="1" x14ac:dyDescent="0.25"/>
    <row r="126203" customFormat="1" x14ac:dyDescent="0.25"/>
    <row r="126204" customFormat="1" x14ac:dyDescent="0.25"/>
    <row r="126205" customFormat="1" x14ac:dyDescent="0.25"/>
    <row r="126206" customFormat="1" x14ac:dyDescent="0.25"/>
    <row r="126207" customFormat="1" x14ac:dyDescent="0.25"/>
    <row r="126208" customFormat="1" x14ac:dyDescent="0.25"/>
    <row r="126209" customFormat="1" x14ac:dyDescent="0.25"/>
    <row r="126210" customFormat="1" x14ac:dyDescent="0.25"/>
    <row r="126211" customFormat="1" x14ac:dyDescent="0.25"/>
    <row r="126212" customFormat="1" x14ac:dyDescent="0.25"/>
    <row r="126213" customFormat="1" x14ac:dyDescent="0.25"/>
    <row r="126214" customFormat="1" x14ac:dyDescent="0.25"/>
    <row r="126215" customFormat="1" x14ac:dyDescent="0.25"/>
    <row r="126216" customFormat="1" x14ac:dyDescent="0.25"/>
    <row r="126217" customFormat="1" x14ac:dyDescent="0.25"/>
    <row r="126218" customFormat="1" x14ac:dyDescent="0.25"/>
    <row r="126219" customFormat="1" x14ac:dyDescent="0.25"/>
    <row r="126220" customFormat="1" x14ac:dyDescent="0.25"/>
    <row r="126221" customFormat="1" x14ac:dyDescent="0.25"/>
    <row r="126222" customFormat="1" x14ac:dyDescent="0.25"/>
    <row r="126223" customFormat="1" x14ac:dyDescent="0.25"/>
    <row r="126224" customFormat="1" x14ac:dyDescent="0.25"/>
    <row r="126225" customFormat="1" x14ac:dyDescent="0.25"/>
    <row r="126226" customFormat="1" x14ac:dyDescent="0.25"/>
    <row r="126227" customFormat="1" x14ac:dyDescent="0.25"/>
    <row r="126228" customFormat="1" x14ac:dyDescent="0.25"/>
    <row r="126229" customFormat="1" x14ac:dyDescent="0.25"/>
    <row r="126230" customFormat="1" x14ac:dyDescent="0.25"/>
    <row r="126231" customFormat="1" x14ac:dyDescent="0.25"/>
    <row r="126232" customFormat="1" x14ac:dyDescent="0.25"/>
    <row r="126233" customFormat="1" x14ac:dyDescent="0.25"/>
    <row r="126234" customFormat="1" x14ac:dyDescent="0.25"/>
    <row r="126235" customFormat="1" x14ac:dyDescent="0.25"/>
    <row r="126236" customFormat="1" x14ac:dyDescent="0.25"/>
    <row r="126237" customFormat="1" x14ac:dyDescent="0.25"/>
    <row r="126238" customFormat="1" x14ac:dyDescent="0.25"/>
    <row r="126239" customFormat="1" x14ac:dyDescent="0.25"/>
    <row r="126240" customFormat="1" x14ac:dyDescent="0.25"/>
    <row r="126241" customFormat="1" x14ac:dyDescent="0.25"/>
    <row r="126242" customFormat="1" x14ac:dyDescent="0.25"/>
    <row r="126243" customFormat="1" x14ac:dyDescent="0.25"/>
    <row r="126244" customFormat="1" x14ac:dyDescent="0.25"/>
    <row r="126245" customFormat="1" x14ac:dyDescent="0.25"/>
    <row r="126246" customFormat="1" x14ac:dyDescent="0.25"/>
    <row r="126247" customFormat="1" x14ac:dyDescent="0.25"/>
    <row r="126248" customFormat="1" x14ac:dyDescent="0.25"/>
    <row r="126249" customFormat="1" x14ac:dyDescent="0.25"/>
    <row r="126250" customFormat="1" x14ac:dyDescent="0.25"/>
    <row r="126251" customFormat="1" x14ac:dyDescent="0.25"/>
    <row r="126252" customFormat="1" x14ac:dyDescent="0.25"/>
    <row r="126253" customFormat="1" x14ac:dyDescent="0.25"/>
    <row r="126254" customFormat="1" x14ac:dyDescent="0.25"/>
    <row r="126255" customFormat="1" x14ac:dyDescent="0.25"/>
    <row r="126256" customFormat="1" x14ac:dyDescent="0.25"/>
    <row r="126257" customFormat="1" x14ac:dyDescent="0.25"/>
    <row r="126258" customFormat="1" x14ac:dyDescent="0.25"/>
    <row r="126259" customFormat="1" x14ac:dyDescent="0.25"/>
    <row r="126260" customFormat="1" x14ac:dyDescent="0.25"/>
    <row r="126261" customFormat="1" x14ac:dyDescent="0.25"/>
    <row r="126262" customFormat="1" x14ac:dyDescent="0.25"/>
    <row r="126263" customFormat="1" x14ac:dyDescent="0.25"/>
    <row r="126264" customFormat="1" x14ac:dyDescent="0.25"/>
    <row r="126265" customFormat="1" x14ac:dyDescent="0.25"/>
    <row r="126266" customFormat="1" x14ac:dyDescent="0.25"/>
    <row r="126267" customFormat="1" x14ac:dyDescent="0.25"/>
    <row r="126268" customFormat="1" x14ac:dyDescent="0.25"/>
    <row r="126269" customFormat="1" x14ac:dyDescent="0.25"/>
    <row r="126270" customFormat="1" x14ac:dyDescent="0.25"/>
    <row r="126271" customFormat="1" x14ac:dyDescent="0.25"/>
    <row r="126272" customFormat="1" x14ac:dyDescent="0.25"/>
    <row r="126273" customFormat="1" x14ac:dyDescent="0.25"/>
    <row r="126274" customFormat="1" x14ac:dyDescent="0.25"/>
    <row r="126275" customFormat="1" x14ac:dyDescent="0.25"/>
    <row r="126276" customFormat="1" x14ac:dyDescent="0.25"/>
    <row r="126277" customFormat="1" x14ac:dyDescent="0.25"/>
    <row r="126278" customFormat="1" x14ac:dyDescent="0.25"/>
    <row r="126279" customFormat="1" x14ac:dyDescent="0.25"/>
    <row r="126280" customFormat="1" x14ac:dyDescent="0.25"/>
    <row r="126281" customFormat="1" x14ac:dyDescent="0.25"/>
    <row r="126282" customFormat="1" x14ac:dyDescent="0.25"/>
    <row r="126283" customFormat="1" x14ac:dyDescent="0.25"/>
    <row r="126284" customFormat="1" x14ac:dyDescent="0.25"/>
    <row r="126285" customFormat="1" x14ac:dyDescent="0.25"/>
    <row r="126286" customFormat="1" x14ac:dyDescent="0.25"/>
    <row r="126287" customFormat="1" x14ac:dyDescent="0.25"/>
    <row r="126288" customFormat="1" x14ac:dyDescent="0.25"/>
    <row r="126289" customFormat="1" x14ac:dyDescent="0.25"/>
    <row r="126290" customFormat="1" x14ac:dyDescent="0.25"/>
    <row r="126291" customFormat="1" x14ac:dyDescent="0.25"/>
    <row r="126292" customFormat="1" x14ac:dyDescent="0.25"/>
    <row r="126293" customFormat="1" x14ac:dyDescent="0.25"/>
    <row r="126294" customFormat="1" x14ac:dyDescent="0.25"/>
    <row r="126295" customFormat="1" x14ac:dyDescent="0.25"/>
    <row r="126296" customFormat="1" x14ac:dyDescent="0.25"/>
    <row r="126297" customFormat="1" x14ac:dyDescent="0.25"/>
    <row r="126298" customFormat="1" x14ac:dyDescent="0.25"/>
    <row r="126299" customFormat="1" x14ac:dyDescent="0.25"/>
    <row r="126300" customFormat="1" x14ac:dyDescent="0.25"/>
    <row r="126301" customFormat="1" x14ac:dyDescent="0.25"/>
    <row r="126302" customFormat="1" x14ac:dyDescent="0.25"/>
    <row r="126303" customFormat="1" x14ac:dyDescent="0.25"/>
    <row r="126304" customFormat="1" x14ac:dyDescent="0.25"/>
    <row r="126305" customFormat="1" x14ac:dyDescent="0.25"/>
    <row r="126306" customFormat="1" x14ac:dyDescent="0.25"/>
    <row r="126307" customFormat="1" x14ac:dyDescent="0.25"/>
    <row r="126308" customFormat="1" x14ac:dyDescent="0.25"/>
    <row r="126309" customFormat="1" x14ac:dyDescent="0.25"/>
    <row r="126310" customFormat="1" x14ac:dyDescent="0.25"/>
    <row r="126311" customFormat="1" x14ac:dyDescent="0.25"/>
    <row r="126312" customFormat="1" x14ac:dyDescent="0.25"/>
    <row r="126313" customFormat="1" x14ac:dyDescent="0.25"/>
    <row r="126314" customFormat="1" x14ac:dyDescent="0.25"/>
    <row r="126315" customFormat="1" x14ac:dyDescent="0.25"/>
    <row r="126316" customFormat="1" x14ac:dyDescent="0.25"/>
    <row r="126317" customFormat="1" x14ac:dyDescent="0.25"/>
    <row r="126318" customFormat="1" x14ac:dyDescent="0.25"/>
    <row r="126319" customFormat="1" x14ac:dyDescent="0.25"/>
    <row r="126320" customFormat="1" x14ac:dyDescent="0.25"/>
    <row r="126321" customFormat="1" x14ac:dyDescent="0.25"/>
    <row r="126322" customFormat="1" x14ac:dyDescent="0.25"/>
    <row r="126323" customFormat="1" x14ac:dyDescent="0.25"/>
    <row r="126324" customFormat="1" x14ac:dyDescent="0.25"/>
    <row r="126325" customFormat="1" x14ac:dyDescent="0.25"/>
    <row r="126326" customFormat="1" x14ac:dyDescent="0.25"/>
    <row r="126327" customFormat="1" x14ac:dyDescent="0.25"/>
    <row r="126328" customFormat="1" x14ac:dyDescent="0.25"/>
    <row r="126329" customFormat="1" x14ac:dyDescent="0.25"/>
    <row r="126330" customFormat="1" x14ac:dyDescent="0.25"/>
    <row r="126331" customFormat="1" x14ac:dyDescent="0.25"/>
    <row r="126332" customFormat="1" x14ac:dyDescent="0.25"/>
    <row r="126333" customFormat="1" x14ac:dyDescent="0.25"/>
    <row r="126334" customFormat="1" x14ac:dyDescent="0.25"/>
    <row r="126335" customFormat="1" x14ac:dyDescent="0.25"/>
    <row r="126336" customFormat="1" x14ac:dyDescent="0.25"/>
    <row r="126337" customFormat="1" x14ac:dyDescent="0.25"/>
    <row r="126338" customFormat="1" x14ac:dyDescent="0.25"/>
    <row r="126339" customFormat="1" x14ac:dyDescent="0.25"/>
    <row r="126340" customFormat="1" x14ac:dyDescent="0.25"/>
    <row r="126341" customFormat="1" x14ac:dyDescent="0.25"/>
    <row r="126342" customFormat="1" x14ac:dyDescent="0.25"/>
    <row r="126343" customFormat="1" x14ac:dyDescent="0.25"/>
    <row r="126344" customFormat="1" x14ac:dyDescent="0.25"/>
    <row r="126345" customFormat="1" x14ac:dyDescent="0.25"/>
    <row r="126346" customFormat="1" x14ac:dyDescent="0.25"/>
    <row r="126347" customFormat="1" x14ac:dyDescent="0.25"/>
    <row r="126348" customFormat="1" x14ac:dyDescent="0.25"/>
    <row r="126349" customFormat="1" x14ac:dyDescent="0.25"/>
    <row r="126350" customFormat="1" x14ac:dyDescent="0.25"/>
    <row r="126351" customFormat="1" x14ac:dyDescent="0.25"/>
    <row r="126352" customFormat="1" x14ac:dyDescent="0.25"/>
    <row r="126353" customFormat="1" x14ac:dyDescent="0.25"/>
    <row r="126354" customFormat="1" x14ac:dyDescent="0.25"/>
    <row r="126355" customFormat="1" x14ac:dyDescent="0.25"/>
    <row r="126356" customFormat="1" x14ac:dyDescent="0.25"/>
    <row r="126357" customFormat="1" x14ac:dyDescent="0.25"/>
    <row r="126358" customFormat="1" x14ac:dyDescent="0.25"/>
    <row r="126359" customFormat="1" x14ac:dyDescent="0.25"/>
    <row r="126360" customFormat="1" x14ac:dyDescent="0.25"/>
    <row r="126361" customFormat="1" x14ac:dyDescent="0.25"/>
    <row r="126362" customFormat="1" x14ac:dyDescent="0.25"/>
    <row r="126363" customFormat="1" x14ac:dyDescent="0.25"/>
    <row r="126364" customFormat="1" x14ac:dyDescent="0.25"/>
    <row r="126365" customFormat="1" x14ac:dyDescent="0.25"/>
    <row r="126366" customFormat="1" x14ac:dyDescent="0.25"/>
    <row r="126367" customFormat="1" x14ac:dyDescent="0.25"/>
    <row r="126368" customFormat="1" x14ac:dyDescent="0.25"/>
    <row r="126369" customFormat="1" x14ac:dyDescent="0.25"/>
    <row r="126370" customFormat="1" x14ac:dyDescent="0.25"/>
    <row r="126371" customFormat="1" x14ac:dyDescent="0.25"/>
    <row r="126372" customFormat="1" x14ac:dyDescent="0.25"/>
    <row r="126373" customFormat="1" x14ac:dyDescent="0.25"/>
    <row r="126374" customFormat="1" x14ac:dyDescent="0.25"/>
    <row r="126375" customFormat="1" x14ac:dyDescent="0.25"/>
    <row r="126376" customFormat="1" x14ac:dyDescent="0.25"/>
    <row r="126377" customFormat="1" x14ac:dyDescent="0.25"/>
    <row r="126378" customFormat="1" x14ac:dyDescent="0.25"/>
    <row r="126379" customFormat="1" x14ac:dyDescent="0.25"/>
    <row r="126380" customFormat="1" x14ac:dyDescent="0.25"/>
    <row r="126381" customFormat="1" x14ac:dyDescent="0.25"/>
    <row r="126382" customFormat="1" x14ac:dyDescent="0.25"/>
    <row r="126383" customFormat="1" x14ac:dyDescent="0.25"/>
    <row r="126384" customFormat="1" x14ac:dyDescent="0.25"/>
    <row r="126385" customFormat="1" x14ac:dyDescent="0.25"/>
    <row r="126386" customFormat="1" x14ac:dyDescent="0.25"/>
    <row r="126387" customFormat="1" x14ac:dyDescent="0.25"/>
    <row r="126388" customFormat="1" x14ac:dyDescent="0.25"/>
    <row r="126389" customFormat="1" x14ac:dyDescent="0.25"/>
    <row r="126390" customFormat="1" x14ac:dyDescent="0.25"/>
    <row r="126391" customFormat="1" x14ac:dyDescent="0.25"/>
    <row r="126392" customFormat="1" x14ac:dyDescent="0.25"/>
    <row r="126393" customFormat="1" x14ac:dyDescent="0.25"/>
    <row r="126394" customFormat="1" x14ac:dyDescent="0.25"/>
    <row r="126395" customFormat="1" x14ac:dyDescent="0.25"/>
    <row r="126396" customFormat="1" x14ac:dyDescent="0.25"/>
    <row r="126397" customFormat="1" x14ac:dyDescent="0.25"/>
    <row r="126398" customFormat="1" x14ac:dyDescent="0.25"/>
    <row r="126399" customFormat="1" x14ac:dyDescent="0.25"/>
    <row r="126400" customFormat="1" x14ac:dyDescent="0.25"/>
    <row r="126401" customFormat="1" x14ac:dyDescent="0.25"/>
    <row r="126402" customFormat="1" x14ac:dyDescent="0.25"/>
    <row r="126403" customFormat="1" x14ac:dyDescent="0.25"/>
    <row r="126404" customFormat="1" x14ac:dyDescent="0.25"/>
    <row r="126405" customFormat="1" x14ac:dyDescent="0.25"/>
    <row r="126406" customFormat="1" x14ac:dyDescent="0.25"/>
    <row r="126407" customFormat="1" x14ac:dyDescent="0.25"/>
    <row r="126408" customFormat="1" x14ac:dyDescent="0.25"/>
    <row r="126409" customFormat="1" x14ac:dyDescent="0.25"/>
    <row r="126410" customFormat="1" x14ac:dyDescent="0.25"/>
    <row r="126411" customFormat="1" x14ac:dyDescent="0.25"/>
    <row r="126412" customFormat="1" x14ac:dyDescent="0.25"/>
    <row r="126413" customFormat="1" x14ac:dyDescent="0.25"/>
    <row r="126414" customFormat="1" x14ac:dyDescent="0.25"/>
    <row r="126415" customFormat="1" x14ac:dyDescent="0.25"/>
    <row r="126416" customFormat="1" x14ac:dyDescent="0.25"/>
    <row r="126417" customFormat="1" x14ac:dyDescent="0.25"/>
    <row r="126418" customFormat="1" x14ac:dyDescent="0.25"/>
    <row r="126419" customFormat="1" x14ac:dyDescent="0.25"/>
    <row r="126420" customFormat="1" x14ac:dyDescent="0.25"/>
    <row r="126421" customFormat="1" x14ac:dyDescent="0.25"/>
    <row r="126422" customFormat="1" x14ac:dyDescent="0.25"/>
    <row r="126423" customFormat="1" x14ac:dyDescent="0.25"/>
    <row r="126424" customFormat="1" x14ac:dyDescent="0.25"/>
    <row r="126425" customFormat="1" x14ac:dyDescent="0.25"/>
    <row r="126426" customFormat="1" x14ac:dyDescent="0.25"/>
    <row r="126427" customFormat="1" x14ac:dyDescent="0.25"/>
    <row r="126428" customFormat="1" x14ac:dyDescent="0.25"/>
    <row r="126429" customFormat="1" x14ac:dyDescent="0.25"/>
    <row r="126430" customFormat="1" x14ac:dyDescent="0.25"/>
    <row r="126431" customFormat="1" x14ac:dyDescent="0.25"/>
    <row r="126432" customFormat="1" x14ac:dyDescent="0.25"/>
    <row r="126433" customFormat="1" x14ac:dyDescent="0.25"/>
    <row r="126434" customFormat="1" x14ac:dyDescent="0.25"/>
    <row r="126435" customFormat="1" x14ac:dyDescent="0.25"/>
    <row r="126436" customFormat="1" x14ac:dyDescent="0.25"/>
    <row r="126437" customFormat="1" x14ac:dyDescent="0.25"/>
    <row r="126438" customFormat="1" x14ac:dyDescent="0.25"/>
    <row r="126439" customFormat="1" x14ac:dyDescent="0.25"/>
    <row r="126440" customFormat="1" x14ac:dyDescent="0.25"/>
    <row r="126441" customFormat="1" x14ac:dyDescent="0.25"/>
    <row r="126442" customFormat="1" x14ac:dyDescent="0.25"/>
    <row r="126443" customFormat="1" x14ac:dyDescent="0.25"/>
    <row r="126444" customFormat="1" x14ac:dyDescent="0.25"/>
    <row r="126445" customFormat="1" x14ac:dyDescent="0.25"/>
    <row r="126446" customFormat="1" x14ac:dyDescent="0.25"/>
    <row r="126447" customFormat="1" x14ac:dyDescent="0.25"/>
    <row r="126448" customFormat="1" x14ac:dyDescent="0.25"/>
    <row r="126449" customFormat="1" x14ac:dyDescent="0.25"/>
    <row r="126450" customFormat="1" x14ac:dyDescent="0.25"/>
    <row r="126451" customFormat="1" x14ac:dyDescent="0.25"/>
    <row r="126452" customFormat="1" x14ac:dyDescent="0.25"/>
    <row r="126453" customFormat="1" x14ac:dyDescent="0.25"/>
    <row r="126454" customFormat="1" x14ac:dyDescent="0.25"/>
    <row r="126455" customFormat="1" x14ac:dyDescent="0.25"/>
    <row r="126456" customFormat="1" x14ac:dyDescent="0.25"/>
    <row r="126457" customFormat="1" x14ac:dyDescent="0.25"/>
    <row r="126458" customFormat="1" x14ac:dyDescent="0.25"/>
    <row r="126459" customFormat="1" x14ac:dyDescent="0.25"/>
    <row r="126460" customFormat="1" x14ac:dyDescent="0.25"/>
    <row r="126461" customFormat="1" x14ac:dyDescent="0.25"/>
    <row r="126462" customFormat="1" x14ac:dyDescent="0.25"/>
    <row r="126463" customFormat="1" x14ac:dyDescent="0.25"/>
    <row r="126464" customFormat="1" x14ac:dyDescent="0.25"/>
    <row r="126465" customFormat="1" x14ac:dyDescent="0.25"/>
    <row r="126466" customFormat="1" x14ac:dyDescent="0.25"/>
    <row r="126467" customFormat="1" x14ac:dyDescent="0.25"/>
    <row r="126468" customFormat="1" x14ac:dyDescent="0.25"/>
    <row r="126469" customFormat="1" x14ac:dyDescent="0.25"/>
    <row r="126470" customFormat="1" x14ac:dyDescent="0.25"/>
    <row r="126471" customFormat="1" x14ac:dyDescent="0.25"/>
    <row r="126472" customFormat="1" x14ac:dyDescent="0.25"/>
    <row r="126473" customFormat="1" x14ac:dyDescent="0.25"/>
    <row r="126474" customFormat="1" x14ac:dyDescent="0.25"/>
    <row r="126475" customFormat="1" x14ac:dyDescent="0.25"/>
    <row r="126476" customFormat="1" x14ac:dyDescent="0.25"/>
    <row r="126477" customFormat="1" x14ac:dyDescent="0.25"/>
    <row r="126478" customFormat="1" x14ac:dyDescent="0.25"/>
    <row r="126479" customFormat="1" x14ac:dyDescent="0.25"/>
    <row r="126480" customFormat="1" x14ac:dyDescent="0.25"/>
    <row r="126481" customFormat="1" x14ac:dyDescent="0.25"/>
    <row r="126482" customFormat="1" x14ac:dyDescent="0.25"/>
    <row r="126483" customFormat="1" x14ac:dyDescent="0.25"/>
    <row r="126484" customFormat="1" x14ac:dyDescent="0.25"/>
    <row r="126485" customFormat="1" x14ac:dyDescent="0.25"/>
    <row r="126486" customFormat="1" x14ac:dyDescent="0.25"/>
    <row r="126487" customFormat="1" x14ac:dyDescent="0.25"/>
    <row r="126488" customFormat="1" x14ac:dyDescent="0.25"/>
    <row r="126489" customFormat="1" x14ac:dyDescent="0.25"/>
    <row r="126490" customFormat="1" x14ac:dyDescent="0.25"/>
    <row r="126491" customFormat="1" x14ac:dyDescent="0.25"/>
    <row r="126492" customFormat="1" x14ac:dyDescent="0.25"/>
    <row r="126493" customFormat="1" x14ac:dyDescent="0.25"/>
    <row r="126494" customFormat="1" x14ac:dyDescent="0.25"/>
    <row r="126495" customFormat="1" x14ac:dyDescent="0.25"/>
    <row r="126496" customFormat="1" x14ac:dyDescent="0.25"/>
    <row r="126497" customFormat="1" x14ac:dyDescent="0.25"/>
    <row r="126498" customFormat="1" x14ac:dyDescent="0.25"/>
    <row r="126499" customFormat="1" x14ac:dyDescent="0.25"/>
    <row r="126500" customFormat="1" x14ac:dyDescent="0.25"/>
    <row r="126501" customFormat="1" x14ac:dyDescent="0.25"/>
    <row r="126502" customFormat="1" x14ac:dyDescent="0.25"/>
    <row r="126503" customFormat="1" x14ac:dyDescent="0.25"/>
    <row r="126504" customFormat="1" x14ac:dyDescent="0.25"/>
    <row r="126505" customFormat="1" x14ac:dyDescent="0.25"/>
    <row r="126506" customFormat="1" x14ac:dyDescent="0.25"/>
    <row r="126507" customFormat="1" x14ac:dyDescent="0.25"/>
    <row r="126508" customFormat="1" x14ac:dyDescent="0.25"/>
    <row r="126509" customFormat="1" x14ac:dyDescent="0.25"/>
    <row r="126510" customFormat="1" x14ac:dyDescent="0.25"/>
    <row r="126511" customFormat="1" x14ac:dyDescent="0.25"/>
    <row r="126512" customFormat="1" x14ac:dyDescent="0.25"/>
    <row r="126513" customFormat="1" x14ac:dyDescent="0.25"/>
    <row r="126514" customFormat="1" x14ac:dyDescent="0.25"/>
    <row r="126515" customFormat="1" x14ac:dyDescent="0.25"/>
    <row r="126516" customFormat="1" x14ac:dyDescent="0.25"/>
    <row r="126517" customFormat="1" x14ac:dyDescent="0.25"/>
    <row r="126518" customFormat="1" x14ac:dyDescent="0.25"/>
    <row r="126519" customFormat="1" x14ac:dyDescent="0.25"/>
    <row r="126520" customFormat="1" x14ac:dyDescent="0.25"/>
    <row r="126521" customFormat="1" x14ac:dyDescent="0.25"/>
    <row r="126522" customFormat="1" x14ac:dyDescent="0.25"/>
    <row r="126523" customFormat="1" x14ac:dyDescent="0.25"/>
    <row r="126524" customFormat="1" x14ac:dyDescent="0.25"/>
    <row r="126525" customFormat="1" x14ac:dyDescent="0.25"/>
    <row r="126526" customFormat="1" x14ac:dyDescent="0.25"/>
    <row r="126527" customFormat="1" x14ac:dyDescent="0.25"/>
    <row r="126528" customFormat="1" x14ac:dyDescent="0.25"/>
    <row r="126529" customFormat="1" x14ac:dyDescent="0.25"/>
    <row r="126530" customFormat="1" x14ac:dyDescent="0.25"/>
    <row r="126531" customFormat="1" x14ac:dyDescent="0.25"/>
    <row r="126532" customFormat="1" x14ac:dyDescent="0.25"/>
    <row r="126533" customFormat="1" x14ac:dyDescent="0.25"/>
    <row r="126534" customFormat="1" x14ac:dyDescent="0.25"/>
    <row r="126535" customFormat="1" x14ac:dyDescent="0.25"/>
    <row r="126536" customFormat="1" x14ac:dyDescent="0.25"/>
    <row r="126537" customFormat="1" x14ac:dyDescent="0.25"/>
    <row r="126538" customFormat="1" x14ac:dyDescent="0.25"/>
    <row r="126539" customFormat="1" x14ac:dyDescent="0.25"/>
    <row r="126540" customFormat="1" x14ac:dyDescent="0.25"/>
    <row r="126541" customFormat="1" x14ac:dyDescent="0.25"/>
    <row r="126542" customFormat="1" x14ac:dyDescent="0.25"/>
    <row r="126543" customFormat="1" x14ac:dyDescent="0.25"/>
    <row r="126544" customFormat="1" x14ac:dyDescent="0.25"/>
    <row r="126545" customFormat="1" x14ac:dyDescent="0.25"/>
    <row r="126546" customFormat="1" x14ac:dyDescent="0.25"/>
    <row r="126547" customFormat="1" x14ac:dyDescent="0.25"/>
    <row r="126548" customFormat="1" x14ac:dyDescent="0.25"/>
    <row r="126549" customFormat="1" x14ac:dyDescent="0.25"/>
    <row r="126550" customFormat="1" x14ac:dyDescent="0.25"/>
    <row r="126551" customFormat="1" x14ac:dyDescent="0.25"/>
    <row r="126552" customFormat="1" x14ac:dyDescent="0.25"/>
    <row r="126553" customFormat="1" x14ac:dyDescent="0.25"/>
    <row r="126554" customFormat="1" x14ac:dyDescent="0.25"/>
    <row r="126555" customFormat="1" x14ac:dyDescent="0.25"/>
    <row r="126556" customFormat="1" x14ac:dyDescent="0.25"/>
    <row r="126557" customFormat="1" x14ac:dyDescent="0.25"/>
    <row r="126558" customFormat="1" x14ac:dyDescent="0.25"/>
    <row r="126559" customFormat="1" x14ac:dyDescent="0.25"/>
    <row r="126560" customFormat="1" x14ac:dyDescent="0.25"/>
    <row r="126561" customFormat="1" x14ac:dyDescent="0.25"/>
    <row r="126562" customFormat="1" x14ac:dyDescent="0.25"/>
    <row r="126563" customFormat="1" x14ac:dyDescent="0.25"/>
    <row r="126564" customFormat="1" x14ac:dyDescent="0.25"/>
    <row r="126565" customFormat="1" x14ac:dyDescent="0.25"/>
    <row r="126566" customFormat="1" x14ac:dyDescent="0.25"/>
    <row r="126567" customFormat="1" x14ac:dyDescent="0.25"/>
    <row r="126568" customFormat="1" x14ac:dyDescent="0.25"/>
    <row r="126569" customFormat="1" x14ac:dyDescent="0.25"/>
    <row r="126570" customFormat="1" x14ac:dyDescent="0.25"/>
    <row r="126571" customFormat="1" x14ac:dyDescent="0.25"/>
    <row r="126572" customFormat="1" x14ac:dyDescent="0.25"/>
    <row r="126573" customFormat="1" x14ac:dyDescent="0.25"/>
    <row r="126574" customFormat="1" x14ac:dyDescent="0.25"/>
    <row r="126575" customFormat="1" x14ac:dyDescent="0.25"/>
    <row r="126576" customFormat="1" x14ac:dyDescent="0.25"/>
    <row r="126577" customFormat="1" x14ac:dyDescent="0.25"/>
    <row r="126578" customFormat="1" x14ac:dyDescent="0.25"/>
    <row r="126579" customFormat="1" x14ac:dyDescent="0.25"/>
    <row r="126580" customFormat="1" x14ac:dyDescent="0.25"/>
    <row r="126581" customFormat="1" x14ac:dyDescent="0.25"/>
    <row r="126582" customFormat="1" x14ac:dyDescent="0.25"/>
    <row r="126583" customFormat="1" x14ac:dyDescent="0.25"/>
    <row r="126584" customFormat="1" x14ac:dyDescent="0.25"/>
    <row r="126585" customFormat="1" x14ac:dyDescent="0.25"/>
    <row r="126586" customFormat="1" x14ac:dyDescent="0.25"/>
    <row r="126587" customFormat="1" x14ac:dyDescent="0.25"/>
    <row r="126588" customFormat="1" x14ac:dyDescent="0.25"/>
    <row r="126589" customFormat="1" x14ac:dyDescent="0.25"/>
    <row r="126590" customFormat="1" x14ac:dyDescent="0.25"/>
    <row r="126591" customFormat="1" x14ac:dyDescent="0.25"/>
    <row r="126592" customFormat="1" x14ac:dyDescent="0.25"/>
    <row r="126593" customFormat="1" x14ac:dyDescent="0.25"/>
    <row r="126594" customFormat="1" x14ac:dyDescent="0.25"/>
    <row r="126595" customFormat="1" x14ac:dyDescent="0.25"/>
    <row r="126596" customFormat="1" x14ac:dyDescent="0.25"/>
    <row r="126597" customFormat="1" x14ac:dyDescent="0.25"/>
    <row r="126598" customFormat="1" x14ac:dyDescent="0.25"/>
    <row r="126599" customFormat="1" x14ac:dyDescent="0.25"/>
    <row r="126600" customFormat="1" x14ac:dyDescent="0.25"/>
    <row r="126601" customFormat="1" x14ac:dyDescent="0.25"/>
    <row r="126602" customFormat="1" x14ac:dyDescent="0.25"/>
    <row r="126603" customFormat="1" x14ac:dyDescent="0.25"/>
    <row r="126604" customFormat="1" x14ac:dyDescent="0.25"/>
    <row r="126605" customFormat="1" x14ac:dyDescent="0.25"/>
    <row r="126606" customFormat="1" x14ac:dyDescent="0.25"/>
    <row r="126607" customFormat="1" x14ac:dyDescent="0.25"/>
    <row r="126608" customFormat="1" x14ac:dyDescent="0.25"/>
    <row r="126609" customFormat="1" x14ac:dyDescent="0.25"/>
    <row r="126610" customFormat="1" x14ac:dyDescent="0.25"/>
    <row r="126611" customFormat="1" x14ac:dyDescent="0.25"/>
    <row r="126612" customFormat="1" x14ac:dyDescent="0.25"/>
    <row r="126613" customFormat="1" x14ac:dyDescent="0.25"/>
    <row r="126614" customFormat="1" x14ac:dyDescent="0.25"/>
    <row r="126615" customFormat="1" x14ac:dyDescent="0.25"/>
    <row r="126616" customFormat="1" x14ac:dyDescent="0.25"/>
    <row r="126617" customFormat="1" x14ac:dyDescent="0.25"/>
    <row r="126618" customFormat="1" x14ac:dyDescent="0.25"/>
    <row r="126619" customFormat="1" x14ac:dyDescent="0.25"/>
    <row r="126620" customFormat="1" x14ac:dyDescent="0.25"/>
    <row r="126621" customFormat="1" x14ac:dyDescent="0.25"/>
    <row r="126622" customFormat="1" x14ac:dyDescent="0.25"/>
    <row r="126623" customFormat="1" x14ac:dyDescent="0.25"/>
    <row r="126624" customFormat="1" x14ac:dyDescent="0.25"/>
    <row r="126625" customFormat="1" x14ac:dyDescent="0.25"/>
    <row r="126626" customFormat="1" x14ac:dyDescent="0.25"/>
    <row r="126627" customFormat="1" x14ac:dyDescent="0.25"/>
    <row r="126628" customFormat="1" x14ac:dyDescent="0.25"/>
    <row r="126629" customFormat="1" x14ac:dyDescent="0.25"/>
    <row r="126630" customFormat="1" x14ac:dyDescent="0.25"/>
    <row r="126631" customFormat="1" x14ac:dyDescent="0.25"/>
    <row r="126632" customFormat="1" x14ac:dyDescent="0.25"/>
    <row r="126633" customFormat="1" x14ac:dyDescent="0.25"/>
    <row r="126634" customFormat="1" x14ac:dyDescent="0.25"/>
    <row r="126635" customFormat="1" x14ac:dyDescent="0.25"/>
    <row r="126636" customFormat="1" x14ac:dyDescent="0.25"/>
    <row r="126637" customFormat="1" x14ac:dyDescent="0.25"/>
    <row r="126638" customFormat="1" x14ac:dyDescent="0.25"/>
    <row r="126639" customFormat="1" x14ac:dyDescent="0.25"/>
    <row r="126640" customFormat="1" x14ac:dyDescent="0.25"/>
    <row r="126641" customFormat="1" x14ac:dyDescent="0.25"/>
    <row r="126642" customFormat="1" x14ac:dyDescent="0.25"/>
    <row r="126643" customFormat="1" x14ac:dyDescent="0.25"/>
    <row r="126644" customFormat="1" x14ac:dyDescent="0.25"/>
    <row r="126645" customFormat="1" x14ac:dyDescent="0.25"/>
    <row r="126646" customFormat="1" x14ac:dyDescent="0.25"/>
    <row r="126647" customFormat="1" x14ac:dyDescent="0.25"/>
    <row r="126648" customFormat="1" x14ac:dyDescent="0.25"/>
    <row r="126649" customFormat="1" x14ac:dyDescent="0.25"/>
    <row r="126650" customFormat="1" x14ac:dyDescent="0.25"/>
    <row r="126651" customFormat="1" x14ac:dyDescent="0.25"/>
    <row r="126652" customFormat="1" x14ac:dyDescent="0.25"/>
    <row r="126653" customFormat="1" x14ac:dyDescent="0.25"/>
    <row r="126654" customFormat="1" x14ac:dyDescent="0.25"/>
    <row r="126655" customFormat="1" x14ac:dyDescent="0.25"/>
    <row r="126656" customFormat="1" x14ac:dyDescent="0.25"/>
    <row r="126657" customFormat="1" x14ac:dyDescent="0.25"/>
    <row r="126658" customFormat="1" x14ac:dyDescent="0.25"/>
    <row r="126659" customFormat="1" x14ac:dyDescent="0.25"/>
    <row r="126660" customFormat="1" x14ac:dyDescent="0.25"/>
    <row r="126661" customFormat="1" x14ac:dyDescent="0.25"/>
    <row r="126662" customFormat="1" x14ac:dyDescent="0.25"/>
    <row r="126663" customFormat="1" x14ac:dyDescent="0.25"/>
    <row r="126664" customFormat="1" x14ac:dyDescent="0.25"/>
    <row r="126665" customFormat="1" x14ac:dyDescent="0.25"/>
    <row r="126666" customFormat="1" x14ac:dyDescent="0.25"/>
    <row r="126667" customFormat="1" x14ac:dyDescent="0.25"/>
    <row r="126668" customFormat="1" x14ac:dyDescent="0.25"/>
    <row r="126669" customFormat="1" x14ac:dyDescent="0.25"/>
    <row r="126670" customFormat="1" x14ac:dyDescent="0.25"/>
    <row r="126671" customFormat="1" x14ac:dyDescent="0.25"/>
    <row r="126672" customFormat="1" x14ac:dyDescent="0.25"/>
    <row r="126673" customFormat="1" x14ac:dyDescent="0.25"/>
    <row r="126674" customFormat="1" x14ac:dyDescent="0.25"/>
    <row r="126675" customFormat="1" x14ac:dyDescent="0.25"/>
    <row r="126676" customFormat="1" x14ac:dyDescent="0.25"/>
    <row r="126677" customFormat="1" x14ac:dyDescent="0.25"/>
    <row r="126678" customFormat="1" x14ac:dyDescent="0.25"/>
    <row r="126679" customFormat="1" x14ac:dyDescent="0.25"/>
    <row r="126680" customFormat="1" x14ac:dyDescent="0.25"/>
    <row r="126681" customFormat="1" x14ac:dyDescent="0.25"/>
    <row r="126682" customFormat="1" x14ac:dyDescent="0.25"/>
    <row r="126683" customFormat="1" x14ac:dyDescent="0.25"/>
    <row r="126684" customFormat="1" x14ac:dyDescent="0.25"/>
    <row r="126685" customFormat="1" x14ac:dyDescent="0.25"/>
    <row r="126686" customFormat="1" x14ac:dyDescent="0.25"/>
    <row r="126687" customFormat="1" x14ac:dyDescent="0.25"/>
    <row r="126688" customFormat="1" x14ac:dyDescent="0.25"/>
    <row r="126689" customFormat="1" x14ac:dyDescent="0.25"/>
    <row r="126690" customFormat="1" x14ac:dyDescent="0.25"/>
    <row r="126691" customFormat="1" x14ac:dyDescent="0.25"/>
    <row r="126692" customFormat="1" x14ac:dyDescent="0.25"/>
    <row r="126693" customFormat="1" x14ac:dyDescent="0.25"/>
    <row r="126694" customFormat="1" x14ac:dyDescent="0.25"/>
    <row r="126695" customFormat="1" x14ac:dyDescent="0.25"/>
    <row r="126696" customFormat="1" x14ac:dyDescent="0.25"/>
    <row r="126697" customFormat="1" x14ac:dyDescent="0.25"/>
    <row r="126698" customFormat="1" x14ac:dyDescent="0.25"/>
    <row r="126699" customFormat="1" x14ac:dyDescent="0.25"/>
    <row r="126700" customFormat="1" x14ac:dyDescent="0.25"/>
    <row r="126701" customFormat="1" x14ac:dyDescent="0.25"/>
    <row r="126702" customFormat="1" x14ac:dyDescent="0.25"/>
    <row r="126703" customFormat="1" x14ac:dyDescent="0.25"/>
    <row r="126704" customFormat="1" x14ac:dyDescent="0.25"/>
    <row r="126705" customFormat="1" x14ac:dyDescent="0.25"/>
    <row r="126706" customFormat="1" x14ac:dyDescent="0.25"/>
    <row r="126707" customFormat="1" x14ac:dyDescent="0.25"/>
    <row r="126708" customFormat="1" x14ac:dyDescent="0.25"/>
    <row r="126709" customFormat="1" x14ac:dyDescent="0.25"/>
    <row r="126710" customFormat="1" x14ac:dyDescent="0.25"/>
    <row r="126711" customFormat="1" x14ac:dyDescent="0.25"/>
    <row r="126712" customFormat="1" x14ac:dyDescent="0.25"/>
    <row r="126713" customFormat="1" x14ac:dyDescent="0.25"/>
    <row r="126714" customFormat="1" x14ac:dyDescent="0.25"/>
    <row r="126715" customFormat="1" x14ac:dyDescent="0.25"/>
    <row r="126716" customFormat="1" x14ac:dyDescent="0.25"/>
    <row r="126717" customFormat="1" x14ac:dyDescent="0.25"/>
    <row r="126718" customFormat="1" x14ac:dyDescent="0.25"/>
    <row r="126719" customFormat="1" x14ac:dyDescent="0.25"/>
    <row r="126720" customFormat="1" x14ac:dyDescent="0.25"/>
    <row r="126721" customFormat="1" x14ac:dyDescent="0.25"/>
    <row r="126722" customFormat="1" x14ac:dyDescent="0.25"/>
    <row r="126723" customFormat="1" x14ac:dyDescent="0.25"/>
    <row r="126724" customFormat="1" x14ac:dyDescent="0.25"/>
    <row r="126725" customFormat="1" x14ac:dyDescent="0.25"/>
    <row r="126726" customFormat="1" x14ac:dyDescent="0.25"/>
    <row r="126727" customFormat="1" x14ac:dyDescent="0.25"/>
    <row r="126728" customFormat="1" x14ac:dyDescent="0.25"/>
    <row r="126729" customFormat="1" x14ac:dyDescent="0.25"/>
    <row r="126730" customFormat="1" x14ac:dyDescent="0.25"/>
    <row r="126731" customFormat="1" x14ac:dyDescent="0.25"/>
    <row r="126732" customFormat="1" x14ac:dyDescent="0.25"/>
    <row r="126733" customFormat="1" x14ac:dyDescent="0.25"/>
    <row r="126734" customFormat="1" x14ac:dyDescent="0.25"/>
    <row r="126735" customFormat="1" x14ac:dyDescent="0.25"/>
    <row r="126736" customFormat="1" x14ac:dyDescent="0.25"/>
    <row r="126737" customFormat="1" x14ac:dyDescent="0.25"/>
    <row r="126738" customFormat="1" x14ac:dyDescent="0.25"/>
    <row r="126739" customFormat="1" x14ac:dyDescent="0.25"/>
    <row r="126740" customFormat="1" x14ac:dyDescent="0.25"/>
    <row r="126741" customFormat="1" x14ac:dyDescent="0.25"/>
    <row r="126742" customFormat="1" x14ac:dyDescent="0.25"/>
    <row r="126743" customFormat="1" x14ac:dyDescent="0.25"/>
    <row r="126744" customFormat="1" x14ac:dyDescent="0.25"/>
    <row r="126745" customFormat="1" x14ac:dyDescent="0.25"/>
    <row r="126746" customFormat="1" x14ac:dyDescent="0.25"/>
    <row r="126747" customFormat="1" x14ac:dyDescent="0.25"/>
    <row r="126748" customFormat="1" x14ac:dyDescent="0.25"/>
    <row r="126749" customFormat="1" x14ac:dyDescent="0.25"/>
    <row r="126750" customFormat="1" x14ac:dyDescent="0.25"/>
    <row r="126751" customFormat="1" x14ac:dyDescent="0.25"/>
    <row r="126752" customFormat="1" x14ac:dyDescent="0.25"/>
    <row r="126753" customFormat="1" x14ac:dyDescent="0.25"/>
    <row r="126754" customFormat="1" x14ac:dyDescent="0.25"/>
    <row r="126755" customFormat="1" x14ac:dyDescent="0.25"/>
    <row r="126756" customFormat="1" x14ac:dyDescent="0.25"/>
    <row r="126757" customFormat="1" x14ac:dyDescent="0.25"/>
    <row r="126758" customFormat="1" x14ac:dyDescent="0.25"/>
    <row r="126759" customFormat="1" x14ac:dyDescent="0.25"/>
    <row r="126760" customFormat="1" x14ac:dyDescent="0.25"/>
    <row r="126761" customFormat="1" x14ac:dyDescent="0.25"/>
    <row r="126762" customFormat="1" x14ac:dyDescent="0.25"/>
    <row r="126763" customFormat="1" x14ac:dyDescent="0.25"/>
    <row r="126764" customFormat="1" x14ac:dyDescent="0.25"/>
    <row r="126765" customFormat="1" x14ac:dyDescent="0.25"/>
    <row r="126766" customFormat="1" x14ac:dyDescent="0.25"/>
    <row r="126767" customFormat="1" x14ac:dyDescent="0.25"/>
    <row r="126768" customFormat="1" x14ac:dyDescent="0.25"/>
    <row r="126769" customFormat="1" x14ac:dyDescent="0.25"/>
    <row r="126770" customFormat="1" x14ac:dyDescent="0.25"/>
    <row r="126771" customFormat="1" x14ac:dyDescent="0.25"/>
    <row r="126772" customFormat="1" x14ac:dyDescent="0.25"/>
    <row r="126773" customFormat="1" x14ac:dyDescent="0.25"/>
    <row r="126774" customFormat="1" x14ac:dyDescent="0.25"/>
    <row r="126775" customFormat="1" x14ac:dyDescent="0.25"/>
    <row r="126776" customFormat="1" x14ac:dyDescent="0.25"/>
    <row r="126777" customFormat="1" x14ac:dyDescent="0.25"/>
    <row r="126778" customFormat="1" x14ac:dyDescent="0.25"/>
    <row r="126779" customFormat="1" x14ac:dyDescent="0.25"/>
    <row r="126780" customFormat="1" x14ac:dyDescent="0.25"/>
    <row r="126781" customFormat="1" x14ac:dyDescent="0.25"/>
    <row r="126782" customFormat="1" x14ac:dyDescent="0.25"/>
    <row r="126783" customFormat="1" x14ac:dyDescent="0.25"/>
    <row r="126784" customFormat="1" x14ac:dyDescent="0.25"/>
    <row r="126785" customFormat="1" x14ac:dyDescent="0.25"/>
    <row r="126786" customFormat="1" x14ac:dyDescent="0.25"/>
    <row r="126787" customFormat="1" x14ac:dyDescent="0.25"/>
    <row r="126788" customFormat="1" x14ac:dyDescent="0.25"/>
    <row r="126789" customFormat="1" x14ac:dyDescent="0.25"/>
    <row r="126790" customFormat="1" x14ac:dyDescent="0.25"/>
    <row r="126791" customFormat="1" x14ac:dyDescent="0.25"/>
    <row r="126792" customFormat="1" x14ac:dyDescent="0.25"/>
    <row r="126793" customFormat="1" x14ac:dyDescent="0.25"/>
    <row r="126794" customFormat="1" x14ac:dyDescent="0.25"/>
    <row r="126795" customFormat="1" x14ac:dyDescent="0.25"/>
    <row r="126796" customFormat="1" x14ac:dyDescent="0.25"/>
    <row r="126797" customFormat="1" x14ac:dyDescent="0.25"/>
    <row r="126798" customFormat="1" x14ac:dyDescent="0.25"/>
    <row r="126799" customFormat="1" x14ac:dyDescent="0.25"/>
    <row r="126800" customFormat="1" x14ac:dyDescent="0.25"/>
    <row r="126801" customFormat="1" x14ac:dyDescent="0.25"/>
    <row r="126802" customFormat="1" x14ac:dyDescent="0.25"/>
    <row r="126803" customFormat="1" x14ac:dyDescent="0.25"/>
    <row r="126804" customFormat="1" x14ac:dyDescent="0.25"/>
    <row r="126805" customFormat="1" x14ac:dyDescent="0.25"/>
    <row r="126806" customFormat="1" x14ac:dyDescent="0.25"/>
    <row r="126807" customFormat="1" x14ac:dyDescent="0.25"/>
    <row r="126808" customFormat="1" x14ac:dyDescent="0.25"/>
    <row r="126809" customFormat="1" x14ac:dyDescent="0.25"/>
    <row r="126810" customFormat="1" x14ac:dyDescent="0.25"/>
    <row r="126811" customFormat="1" x14ac:dyDescent="0.25"/>
    <row r="126812" customFormat="1" x14ac:dyDescent="0.25"/>
    <row r="126813" customFormat="1" x14ac:dyDescent="0.25"/>
    <row r="126814" customFormat="1" x14ac:dyDescent="0.25"/>
    <row r="126815" customFormat="1" x14ac:dyDescent="0.25"/>
    <row r="126816" customFormat="1" x14ac:dyDescent="0.25"/>
    <row r="126817" customFormat="1" x14ac:dyDescent="0.25"/>
    <row r="126818" customFormat="1" x14ac:dyDescent="0.25"/>
    <row r="126819" customFormat="1" x14ac:dyDescent="0.25"/>
    <row r="126820" customFormat="1" x14ac:dyDescent="0.25"/>
    <row r="126821" customFormat="1" x14ac:dyDescent="0.25"/>
    <row r="126822" customFormat="1" x14ac:dyDescent="0.25"/>
    <row r="126823" customFormat="1" x14ac:dyDescent="0.25"/>
    <row r="126824" customFormat="1" x14ac:dyDescent="0.25"/>
    <row r="126825" customFormat="1" x14ac:dyDescent="0.25"/>
    <row r="126826" customFormat="1" x14ac:dyDescent="0.25"/>
    <row r="126827" customFormat="1" x14ac:dyDescent="0.25"/>
    <row r="126828" customFormat="1" x14ac:dyDescent="0.25"/>
    <row r="126829" customFormat="1" x14ac:dyDescent="0.25"/>
    <row r="126830" customFormat="1" x14ac:dyDescent="0.25"/>
    <row r="126831" customFormat="1" x14ac:dyDescent="0.25"/>
    <row r="126832" customFormat="1" x14ac:dyDescent="0.25"/>
    <row r="126833" customFormat="1" x14ac:dyDescent="0.25"/>
    <row r="126834" customFormat="1" x14ac:dyDescent="0.25"/>
    <row r="126835" customFormat="1" x14ac:dyDescent="0.25"/>
    <row r="126836" customFormat="1" x14ac:dyDescent="0.25"/>
    <row r="126837" customFormat="1" x14ac:dyDescent="0.25"/>
    <row r="126838" customFormat="1" x14ac:dyDescent="0.25"/>
    <row r="126839" customFormat="1" x14ac:dyDescent="0.25"/>
    <row r="126840" customFormat="1" x14ac:dyDescent="0.25"/>
    <row r="126841" customFormat="1" x14ac:dyDescent="0.25"/>
    <row r="126842" customFormat="1" x14ac:dyDescent="0.25"/>
    <row r="126843" customFormat="1" x14ac:dyDescent="0.25"/>
    <row r="126844" customFormat="1" x14ac:dyDescent="0.25"/>
    <row r="126845" customFormat="1" x14ac:dyDescent="0.25"/>
    <row r="126846" customFormat="1" x14ac:dyDescent="0.25"/>
    <row r="126847" customFormat="1" x14ac:dyDescent="0.25"/>
    <row r="126848" customFormat="1" x14ac:dyDescent="0.25"/>
    <row r="126849" customFormat="1" x14ac:dyDescent="0.25"/>
    <row r="126850" customFormat="1" x14ac:dyDescent="0.25"/>
    <row r="126851" customFormat="1" x14ac:dyDescent="0.25"/>
    <row r="126852" customFormat="1" x14ac:dyDescent="0.25"/>
    <row r="126853" customFormat="1" x14ac:dyDescent="0.25"/>
    <row r="126854" customFormat="1" x14ac:dyDescent="0.25"/>
    <row r="126855" customFormat="1" x14ac:dyDescent="0.25"/>
    <row r="126856" customFormat="1" x14ac:dyDescent="0.25"/>
    <row r="126857" customFormat="1" x14ac:dyDescent="0.25"/>
    <row r="126858" customFormat="1" x14ac:dyDescent="0.25"/>
    <row r="126859" customFormat="1" x14ac:dyDescent="0.25"/>
    <row r="126860" customFormat="1" x14ac:dyDescent="0.25"/>
    <row r="126861" customFormat="1" x14ac:dyDescent="0.25"/>
    <row r="126862" customFormat="1" x14ac:dyDescent="0.25"/>
    <row r="126863" customFormat="1" x14ac:dyDescent="0.25"/>
    <row r="126864" customFormat="1" x14ac:dyDescent="0.25"/>
    <row r="126865" customFormat="1" x14ac:dyDescent="0.25"/>
    <row r="126866" customFormat="1" x14ac:dyDescent="0.25"/>
    <row r="126867" customFormat="1" x14ac:dyDescent="0.25"/>
    <row r="126868" customFormat="1" x14ac:dyDescent="0.25"/>
    <row r="126869" customFormat="1" x14ac:dyDescent="0.25"/>
    <row r="126870" customFormat="1" x14ac:dyDescent="0.25"/>
    <row r="126871" customFormat="1" x14ac:dyDescent="0.25"/>
    <row r="126872" customFormat="1" x14ac:dyDescent="0.25"/>
    <row r="126873" customFormat="1" x14ac:dyDescent="0.25"/>
    <row r="126874" customFormat="1" x14ac:dyDescent="0.25"/>
    <row r="126875" customFormat="1" x14ac:dyDescent="0.25"/>
    <row r="126876" customFormat="1" x14ac:dyDescent="0.25"/>
    <row r="126877" customFormat="1" x14ac:dyDescent="0.25"/>
    <row r="126878" customFormat="1" x14ac:dyDescent="0.25"/>
    <row r="126879" customFormat="1" x14ac:dyDescent="0.25"/>
    <row r="126880" customFormat="1" x14ac:dyDescent="0.25"/>
    <row r="126881" customFormat="1" x14ac:dyDescent="0.25"/>
    <row r="126882" customFormat="1" x14ac:dyDescent="0.25"/>
    <row r="126883" customFormat="1" x14ac:dyDescent="0.25"/>
    <row r="126884" customFormat="1" x14ac:dyDescent="0.25"/>
    <row r="126885" customFormat="1" x14ac:dyDescent="0.25"/>
    <row r="126886" customFormat="1" x14ac:dyDescent="0.25"/>
    <row r="126887" customFormat="1" x14ac:dyDescent="0.25"/>
    <row r="126888" customFormat="1" x14ac:dyDescent="0.25"/>
    <row r="126889" customFormat="1" x14ac:dyDescent="0.25"/>
    <row r="126890" customFormat="1" x14ac:dyDescent="0.25"/>
    <row r="126891" customFormat="1" x14ac:dyDescent="0.25"/>
    <row r="126892" customFormat="1" x14ac:dyDescent="0.25"/>
    <row r="126893" customFormat="1" x14ac:dyDescent="0.25"/>
    <row r="126894" customFormat="1" x14ac:dyDescent="0.25"/>
    <row r="126895" customFormat="1" x14ac:dyDescent="0.25"/>
    <row r="126896" customFormat="1" x14ac:dyDescent="0.25"/>
    <row r="126897" customFormat="1" x14ac:dyDescent="0.25"/>
    <row r="126898" customFormat="1" x14ac:dyDescent="0.25"/>
    <row r="126899" customFormat="1" x14ac:dyDescent="0.25"/>
    <row r="126900" customFormat="1" x14ac:dyDescent="0.25"/>
    <row r="126901" customFormat="1" x14ac:dyDescent="0.25"/>
    <row r="126902" customFormat="1" x14ac:dyDescent="0.25"/>
    <row r="126903" customFormat="1" x14ac:dyDescent="0.25"/>
    <row r="126904" customFormat="1" x14ac:dyDescent="0.25"/>
    <row r="126905" customFormat="1" x14ac:dyDescent="0.25"/>
    <row r="126906" customFormat="1" x14ac:dyDescent="0.25"/>
    <row r="126907" customFormat="1" x14ac:dyDescent="0.25"/>
    <row r="126908" customFormat="1" x14ac:dyDescent="0.25"/>
    <row r="126909" customFormat="1" x14ac:dyDescent="0.25"/>
    <row r="126910" customFormat="1" x14ac:dyDescent="0.25"/>
    <row r="126911" customFormat="1" x14ac:dyDescent="0.25"/>
    <row r="126912" customFormat="1" x14ac:dyDescent="0.25"/>
    <row r="126913" customFormat="1" x14ac:dyDescent="0.25"/>
    <row r="126914" customFormat="1" x14ac:dyDescent="0.25"/>
    <row r="126915" customFormat="1" x14ac:dyDescent="0.25"/>
    <row r="126916" customFormat="1" x14ac:dyDescent="0.25"/>
    <row r="126917" customFormat="1" x14ac:dyDescent="0.25"/>
    <row r="126918" customFormat="1" x14ac:dyDescent="0.25"/>
    <row r="126919" customFormat="1" x14ac:dyDescent="0.25"/>
    <row r="126920" customFormat="1" x14ac:dyDescent="0.25"/>
    <row r="126921" customFormat="1" x14ac:dyDescent="0.25"/>
    <row r="126922" customFormat="1" x14ac:dyDescent="0.25"/>
    <row r="126923" customFormat="1" x14ac:dyDescent="0.25"/>
    <row r="126924" customFormat="1" x14ac:dyDescent="0.25"/>
    <row r="126925" customFormat="1" x14ac:dyDescent="0.25"/>
    <row r="126926" customFormat="1" x14ac:dyDescent="0.25"/>
    <row r="126927" customFormat="1" x14ac:dyDescent="0.25"/>
    <row r="126928" customFormat="1" x14ac:dyDescent="0.25"/>
    <row r="126929" customFormat="1" x14ac:dyDescent="0.25"/>
    <row r="126930" customFormat="1" x14ac:dyDescent="0.25"/>
    <row r="126931" customFormat="1" x14ac:dyDescent="0.25"/>
    <row r="126932" customFormat="1" x14ac:dyDescent="0.25"/>
    <row r="126933" customFormat="1" x14ac:dyDescent="0.25"/>
    <row r="126934" customFormat="1" x14ac:dyDescent="0.25"/>
    <row r="126935" customFormat="1" x14ac:dyDescent="0.25"/>
    <row r="126936" customFormat="1" x14ac:dyDescent="0.25"/>
    <row r="126937" customFormat="1" x14ac:dyDescent="0.25"/>
    <row r="126938" customFormat="1" x14ac:dyDescent="0.25"/>
    <row r="126939" customFormat="1" x14ac:dyDescent="0.25"/>
    <row r="126940" customFormat="1" x14ac:dyDescent="0.25"/>
    <row r="126941" customFormat="1" x14ac:dyDescent="0.25"/>
    <row r="126942" customFormat="1" x14ac:dyDescent="0.25"/>
    <row r="126943" customFormat="1" x14ac:dyDescent="0.25"/>
    <row r="126944" customFormat="1" x14ac:dyDescent="0.25"/>
    <row r="126945" customFormat="1" x14ac:dyDescent="0.25"/>
    <row r="126946" customFormat="1" x14ac:dyDescent="0.25"/>
    <row r="126947" customFormat="1" x14ac:dyDescent="0.25"/>
    <row r="126948" customFormat="1" x14ac:dyDescent="0.25"/>
    <row r="126949" customFormat="1" x14ac:dyDescent="0.25"/>
    <row r="126950" customFormat="1" x14ac:dyDescent="0.25"/>
    <row r="126951" customFormat="1" x14ac:dyDescent="0.25"/>
    <row r="126952" customFormat="1" x14ac:dyDescent="0.25"/>
    <row r="126953" customFormat="1" x14ac:dyDescent="0.25"/>
    <row r="126954" customFormat="1" x14ac:dyDescent="0.25"/>
    <row r="126955" customFormat="1" x14ac:dyDescent="0.25"/>
    <row r="126956" customFormat="1" x14ac:dyDescent="0.25"/>
    <row r="126957" customFormat="1" x14ac:dyDescent="0.25"/>
    <row r="126958" customFormat="1" x14ac:dyDescent="0.25"/>
    <row r="126959" customFormat="1" x14ac:dyDescent="0.25"/>
    <row r="126960" customFormat="1" x14ac:dyDescent="0.25"/>
    <row r="126961" customFormat="1" x14ac:dyDescent="0.25"/>
    <row r="126962" customFormat="1" x14ac:dyDescent="0.25"/>
    <row r="126963" customFormat="1" x14ac:dyDescent="0.25"/>
    <row r="126964" customFormat="1" x14ac:dyDescent="0.25"/>
    <row r="126965" customFormat="1" x14ac:dyDescent="0.25"/>
    <row r="126966" customFormat="1" x14ac:dyDescent="0.25"/>
    <row r="126967" customFormat="1" x14ac:dyDescent="0.25"/>
    <row r="126968" customFormat="1" x14ac:dyDescent="0.25"/>
    <row r="126969" customFormat="1" x14ac:dyDescent="0.25"/>
    <row r="126970" customFormat="1" x14ac:dyDescent="0.25"/>
    <row r="126971" customFormat="1" x14ac:dyDescent="0.25"/>
    <row r="126972" customFormat="1" x14ac:dyDescent="0.25"/>
    <row r="126973" customFormat="1" x14ac:dyDescent="0.25"/>
    <row r="126974" customFormat="1" x14ac:dyDescent="0.25"/>
    <row r="126975" customFormat="1" x14ac:dyDescent="0.25"/>
    <row r="126976" customFormat="1" x14ac:dyDescent="0.25"/>
    <row r="126977" customFormat="1" x14ac:dyDescent="0.25"/>
    <row r="126978" customFormat="1" x14ac:dyDescent="0.25"/>
    <row r="126979" customFormat="1" x14ac:dyDescent="0.25"/>
    <row r="126980" customFormat="1" x14ac:dyDescent="0.25"/>
    <row r="126981" customFormat="1" x14ac:dyDescent="0.25"/>
    <row r="126982" customFormat="1" x14ac:dyDescent="0.25"/>
    <row r="126983" customFormat="1" x14ac:dyDescent="0.25"/>
    <row r="126984" customFormat="1" x14ac:dyDescent="0.25"/>
    <row r="126985" customFormat="1" x14ac:dyDescent="0.25"/>
    <row r="126986" customFormat="1" x14ac:dyDescent="0.25"/>
    <row r="126987" customFormat="1" x14ac:dyDescent="0.25"/>
    <row r="126988" customFormat="1" x14ac:dyDescent="0.25"/>
    <row r="126989" customFormat="1" x14ac:dyDescent="0.25"/>
    <row r="126990" customFormat="1" x14ac:dyDescent="0.25"/>
    <row r="126991" customFormat="1" x14ac:dyDescent="0.25"/>
    <row r="126992" customFormat="1" x14ac:dyDescent="0.25"/>
    <row r="126993" customFormat="1" x14ac:dyDescent="0.25"/>
    <row r="126994" customFormat="1" x14ac:dyDescent="0.25"/>
    <row r="126995" customFormat="1" x14ac:dyDescent="0.25"/>
    <row r="126996" customFormat="1" x14ac:dyDescent="0.25"/>
    <row r="126997" customFormat="1" x14ac:dyDescent="0.25"/>
    <row r="126998" customFormat="1" x14ac:dyDescent="0.25"/>
    <row r="126999" customFormat="1" x14ac:dyDescent="0.25"/>
    <row r="127000" customFormat="1" x14ac:dyDescent="0.25"/>
    <row r="127001" customFormat="1" x14ac:dyDescent="0.25"/>
    <row r="127002" customFormat="1" x14ac:dyDescent="0.25"/>
    <row r="127003" customFormat="1" x14ac:dyDescent="0.25"/>
    <row r="127004" customFormat="1" x14ac:dyDescent="0.25"/>
    <row r="127005" customFormat="1" x14ac:dyDescent="0.25"/>
    <row r="127006" customFormat="1" x14ac:dyDescent="0.25"/>
    <row r="127007" customFormat="1" x14ac:dyDescent="0.25"/>
    <row r="127008" customFormat="1" x14ac:dyDescent="0.25"/>
    <row r="127009" customFormat="1" x14ac:dyDescent="0.25"/>
    <row r="127010" customFormat="1" x14ac:dyDescent="0.25"/>
    <row r="127011" customFormat="1" x14ac:dyDescent="0.25"/>
    <row r="127012" customFormat="1" x14ac:dyDescent="0.25"/>
    <row r="127013" customFormat="1" x14ac:dyDescent="0.25"/>
    <row r="127014" customFormat="1" x14ac:dyDescent="0.25"/>
    <row r="127015" customFormat="1" x14ac:dyDescent="0.25"/>
    <row r="127016" customFormat="1" x14ac:dyDescent="0.25"/>
    <row r="127017" customFormat="1" x14ac:dyDescent="0.25"/>
    <row r="127018" customFormat="1" x14ac:dyDescent="0.25"/>
    <row r="127019" customFormat="1" x14ac:dyDescent="0.25"/>
    <row r="127020" customFormat="1" x14ac:dyDescent="0.25"/>
    <row r="127021" customFormat="1" x14ac:dyDescent="0.25"/>
    <row r="127022" customFormat="1" x14ac:dyDescent="0.25"/>
    <row r="127023" customFormat="1" x14ac:dyDescent="0.25"/>
    <row r="127024" customFormat="1" x14ac:dyDescent="0.25"/>
    <row r="127025" customFormat="1" x14ac:dyDescent="0.25"/>
    <row r="127026" customFormat="1" x14ac:dyDescent="0.25"/>
    <row r="127027" customFormat="1" x14ac:dyDescent="0.25"/>
    <row r="127028" customFormat="1" x14ac:dyDescent="0.25"/>
    <row r="127029" customFormat="1" x14ac:dyDescent="0.25"/>
    <row r="127030" customFormat="1" x14ac:dyDescent="0.25"/>
    <row r="127031" customFormat="1" x14ac:dyDescent="0.25"/>
    <row r="127032" customFormat="1" x14ac:dyDescent="0.25"/>
    <row r="127033" customFormat="1" x14ac:dyDescent="0.25"/>
    <row r="127034" customFormat="1" x14ac:dyDescent="0.25"/>
    <row r="127035" customFormat="1" x14ac:dyDescent="0.25"/>
    <row r="127036" customFormat="1" x14ac:dyDescent="0.25"/>
    <row r="127037" customFormat="1" x14ac:dyDescent="0.25"/>
    <row r="127038" customFormat="1" x14ac:dyDescent="0.25"/>
    <row r="127039" customFormat="1" x14ac:dyDescent="0.25"/>
    <row r="127040" customFormat="1" x14ac:dyDescent="0.25"/>
    <row r="127041" customFormat="1" x14ac:dyDescent="0.25"/>
    <row r="127042" customFormat="1" x14ac:dyDescent="0.25"/>
    <row r="127043" customFormat="1" x14ac:dyDescent="0.25"/>
    <row r="127044" customFormat="1" x14ac:dyDescent="0.25"/>
    <row r="127045" customFormat="1" x14ac:dyDescent="0.25"/>
    <row r="127046" customFormat="1" x14ac:dyDescent="0.25"/>
    <row r="127047" customFormat="1" x14ac:dyDescent="0.25"/>
    <row r="127048" customFormat="1" x14ac:dyDescent="0.25"/>
    <row r="127049" customFormat="1" x14ac:dyDescent="0.25"/>
    <row r="127050" customFormat="1" x14ac:dyDescent="0.25"/>
    <row r="127051" customFormat="1" x14ac:dyDescent="0.25"/>
    <row r="127052" customFormat="1" x14ac:dyDescent="0.25"/>
    <row r="127053" customFormat="1" x14ac:dyDescent="0.25"/>
    <row r="127054" customFormat="1" x14ac:dyDescent="0.25"/>
    <row r="127055" customFormat="1" x14ac:dyDescent="0.25"/>
    <row r="127056" customFormat="1" x14ac:dyDescent="0.25"/>
    <row r="127057" customFormat="1" x14ac:dyDescent="0.25"/>
    <row r="127058" customFormat="1" x14ac:dyDescent="0.25"/>
    <row r="127059" customFormat="1" x14ac:dyDescent="0.25"/>
    <row r="127060" customFormat="1" x14ac:dyDescent="0.25"/>
    <row r="127061" customFormat="1" x14ac:dyDescent="0.25"/>
    <row r="127062" customFormat="1" x14ac:dyDescent="0.25"/>
    <row r="127063" customFormat="1" x14ac:dyDescent="0.25"/>
    <row r="127064" customFormat="1" x14ac:dyDescent="0.25"/>
    <row r="127065" customFormat="1" x14ac:dyDescent="0.25"/>
    <row r="127066" customFormat="1" x14ac:dyDescent="0.25"/>
    <row r="127067" customFormat="1" x14ac:dyDescent="0.25"/>
    <row r="127068" customFormat="1" x14ac:dyDescent="0.25"/>
    <row r="127069" customFormat="1" x14ac:dyDescent="0.25"/>
    <row r="127070" customFormat="1" x14ac:dyDescent="0.25"/>
    <row r="127071" customFormat="1" x14ac:dyDescent="0.25"/>
    <row r="127072" customFormat="1" x14ac:dyDescent="0.25"/>
    <row r="127073" customFormat="1" x14ac:dyDescent="0.25"/>
    <row r="127074" customFormat="1" x14ac:dyDescent="0.25"/>
    <row r="127075" customFormat="1" x14ac:dyDescent="0.25"/>
    <row r="127076" customFormat="1" x14ac:dyDescent="0.25"/>
    <row r="127077" customFormat="1" x14ac:dyDescent="0.25"/>
    <row r="127078" customFormat="1" x14ac:dyDescent="0.25"/>
    <row r="127079" customFormat="1" x14ac:dyDescent="0.25"/>
    <row r="127080" customFormat="1" x14ac:dyDescent="0.25"/>
    <row r="127081" customFormat="1" x14ac:dyDescent="0.25"/>
    <row r="127082" customFormat="1" x14ac:dyDescent="0.25"/>
    <row r="127083" customFormat="1" x14ac:dyDescent="0.25"/>
    <row r="127084" customFormat="1" x14ac:dyDescent="0.25"/>
    <row r="127085" customFormat="1" x14ac:dyDescent="0.25"/>
    <row r="127086" customFormat="1" x14ac:dyDescent="0.25"/>
    <row r="127087" customFormat="1" x14ac:dyDescent="0.25"/>
    <row r="127088" customFormat="1" x14ac:dyDescent="0.25"/>
    <row r="127089" customFormat="1" x14ac:dyDescent="0.25"/>
    <row r="127090" customFormat="1" x14ac:dyDescent="0.25"/>
    <row r="127091" customFormat="1" x14ac:dyDescent="0.25"/>
    <row r="127092" customFormat="1" x14ac:dyDescent="0.25"/>
    <row r="127093" customFormat="1" x14ac:dyDescent="0.25"/>
    <row r="127094" customFormat="1" x14ac:dyDescent="0.25"/>
    <row r="127095" customFormat="1" x14ac:dyDescent="0.25"/>
    <row r="127096" customFormat="1" x14ac:dyDescent="0.25"/>
    <row r="127097" customFormat="1" x14ac:dyDescent="0.25"/>
    <row r="127098" customFormat="1" x14ac:dyDescent="0.25"/>
    <row r="127099" customFormat="1" x14ac:dyDescent="0.25"/>
    <row r="127100" customFormat="1" x14ac:dyDescent="0.25"/>
    <row r="127101" customFormat="1" x14ac:dyDescent="0.25"/>
    <row r="127102" customFormat="1" x14ac:dyDescent="0.25"/>
    <row r="127103" customFormat="1" x14ac:dyDescent="0.25"/>
    <row r="127104" customFormat="1" x14ac:dyDescent="0.25"/>
    <row r="127105" customFormat="1" x14ac:dyDescent="0.25"/>
    <row r="127106" customFormat="1" x14ac:dyDescent="0.25"/>
    <row r="127107" customFormat="1" x14ac:dyDescent="0.25"/>
    <row r="127108" customFormat="1" x14ac:dyDescent="0.25"/>
    <row r="127109" customFormat="1" x14ac:dyDescent="0.25"/>
    <row r="127110" customFormat="1" x14ac:dyDescent="0.25"/>
    <row r="127111" customFormat="1" x14ac:dyDescent="0.25"/>
    <row r="127112" customFormat="1" x14ac:dyDescent="0.25"/>
    <row r="127113" customFormat="1" x14ac:dyDescent="0.25"/>
    <row r="127114" customFormat="1" x14ac:dyDescent="0.25"/>
    <row r="127115" customFormat="1" x14ac:dyDescent="0.25"/>
    <row r="127116" customFormat="1" x14ac:dyDescent="0.25"/>
    <row r="127117" customFormat="1" x14ac:dyDescent="0.25"/>
    <row r="127118" customFormat="1" x14ac:dyDescent="0.25"/>
    <row r="127119" customFormat="1" x14ac:dyDescent="0.25"/>
    <row r="127120" customFormat="1" x14ac:dyDescent="0.25"/>
    <row r="127121" customFormat="1" x14ac:dyDescent="0.25"/>
    <row r="127122" customFormat="1" x14ac:dyDescent="0.25"/>
    <row r="127123" customFormat="1" x14ac:dyDescent="0.25"/>
    <row r="127124" customFormat="1" x14ac:dyDescent="0.25"/>
    <row r="127125" customFormat="1" x14ac:dyDescent="0.25"/>
    <row r="127126" customFormat="1" x14ac:dyDescent="0.25"/>
    <row r="127127" customFormat="1" x14ac:dyDescent="0.25"/>
    <row r="127128" customFormat="1" x14ac:dyDescent="0.25"/>
    <row r="127129" customFormat="1" x14ac:dyDescent="0.25"/>
    <row r="127130" customFormat="1" x14ac:dyDescent="0.25"/>
    <row r="127131" customFormat="1" x14ac:dyDescent="0.25"/>
    <row r="127132" customFormat="1" x14ac:dyDescent="0.25"/>
    <row r="127133" customFormat="1" x14ac:dyDescent="0.25"/>
    <row r="127134" customFormat="1" x14ac:dyDescent="0.25"/>
    <row r="127135" customFormat="1" x14ac:dyDescent="0.25"/>
    <row r="127136" customFormat="1" x14ac:dyDescent="0.25"/>
    <row r="127137" customFormat="1" x14ac:dyDescent="0.25"/>
    <row r="127138" customFormat="1" x14ac:dyDescent="0.25"/>
    <row r="127139" customFormat="1" x14ac:dyDescent="0.25"/>
    <row r="127140" customFormat="1" x14ac:dyDescent="0.25"/>
    <row r="127141" customFormat="1" x14ac:dyDescent="0.25"/>
    <row r="127142" customFormat="1" x14ac:dyDescent="0.25"/>
    <row r="127143" customFormat="1" x14ac:dyDescent="0.25"/>
    <row r="127144" customFormat="1" x14ac:dyDescent="0.25"/>
    <row r="127145" customFormat="1" x14ac:dyDescent="0.25"/>
    <row r="127146" customFormat="1" x14ac:dyDescent="0.25"/>
    <row r="127147" customFormat="1" x14ac:dyDescent="0.25"/>
    <row r="127148" customFormat="1" x14ac:dyDescent="0.25"/>
    <row r="127149" customFormat="1" x14ac:dyDescent="0.25"/>
    <row r="127150" customFormat="1" x14ac:dyDescent="0.25"/>
    <row r="127151" customFormat="1" x14ac:dyDescent="0.25"/>
    <row r="127152" customFormat="1" x14ac:dyDescent="0.25"/>
    <row r="127153" customFormat="1" x14ac:dyDescent="0.25"/>
    <row r="127154" customFormat="1" x14ac:dyDescent="0.25"/>
    <row r="127155" customFormat="1" x14ac:dyDescent="0.25"/>
    <row r="127156" customFormat="1" x14ac:dyDescent="0.25"/>
    <row r="127157" customFormat="1" x14ac:dyDescent="0.25"/>
    <row r="127158" customFormat="1" x14ac:dyDescent="0.25"/>
    <row r="127159" customFormat="1" x14ac:dyDescent="0.25"/>
    <row r="127160" customFormat="1" x14ac:dyDescent="0.25"/>
    <row r="127161" customFormat="1" x14ac:dyDescent="0.25"/>
    <row r="127162" customFormat="1" x14ac:dyDescent="0.25"/>
    <row r="127163" customFormat="1" x14ac:dyDescent="0.25"/>
    <row r="127164" customFormat="1" x14ac:dyDescent="0.25"/>
    <row r="127165" customFormat="1" x14ac:dyDescent="0.25"/>
    <row r="127166" customFormat="1" x14ac:dyDescent="0.25"/>
    <row r="127167" customFormat="1" x14ac:dyDescent="0.25"/>
    <row r="127168" customFormat="1" x14ac:dyDescent="0.25"/>
    <row r="127169" customFormat="1" x14ac:dyDescent="0.25"/>
    <row r="127170" customFormat="1" x14ac:dyDescent="0.25"/>
    <row r="127171" customFormat="1" x14ac:dyDescent="0.25"/>
    <row r="127172" customFormat="1" x14ac:dyDescent="0.25"/>
    <row r="127173" customFormat="1" x14ac:dyDescent="0.25"/>
    <row r="127174" customFormat="1" x14ac:dyDescent="0.25"/>
    <row r="127175" customFormat="1" x14ac:dyDescent="0.25"/>
    <row r="127176" customFormat="1" x14ac:dyDescent="0.25"/>
    <row r="127177" customFormat="1" x14ac:dyDescent="0.25"/>
    <row r="127178" customFormat="1" x14ac:dyDescent="0.25"/>
    <row r="127179" customFormat="1" x14ac:dyDescent="0.25"/>
    <row r="127180" customFormat="1" x14ac:dyDescent="0.25"/>
    <row r="127181" customFormat="1" x14ac:dyDescent="0.25"/>
    <row r="127182" customFormat="1" x14ac:dyDescent="0.25"/>
    <row r="127183" customFormat="1" x14ac:dyDescent="0.25"/>
    <row r="127184" customFormat="1" x14ac:dyDescent="0.25"/>
    <row r="127185" customFormat="1" x14ac:dyDescent="0.25"/>
    <row r="127186" customFormat="1" x14ac:dyDescent="0.25"/>
    <row r="127187" customFormat="1" x14ac:dyDescent="0.25"/>
    <row r="127188" customFormat="1" x14ac:dyDescent="0.25"/>
    <row r="127189" customFormat="1" x14ac:dyDescent="0.25"/>
    <row r="127190" customFormat="1" x14ac:dyDescent="0.25"/>
    <row r="127191" customFormat="1" x14ac:dyDescent="0.25"/>
    <row r="127192" customFormat="1" x14ac:dyDescent="0.25"/>
    <row r="127193" customFormat="1" x14ac:dyDescent="0.25"/>
    <row r="127194" customFormat="1" x14ac:dyDescent="0.25"/>
    <row r="127195" customFormat="1" x14ac:dyDescent="0.25"/>
    <row r="127196" customFormat="1" x14ac:dyDescent="0.25"/>
    <row r="127197" customFormat="1" x14ac:dyDescent="0.25"/>
    <row r="127198" customFormat="1" x14ac:dyDescent="0.25"/>
    <row r="127199" customFormat="1" x14ac:dyDescent="0.25"/>
    <row r="127200" customFormat="1" x14ac:dyDescent="0.25"/>
    <row r="127201" customFormat="1" x14ac:dyDescent="0.25"/>
    <row r="127202" customFormat="1" x14ac:dyDescent="0.25"/>
    <row r="127203" customFormat="1" x14ac:dyDescent="0.25"/>
    <row r="127204" customFormat="1" x14ac:dyDescent="0.25"/>
    <row r="127205" customFormat="1" x14ac:dyDescent="0.25"/>
    <row r="127206" customFormat="1" x14ac:dyDescent="0.25"/>
    <row r="127207" customFormat="1" x14ac:dyDescent="0.25"/>
    <row r="127208" customFormat="1" x14ac:dyDescent="0.25"/>
    <row r="127209" customFormat="1" x14ac:dyDescent="0.25"/>
    <row r="127210" customFormat="1" x14ac:dyDescent="0.25"/>
    <row r="127211" customFormat="1" x14ac:dyDescent="0.25"/>
    <row r="127212" customFormat="1" x14ac:dyDescent="0.25"/>
    <row r="127213" customFormat="1" x14ac:dyDescent="0.25"/>
    <row r="127214" customFormat="1" x14ac:dyDescent="0.25"/>
    <row r="127215" customFormat="1" x14ac:dyDescent="0.25"/>
    <row r="127216" customFormat="1" x14ac:dyDescent="0.25"/>
    <row r="127217" customFormat="1" x14ac:dyDescent="0.25"/>
    <row r="127218" customFormat="1" x14ac:dyDescent="0.25"/>
    <row r="127219" customFormat="1" x14ac:dyDescent="0.25"/>
    <row r="127220" customFormat="1" x14ac:dyDescent="0.25"/>
    <row r="127221" customFormat="1" x14ac:dyDescent="0.25"/>
    <row r="127222" customFormat="1" x14ac:dyDescent="0.25"/>
    <row r="127223" customFormat="1" x14ac:dyDescent="0.25"/>
    <row r="127224" customFormat="1" x14ac:dyDescent="0.25"/>
    <row r="127225" customFormat="1" x14ac:dyDescent="0.25"/>
    <row r="127226" customFormat="1" x14ac:dyDescent="0.25"/>
    <row r="127227" customFormat="1" x14ac:dyDescent="0.25"/>
    <row r="127228" customFormat="1" x14ac:dyDescent="0.25"/>
    <row r="127229" customFormat="1" x14ac:dyDescent="0.25"/>
    <row r="127230" customFormat="1" x14ac:dyDescent="0.25"/>
    <row r="127231" customFormat="1" x14ac:dyDescent="0.25"/>
    <row r="127232" customFormat="1" x14ac:dyDescent="0.25"/>
    <row r="127233" customFormat="1" x14ac:dyDescent="0.25"/>
    <row r="127234" customFormat="1" x14ac:dyDescent="0.25"/>
    <row r="127235" customFormat="1" x14ac:dyDescent="0.25"/>
    <row r="127236" customFormat="1" x14ac:dyDescent="0.25"/>
    <row r="127237" customFormat="1" x14ac:dyDescent="0.25"/>
    <row r="127238" customFormat="1" x14ac:dyDescent="0.25"/>
    <row r="127239" customFormat="1" x14ac:dyDescent="0.25"/>
    <row r="127240" customFormat="1" x14ac:dyDescent="0.25"/>
    <row r="127241" customFormat="1" x14ac:dyDescent="0.25"/>
    <row r="127242" customFormat="1" x14ac:dyDescent="0.25"/>
    <row r="127243" customFormat="1" x14ac:dyDescent="0.25"/>
    <row r="127244" customFormat="1" x14ac:dyDescent="0.25"/>
    <row r="127245" customFormat="1" x14ac:dyDescent="0.25"/>
    <row r="127246" customFormat="1" x14ac:dyDescent="0.25"/>
    <row r="127247" customFormat="1" x14ac:dyDescent="0.25"/>
    <row r="127248" customFormat="1" x14ac:dyDescent="0.25"/>
    <row r="127249" customFormat="1" x14ac:dyDescent="0.25"/>
    <row r="127250" customFormat="1" x14ac:dyDescent="0.25"/>
    <row r="127251" customFormat="1" x14ac:dyDescent="0.25"/>
    <row r="127252" customFormat="1" x14ac:dyDescent="0.25"/>
    <row r="127253" customFormat="1" x14ac:dyDescent="0.25"/>
    <row r="127254" customFormat="1" x14ac:dyDescent="0.25"/>
    <row r="127255" customFormat="1" x14ac:dyDescent="0.25"/>
    <row r="127256" customFormat="1" x14ac:dyDescent="0.25"/>
    <row r="127257" customFormat="1" x14ac:dyDescent="0.25"/>
    <row r="127258" customFormat="1" x14ac:dyDescent="0.25"/>
    <row r="127259" customFormat="1" x14ac:dyDescent="0.25"/>
    <row r="127260" customFormat="1" x14ac:dyDescent="0.25"/>
    <row r="127261" customFormat="1" x14ac:dyDescent="0.25"/>
    <row r="127262" customFormat="1" x14ac:dyDescent="0.25"/>
    <row r="127263" customFormat="1" x14ac:dyDescent="0.25"/>
    <row r="127264" customFormat="1" x14ac:dyDescent="0.25"/>
    <row r="127265" customFormat="1" x14ac:dyDescent="0.25"/>
    <row r="127266" customFormat="1" x14ac:dyDescent="0.25"/>
    <row r="127267" customFormat="1" x14ac:dyDescent="0.25"/>
    <row r="127268" customFormat="1" x14ac:dyDescent="0.25"/>
    <row r="127269" customFormat="1" x14ac:dyDescent="0.25"/>
    <row r="127270" customFormat="1" x14ac:dyDescent="0.25"/>
    <row r="127271" customFormat="1" x14ac:dyDescent="0.25"/>
    <row r="127272" customFormat="1" x14ac:dyDescent="0.25"/>
    <row r="127273" customFormat="1" x14ac:dyDescent="0.25"/>
    <row r="127274" customFormat="1" x14ac:dyDescent="0.25"/>
    <row r="127275" customFormat="1" x14ac:dyDescent="0.25"/>
    <row r="127276" customFormat="1" x14ac:dyDescent="0.25"/>
    <row r="127277" customFormat="1" x14ac:dyDescent="0.25"/>
    <row r="127278" customFormat="1" x14ac:dyDescent="0.25"/>
    <row r="127279" customFormat="1" x14ac:dyDescent="0.25"/>
    <row r="127280" customFormat="1" x14ac:dyDescent="0.25"/>
    <row r="127281" customFormat="1" x14ac:dyDescent="0.25"/>
    <row r="127282" customFormat="1" x14ac:dyDescent="0.25"/>
    <row r="127283" customFormat="1" x14ac:dyDescent="0.25"/>
    <row r="127284" customFormat="1" x14ac:dyDescent="0.25"/>
    <row r="127285" customFormat="1" x14ac:dyDescent="0.25"/>
    <row r="127286" customFormat="1" x14ac:dyDescent="0.25"/>
    <row r="127287" customFormat="1" x14ac:dyDescent="0.25"/>
    <row r="127288" customFormat="1" x14ac:dyDescent="0.25"/>
    <row r="127289" customFormat="1" x14ac:dyDescent="0.25"/>
    <row r="127290" customFormat="1" x14ac:dyDescent="0.25"/>
    <row r="127291" customFormat="1" x14ac:dyDescent="0.25"/>
    <row r="127292" customFormat="1" x14ac:dyDescent="0.25"/>
    <row r="127293" customFormat="1" x14ac:dyDescent="0.25"/>
    <row r="127294" customFormat="1" x14ac:dyDescent="0.25"/>
    <row r="127295" customFormat="1" x14ac:dyDescent="0.25"/>
    <row r="127296" customFormat="1" x14ac:dyDescent="0.25"/>
    <row r="127297" customFormat="1" x14ac:dyDescent="0.25"/>
    <row r="127298" customFormat="1" x14ac:dyDescent="0.25"/>
    <row r="127299" customFormat="1" x14ac:dyDescent="0.25"/>
    <row r="127300" customFormat="1" x14ac:dyDescent="0.25"/>
    <row r="127301" customFormat="1" x14ac:dyDescent="0.25"/>
    <row r="127302" customFormat="1" x14ac:dyDescent="0.25"/>
    <row r="127303" customFormat="1" x14ac:dyDescent="0.25"/>
    <row r="127304" customFormat="1" x14ac:dyDescent="0.25"/>
    <row r="127305" customFormat="1" x14ac:dyDescent="0.25"/>
    <row r="127306" customFormat="1" x14ac:dyDescent="0.25"/>
    <row r="127307" customFormat="1" x14ac:dyDescent="0.25"/>
    <row r="127308" customFormat="1" x14ac:dyDescent="0.25"/>
    <row r="127309" customFormat="1" x14ac:dyDescent="0.25"/>
    <row r="127310" customFormat="1" x14ac:dyDescent="0.25"/>
    <row r="127311" customFormat="1" x14ac:dyDescent="0.25"/>
    <row r="127312" customFormat="1" x14ac:dyDescent="0.25"/>
    <row r="127313" customFormat="1" x14ac:dyDescent="0.25"/>
    <row r="127314" customFormat="1" x14ac:dyDescent="0.25"/>
    <row r="127315" customFormat="1" x14ac:dyDescent="0.25"/>
    <row r="127316" customFormat="1" x14ac:dyDescent="0.25"/>
    <row r="127317" customFormat="1" x14ac:dyDescent="0.25"/>
    <row r="127318" customFormat="1" x14ac:dyDescent="0.25"/>
    <row r="127319" customFormat="1" x14ac:dyDescent="0.25"/>
    <row r="127320" customFormat="1" x14ac:dyDescent="0.25"/>
    <row r="127321" customFormat="1" x14ac:dyDescent="0.25"/>
    <row r="127322" customFormat="1" x14ac:dyDescent="0.25"/>
    <row r="127323" customFormat="1" x14ac:dyDescent="0.25"/>
    <row r="127324" customFormat="1" x14ac:dyDescent="0.25"/>
    <row r="127325" customFormat="1" x14ac:dyDescent="0.25"/>
    <row r="127326" customFormat="1" x14ac:dyDescent="0.25"/>
    <row r="127327" customFormat="1" x14ac:dyDescent="0.25"/>
    <row r="127328" customFormat="1" x14ac:dyDescent="0.25"/>
    <row r="127329" customFormat="1" x14ac:dyDescent="0.25"/>
    <row r="127330" customFormat="1" x14ac:dyDescent="0.25"/>
    <row r="127331" customFormat="1" x14ac:dyDescent="0.25"/>
    <row r="127332" customFormat="1" x14ac:dyDescent="0.25"/>
    <row r="127333" customFormat="1" x14ac:dyDescent="0.25"/>
    <row r="127334" customFormat="1" x14ac:dyDescent="0.25"/>
    <row r="127335" customFormat="1" x14ac:dyDescent="0.25"/>
    <row r="127336" customFormat="1" x14ac:dyDescent="0.25"/>
    <row r="127337" customFormat="1" x14ac:dyDescent="0.25"/>
    <row r="127338" customFormat="1" x14ac:dyDescent="0.25"/>
    <row r="127339" customFormat="1" x14ac:dyDescent="0.25"/>
    <row r="127340" customFormat="1" x14ac:dyDescent="0.25"/>
    <row r="127341" customFormat="1" x14ac:dyDescent="0.25"/>
    <row r="127342" customFormat="1" x14ac:dyDescent="0.25"/>
    <row r="127343" customFormat="1" x14ac:dyDescent="0.25"/>
    <row r="127344" customFormat="1" x14ac:dyDescent="0.25"/>
    <row r="127345" customFormat="1" x14ac:dyDescent="0.25"/>
    <row r="127346" customFormat="1" x14ac:dyDescent="0.25"/>
    <row r="127347" customFormat="1" x14ac:dyDescent="0.25"/>
    <row r="127348" customFormat="1" x14ac:dyDescent="0.25"/>
    <row r="127349" customFormat="1" x14ac:dyDescent="0.25"/>
    <row r="127350" customFormat="1" x14ac:dyDescent="0.25"/>
    <row r="127351" customFormat="1" x14ac:dyDescent="0.25"/>
    <row r="127352" customFormat="1" x14ac:dyDescent="0.25"/>
    <row r="127353" customFormat="1" x14ac:dyDescent="0.25"/>
    <row r="127354" customFormat="1" x14ac:dyDescent="0.25"/>
    <row r="127355" customFormat="1" x14ac:dyDescent="0.25"/>
    <row r="127356" customFormat="1" x14ac:dyDescent="0.25"/>
    <row r="127357" customFormat="1" x14ac:dyDescent="0.25"/>
    <row r="127358" customFormat="1" x14ac:dyDescent="0.25"/>
    <row r="127359" customFormat="1" x14ac:dyDescent="0.25"/>
    <row r="127360" customFormat="1" x14ac:dyDescent="0.25"/>
    <row r="127361" customFormat="1" x14ac:dyDescent="0.25"/>
    <row r="127362" customFormat="1" x14ac:dyDescent="0.25"/>
    <row r="127363" customFormat="1" x14ac:dyDescent="0.25"/>
    <row r="127364" customFormat="1" x14ac:dyDescent="0.25"/>
    <row r="127365" customFormat="1" x14ac:dyDescent="0.25"/>
    <row r="127366" customFormat="1" x14ac:dyDescent="0.25"/>
    <row r="127367" customFormat="1" x14ac:dyDescent="0.25"/>
    <row r="127368" customFormat="1" x14ac:dyDescent="0.25"/>
    <row r="127369" customFormat="1" x14ac:dyDescent="0.25"/>
    <row r="127370" customFormat="1" x14ac:dyDescent="0.25"/>
    <row r="127371" customFormat="1" x14ac:dyDescent="0.25"/>
    <row r="127372" customFormat="1" x14ac:dyDescent="0.25"/>
    <row r="127373" customFormat="1" x14ac:dyDescent="0.25"/>
    <row r="127374" customFormat="1" x14ac:dyDescent="0.25"/>
    <row r="127375" customFormat="1" x14ac:dyDescent="0.25"/>
    <row r="127376" customFormat="1" x14ac:dyDescent="0.25"/>
    <row r="127377" customFormat="1" x14ac:dyDescent="0.25"/>
    <row r="127378" customFormat="1" x14ac:dyDescent="0.25"/>
    <row r="127379" customFormat="1" x14ac:dyDescent="0.25"/>
    <row r="127380" customFormat="1" x14ac:dyDescent="0.25"/>
    <row r="127381" customFormat="1" x14ac:dyDescent="0.25"/>
    <row r="127382" customFormat="1" x14ac:dyDescent="0.25"/>
    <row r="127383" customFormat="1" x14ac:dyDescent="0.25"/>
    <row r="127384" customFormat="1" x14ac:dyDescent="0.25"/>
    <row r="127385" customFormat="1" x14ac:dyDescent="0.25"/>
    <row r="127386" customFormat="1" x14ac:dyDescent="0.25"/>
    <row r="127387" customFormat="1" x14ac:dyDescent="0.25"/>
    <row r="127388" customFormat="1" x14ac:dyDescent="0.25"/>
    <row r="127389" customFormat="1" x14ac:dyDescent="0.25"/>
    <row r="127390" customFormat="1" x14ac:dyDescent="0.25"/>
    <row r="127391" customFormat="1" x14ac:dyDescent="0.25"/>
    <row r="127392" customFormat="1" x14ac:dyDescent="0.25"/>
    <row r="127393" customFormat="1" x14ac:dyDescent="0.25"/>
    <row r="127394" customFormat="1" x14ac:dyDescent="0.25"/>
    <row r="127395" customFormat="1" x14ac:dyDescent="0.25"/>
    <row r="127396" customFormat="1" x14ac:dyDescent="0.25"/>
    <row r="127397" customFormat="1" x14ac:dyDescent="0.25"/>
    <row r="127398" customFormat="1" x14ac:dyDescent="0.25"/>
    <row r="127399" customFormat="1" x14ac:dyDescent="0.25"/>
    <row r="127400" customFormat="1" x14ac:dyDescent="0.25"/>
    <row r="127401" customFormat="1" x14ac:dyDescent="0.25"/>
    <row r="127402" customFormat="1" x14ac:dyDescent="0.25"/>
    <row r="127403" customFormat="1" x14ac:dyDescent="0.25"/>
    <row r="127404" customFormat="1" x14ac:dyDescent="0.25"/>
    <row r="127405" customFormat="1" x14ac:dyDescent="0.25"/>
    <row r="127406" customFormat="1" x14ac:dyDescent="0.25"/>
    <row r="127407" customFormat="1" x14ac:dyDescent="0.25"/>
    <row r="127408" customFormat="1" x14ac:dyDescent="0.25"/>
    <row r="127409" customFormat="1" x14ac:dyDescent="0.25"/>
    <row r="127410" customFormat="1" x14ac:dyDescent="0.25"/>
    <row r="127411" customFormat="1" x14ac:dyDescent="0.25"/>
    <row r="127412" customFormat="1" x14ac:dyDescent="0.25"/>
    <row r="127413" customFormat="1" x14ac:dyDescent="0.25"/>
    <row r="127414" customFormat="1" x14ac:dyDescent="0.25"/>
    <row r="127415" customFormat="1" x14ac:dyDescent="0.25"/>
    <row r="127416" customFormat="1" x14ac:dyDescent="0.25"/>
    <row r="127417" customFormat="1" x14ac:dyDescent="0.25"/>
    <row r="127418" customFormat="1" x14ac:dyDescent="0.25"/>
    <row r="127419" customFormat="1" x14ac:dyDescent="0.25"/>
    <row r="127420" customFormat="1" x14ac:dyDescent="0.25"/>
    <row r="127421" customFormat="1" x14ac:dyDescent="0.25"/>
    <row r="127422" customFormat="1" x14ac:dyDescent="0.25"/>
    <row r="127423" customFormat="1" x14ac:dyDescent="0.25"/>
    <row r="127424" customFormat="1" x14ac:dyDescent="0.25"/>
    <row r="127425" customFormat="1" x14ac:dyDescent="0.25"/>
    <row r="127426" customFormat="1" x14ac:dyDescent="0.25"/>
    <row r="127427" customFormat="1" x14ac:dyDescent="0.25"/>
    <row r="127428" customFormat="1" x14ac:dyDescent="0.25"/>
    <row r="127429" customFormat="1" x14ac:dyDescent="0.25"/>
    <row r="127430" customFormat="1" x14ac:dyDescent="0.25"/>
    <row r="127431" customFormat="1" x14ac:dyDescent="0.25"/>
    <row r="127432" customFormat="1" x14ac:dyDescent="0.25"/>
    <row r="127433" customFormat="1" x14ac:dyDescent="0.25"/>
    <row r="127434" customFormat="1" x14ac:dyDescent="0.25"/>
    <row r="127435" customFormat="1" x14ac:dyDescent="0.25"/>
    <row r="127436" customFormat="1" x14ac:dyDescent="0.25"/>
    <row r="127437" customFormat="1" x14ac:dyDescent="0.25"/>
    <row r="127438" customFormat="1" x14ac:dyDescent="0.25"/>
    <row r="127439" customFormat="1" x14ac:dyDescent="0.25"/>
    <row r="127440" customFormat="1" x14ac:dyDescent="0.25"/>
    <row r="127441" customFormat="1" x14ac:dyDescent="0.25"/>
    <row r="127442" customFormat="1" x14ac:dyDescent="0.25"/>
    <row r="127443" customFormat="1" x14ac:dyDescent="0.25"/>
    <row r="127444" customFormat="1" x14ac:dyDescent="0.25"/>
    <row r="127445" customFormat="1" x14ac:dyDescent="0.25"/>
    <row r="127446" customFormat="1" x14ac:dyDescent="0.25"/>
    <row r="127447" customFormat="1" x14ac:dyDescent="0.25"/>
    <row r="127448" customFormat="1" x14ac:dyDescent="0.25"/>
    <row r="127449" customFormat="1" x14ac:dyDescent="0.25"/>
    <row r="127450" customFormat="1" x14ac:dyDescent="0.25"/>
    <row r="127451" customFormat="1" x14ac:dyDescent="0.25"/>
    <row r="127452" customFormat="1" x14ac:dyDescent="0.25"/>
    <row r="127453" customFormat="1" x14ac:dyDescent="0.25"/>
    <row r="127454" customFormat="1" x14ac:dyDescent="0.25"/>
    <row r="127455" customFormat="1" x14ac:dyDescent="0.25"/>
    <row r="127456" customFormat="1" x14ac:dyDescent="0.25"/>
    <row r="127457" customFormat="1" x14ac:dyDescent="0.25"/>
    <row r="127458" customFormat="1" x14ac:dyDescent="0.25"/>
    <row r="127459" customFormat="1" x14ac:dyDescent="0.25"/>
    <row r="127460" customFormat="1" x14ac:dyDescent="0.25"/>
    <row r="127461" customFormat="1" x14ac:dyDescent="0.25"/>
    <row r="127462" customFormat="1" x14ac:dyDescent="0.25"/>
    <row r="127463" customFormat="1" x14ac:dyDescent="0.25"/>
    <row r="127464" customFormat="1" x14ac:dyDescent="0.25"/>
    <row r="127465" customFormat="1" x14ac:dyDescent="0.25"/>
    <row r="127466" customFormat="1" x14ac:dyDescent="0.25"/>
    <row r="127467" customFormat="1" x14ac:dyDescent="0.25"/>
    <row r="127468" customFormat="1" x14ac:dyDescent="0.25"/>
    <row r="127469" customFormat="1" x14ac:dyDescent="0.25"/>
    <row r="127470" customFormat="1" x14ac:dyDescent="0.25"/>
    <row r="127471" customFormat="1" x14ac:dyDescent="0.25"/>
    <row r="127472" customFormat="1" x14ac:dyDescent="0.25"/>
    <row r="127473" customFormat="1" x14ac:dyDescent="0.25"/>
    <row r="127474" customFormat="1" x14ac:dyDescent="0.25"/>
    <row r="127475" customFormat="1" x14ac:dyDescent="0.25"/>
    <row r="127476" customFormat="1" x14ac:dyDescent="0.25"/>
    <row r="127477" customFormat="1" x14ac:dyDescent="0.25"/>
    <row r="127478" customFormat="1" x14ac:dyDescent="0.25"/>
    <row r="127479" customFormat="1" x14ac:dyDescent="0.25"/>
    <row r="127480" customFormat="1" x14ac:dyDescent="0.25"/>
    <row r="127481" customFormat="1" x14ac:dyDescent="0.25"/>
    <row r="127482" customFormat="1" x14ac:dyDescent="0.25"/>
    <row r="127483" customFormat="1" x14ac:dyDescent="0.25"/>
    <row r="127484" customFormat="1" x14ac:dyDescent="0.25"/>
    <row r="127485" customFormat="1" x14ac:dyDescent="0.25"/>
    <row r="127486" customFormat="1" x14ac:dyDescent="0.25"/>
    <row r="127487" customFormat="1" x14ac:dyDescent="0.25"/>
    <row r="127488" customFormat="1" x14ac:dyDescent="0.25"/>
    <row r="127489" customFormat="1" x14ac:dyDescent="0.25"/>
    <row r="127490" customFormat="1" x14ac:dyDescent="0.25"/>
    <row r="127491" customFormat="1" x14ac:dyDescent="0.25"/>
    <row r="127492" customFormat="1" x14ac:dyDescent="0.25"/>
    <row r="127493" customFormat="1" x14ac:dyDescent="0.25"/>
    <row r="127494" customFormat="1" x14ac:dyDescent="0.25"/>
    <row r="127495" customFormat="1" x14ac:dyDescent="0.25"/>
    <row r="127496" customFormat="1" x14ac:dyDescent="0.25"/>
    <row r="127497" customFormat="1" x14ac:dyDescent="0.25"/>
    <row r="127498" customFormat="1" x14ac:dyDescent="0.25"/>
    <row r="127499" customFormat="1" x14ac:dyDescent="0.25"/>
    <row r="127500" customFormat="1" x14ac:dyDescent="0.25"/>
    <row r="127501" customFormat="1" x14ac:dyDescent="0.25"/>
    <row r="127502" customFormat="1" x14ac:dyDescent="0.25"/>
    <row r="127503" customFormat="1" x14ac:dyDescent="0.25"/>
    <row r="127504" customFormat="1" x14ac:dyDescent="0.25"/>
    <row r="127505" customFormat="1" x14ac:dyDescent="0.25"/>
    <row r="127506" customFormat="1" x14ac:dyDescent="0.25"/>
    <row r="127507" customFormat="1" x14ac:dyDescent="0.25"/>
    <row r="127508" customFormat="1" x14ac:dyDescent="0.25"/>
    <row r="127509" customFormat="1" x14ac:dyDescent="0.25"/>
    <row r="127510" customFormat="1" x14ac:dyDescent="0.25"/>
    <row r="127511" customFormat="1" x14ac:dyDescent="0.25"/>
    <row r="127512" customFormat="1" x14ac:dyDescent="0.25"/>
    <row r="127513" customFormat="1" x14ac:dyDescent="0.25"/>
    <row r="127514" customFormat="1" x14ac:dyDescent="0.25"/>
    <row r="127515" customFormat="1" x14ac:dyDescent="0.25"/>
    <row r="127516" customFormat="1" x14ac:dyDescent="0.25"/>
    <row r="127517" customFormat="1" x14ac:dyDescent="0.25"/>
    <row r="127518" customFormat="1" x14ac:dyDescent="0.25"/>
    <row r="127519" customFormat="1" x14ac:dyDescent="0.25"/>
    <row r="127520" customFormat="1" x14ac:dyDescent="0.25"/>
    <row r="127521" customFormat="1" x14ac:dyDescent="0.25"/>
    <row r="127522" customFormat="1" x14ac:dyDescent="0.25"/>
    <row r="127523" customFormat="1" x14ac:dyDescent="0.25"/>
    <row r="127524" customFormat="1" x14ac:dyDescent="0.25"/>
    <row r="127525" customFormat="1" x14ac:dyDescent="0.25"/>
    <row r="127526" customFormat="1" x14ac:dyDescent="0.25"/>
    <row r="127527" customFormat="1" x14ac:dyDescent="0.25"/>
    <row r="127528" customFormat="1" x14ac:dyDescent="0.25"/>
    <row r="127529" customFormat="1" x14ac:dyDescent="0.25"/>
    <row r="127530" customFormat="1" x14ac:dyDescent="0.25"/>
    <row r="127531" customFormat="1" x14ac:dyDescent="0.25"/>
    <row r="127532" customFormat="1" x14ac:dyDescent="0.25"/>
    <row r="127533" customFormat="1" x14ac:dyDescent="0.25"/>
    <row r="127534" customFormat="1" x14ac:dyDescent="0.25"/>
    <row r="127535" customFormat="1" x14ac:dyDescent="0.25"/>
    <row r="127536" customFormat="1" x14ac:dyDescent="0.25"/>
    <row r="127537" customFormat="1" x14ac:dyDescent="0.25"/>
    <row r="127538" customFormat="1" x14ac:dyDescent="0.25"/>
    <row r="127539" customFormat="1" x14ac:dyDescent="0.25"/>
    <row r="127540" customFormat="1" x14ac:dyDescent="0.25"/>
    <row r="127541" customFormat="1" x14ac:dyDescent="0.25"/>
    <row r="127542" customFormat="1" x14ac:dyDescent="0.25"/>
    <row r="127543" customFormat="1" x14ac:dyDescent="0.25"/>
    <row r="127544" customFormat="1" x14ac:dyDescent="0.25"/>
    <row r="127545" customFormat="1" x14ac:dyDescent="0.25"/>
    <row r="127546" customFormat="1" x14ac:dyDescent="0.25"/>
    <row r="127547" customFormat="1" x14ac:dyDescent="0.25"/>
    <row r="127548" customFormat="1" x14ac:dyDescent="0.25"/>
    <row r="127549" customFormat="1" x14ac:dyDescent="0.25"/>
    <row r="127550" customFormat="1" x14ac:dyDescent="0.25"/>
    <row r="127551" customFormat="1" x14ac:dyDescent="0.25"/>
    <row r="127552" customFormat="1" x14ac:dyDescent="0.25"/>
    <row r="127553" customFormat="1" x14ac:dyDescent="0.25"/>
    <row r="127554" customFormat="1" x14ac:dyDescent="0.25"/>
    <row r="127555" customFormat="1" x14ac:dyDescent="0.25"/>
    <row r="127556" customFormat="1" x14ac:dyDescent="0.25"/>
    <row r="127557" customFormat="1" x14ac:dyDescent="0.25"/>
    <row r="127558" customFormat="1" x14ac:dyDescent="0.25"/>
    <row r="127559" customFormat="1" x14ac:dyDescent="0.25"/>
    <row r="127560" customFormat="1" x14ac:dyDescent="0.25"/>
    <row r="127561" customFormat="1" x14ac:dyDescent="0.25"/>
    <row r="127562" customFormat="1" x14ac:dyDescent="0.25"/>
    <row r="127563" customFormat="1" x14ac:dyDescent="0.25"/>
    <row r="127564" customFormat="1" x14ac:dyDescent="0.25"/>
    <row r="127565" customFormat="1" x14ac:dyDescent="0.25"/>
    <row r="127566" customFormat="1" x14ac:dyDescent="0.25"/>
    <row r="127567" customFormat="1" x14ac:dyDescent="0.25"/>
    <row r="127568" customFormat="1" x14ac:dyDescent="0.25"/>
    <row r="127569" customFormat="1" x14ac:dyDescent="0.25"/>
    <row r="127570" customFormat="1" x14ac:dyDescent="0.25"/>
    <row r="127571" customFormat="1" x14ac:dyDescent="0.25"/>
    <row r="127572" customFormat="1" x14ac:dyDescent="0.25"/>
    <row r="127573" customFormat="1" x14ac:dyDescent="0.25"/>
    <row r="127574" customFormat="1" x14ac:dyDescent="0.25"/>
    <row r="127575" customFormat="1" x14ac:dyDescent="0.25"/>
    <row r="127576" customFormat="1" x14ac:dyDescent="0.25"/>
    <row r="127577" customFormat="1" x14ac:dyDescent="0.25"/>
    <row r="127578" customFormat="1" x14ac:dyDescent="0.25"/>
    <row r="127579" customFormat="1" x14ac:dyDescent="0.25"/>
    <row r="127580" customFormat="1" x14ac:dyDescent="0.25"/>
    <row r="127581" customFormat="1" x14ac:dyDescent="0.25"/>
    <row r="127582" customFormat="1" x14ac:dyDescent="0.25"/>
    <row r="127583" customFormat="1" x14ac:dyDescent="0.25"/>
    <row r="127584" customFormat="1" x14ac:dyDescent="0.25"/>
    <row r="127585" customFormat="1" x14ac:dyDescent="0.25"/>
    <row r="127586" customFormat="1" x14ac:dyDescent="0.25"/>
    <row r="127587" customFormat="1" x14ac:dyDescent="0.25"/>
    <row r="127588" customFormat="1" x14ac:dyDescent="0.25"/>
    <row r="127589" customFormat="1" x14ac:dyDescent="0.25"/>
    <row r="127590" customFormat="1" x14ac:dyDescent="0.25"/>
    <row r="127591" customFormat="1" x14ac:dyDescent="0.25"/>
    <row r="127592" customFormat="1" x14ac:dyDescent="0.25"/>
    <row r="127593" customFormat="1" x14ac:dyDescent="0.25"/>
    <row r="127594" customFormat="1" x14ac:dyDescent="0.25"/>
    <row r="127595" customFormat="1" x14ac:dyDescent="0.25"/>
    <row r="127596" customFormat="1" x14ac:dyDescent="0.25"/>
    <row r="127597" customFormat="1" x14ac:dyDescent="0.25"/>
    <row r="127598" customFormat="1" x14ac:dyDescent="0.25"/>
    <row r="127599" customFormat="1" x14ac:dyDescent="0.25"/>
    <row r="127600" customFormat="1" x14ac:dyDescent="0.25"/>
    <row r="127601" customFormat="1" x14ac:dyDescent="0.25"/>
    <row r="127602" customFormat="1" x14ac:dyDescent="0.25"/>
    <row r="127603" customFormat="1" x14ac:dyDescent="0.25"/>
    <row r="127604" customFormat="1" x14ac:dyDescent="0.25"/>
    <row r="127605" customFormat="1" x14ac:dyDescent="0.25"/>
    <row r="127606" customFormat="1" x14ac:dyDescent="0.25"/>
    <row r="127607" customFormat="1" x14ac:dyDescent="0.25"/>
    <row r="127608" customFormat="1" x14ac:dyDescent="0.25"/>
    <row r="127609" customFormat="1" x14ac:dyDescent="0.25"/>
    <row r="127610" customFormat="1" x14ac:dyDescent="0.25"/>
    <row r="127611" customFormat="1" x14ac:dyDescent="0.25"/>
    <row r="127612" customFormat="1" x14ac:dyDescent="0.25"/>
    <row r="127613" customFormat="1" x14ac:dyDescent="0.25"/>
    <row r="127614" customFormat="1" x14ac:dyDescent="0.25"/>
    <row r="127615" customFormat="1" x14ac:dyDescent="0.25"/>
    <row r="127616" customFormat="1" x14ac:dyDescent="0.25"/>
    <row r="127617" customFormat="1" x14ac:dyDescent="0.25"/>
    <row r="127618" customFormat="1" x14ac:dyDescent="0.25"/>
    <row r="127619" customFormat="1" x14ac:dyDescent="0.25"/>
    <row r="127620" customFormat="1" x14ac:dyDescent="0.25"/>
    <row r="127621" customFormat="1" x14ac:dyDescent="0.25"/>
    <row r="127622" customFormat="1" x14ac:dyDescent="0.25"/>
    <row r="127623" customFormat="1" x14ac:dyDescent="0.25"/>
    <row r="127624" customFormat="1" x14ac:dyDescent="0.25"/>
    <row r="127625" customFormat="1" x14ac:dyDescent="0.25"/>
    <row r="127626" customFormat="1" x14ac:dyDescent="0.25"/>
    <row r="127627" customFormat="1" x14ac:dyDescent="0.25"/>
    <row r="127628" customFormat="1" x14ac:dyDescent="0.25"/>
    <row r="127629" customFormat="1" x14ac:dyDescent="0.25"/>
    <row r="127630" customFormat="1" x14ac:dyDescent="0.25"/>
    <row r="127631" customFormat="1" x14ac:dyDescent="0.25"/>
    <row r="127632" customFormat="1" x14ac:dyDescent="0.25"/>
    <row r="127633" customFormat="1" x14ac:dyDescent="0.25"/>
    <row r="127634" customFormat="1" x14ac:dyDescent="0.25"/>
    <row r="127635" customFormat="1" x14ac:dyDescent="0.25"/>
    <row r="127636" customFormat="1" x14ac:dyDescent="0.25"/>
    <row r="127637" customFormat="1" x14ac:dyDescent="0.25"/>
    <row r="127638" customFormat="1" x14ac:dyDescent="0.25"/>
    <row r="127639" customFormat="1" x14ac:dyDescent="0.25"/>
    <row r="127640" customFormat="1" x14ac:dyDescent="0.25"/>
    <row r="127641" customFormat="1" x14ac:dyDescent="0.25"/>
    <row r="127642" customFormat="1" x14ac:dyDescent="0.25"/>
    <row r="127643" customFormat="1" x14ac:dyDescent="0.25"/>
    <row r="127644" customFormat="1" x14ac:dyDescent="0.25"/>
    <row r="127645" customFormat="1" x14ac:dyDescent="0.25"/>
    <row r="127646" customFormat="1" x14ac:dyDescent="0.25"/>
    <row r="127647" customFormat="1" x14ac:dyDescent="0.25"/>
    <row r="127648" customFormat="1" x14ac:dyDescent="0.25"/>
    <row r="127649" customFormat="1" x14ac:dyDescent="0.25"/>
    <row r="127650" customFormat="1" x14ac:dyDescent="0.25"/>
    <row r="127651" customFormat="1" x14ac:dyDescent="0.25"/>
    <row r="127652" customFormat="1" x14ac:dyDescent="0.25"/>
    <row r="127653" customFormat="1" x14ac:dyDescent="0.25"/>
    <row r="127654" customFormat="1" x14ac:dyDescent="0.25"/>
    <row r="127655" customFormat="1" x14ac:dyDescent="0.25"/>
    <row r="127656" customFormat="1" x14ac:dyDescent="0.25"/>
    <row r="127657" customFormat="1" x14ac:dyDescent="0.25"/>
    <row r="127658" customFormat="1" x14ac:dyDescent="0.25"/>
    <row r="127659" customFormat="1" x14ac:dyDescent="0.25"/>
    <row r="127660" customFormat="1" x14ac:dyDescent="0.25"/>
    <row r="127661" customFormat="1" x14ac:dyDescent="0.25"/>
    <row r="127662" customFormat="1" x14ac:dyDescent="0.25"/>
    <row r="127663" customFormat="1" x14ac:dyDescent="0.25"/>
    <row r="127664" customFormat="1" x14ac:dyDescent="0.25"/>
    <row r="127665" customFormat="1" x14ac:dyDescent="0.25"/>
    <row r="127666" customFormat="1" x14ac:dyDescent="0.25"/>
    <row r="127667" customFormat="1" x14ac:dyDescent="0.25"/>
    <row r="127668" customFormat="1" x14ac:dyDescent="0.25"/>
    <row r="127669" customFormat="1" x14ac:dyDescent="0.25"/>
    <row r="127670" customFormat="1" x14ac:dyDescent="0.25"/>
    <row r="127671" customFormat="1" x14ac:dyDescent="0.25"/>
    <row r="127672" customFormat="1" x14ac:dyDescent="0.25"/>
    <row r="127673" customFormat="1" x14ac:dyDescent="0.25"/>
    <row r="127674" customFormat="1" x14ac:dyDescent="0.25"/>
    <row r="127675" customFormat="1" x14ac:dyDescent="0.25"/>
    <row r="127676" customFormat="1" x14ac:dyDescent="0.25"/>
    <row r="127677" customFormat="1" x14ac:dyDescent="0.25"/>
    <row r="127678" customFormat="1" x14ac:dyDescent="0.25"/>
    <row r="127679" customFormat="1" x14ac:dyDescent="0.25"/>
    <row r="127680" customFormat="1" x14ac:dyDescent="0.25"/>
    <row r="127681" customFormat="1" x14ac:dyDescent="0.25"/>
    <row r="127682" customFormat="1" x14ac:dyDescent="0.25"/>
    <row r="127683" customFormat="1" x14ac:dyDescent="0.25"/>
    <row r="127684" customFormat="1" x14ac:dyDescent="0.25"/>
    <row r="127685" customFormat="1" x14ac:dyDescent="0.25"/>
    <row r="127686" customFormat="1" x14ac:dyDescent="0.25"/>
    <row r="127687" customFormat="1" x14ac:dyDescent="0.25"/>
    <row r="127688" customFormat="1" x14ac:dyDescent="0.25"/>
    <row r="127689" customFormat="1" x14ac:dyDescent="0.25"/>
    <row r="127690" customFormat="1" x14ac:dyDescent="0.25"/>
    <row r="127691" customFormat="1" x14ac:dyDescent="0.25"/>
    <row r="127692" customFormat="1" x14ac:dyDescent="0.25"/>
    <row r="127693" customFormat="1" x14ac:dyDescent="0.25"/>
    <row r="127694" customFormat="1" x14ac:dyDescent="0.25"/>
    <row r="127695" customFormat="1" x14ac:dyDescent="0.25"/>
    <row r="127696" customFormat="1" x14ac:dyDescent="0.25"/>
    <row r="127697" customFormat="1" x14ac:dyDescent="0.25"/>
    <row r="127698" customFormat="1" x14ac:dyDescent="0.25"/>
    <row r="127699" customFormat="1" x14ac:dyDescent="0.25"/>
    <row r="127700" customFormat="1" x14ac:dyDescent="0.25"/>
    <row r="127701" customFormat="1" x14ac:dyDescent="0.25"/>
    <row r="127702" customFormat="1" x14ac:dyDescent="0.25"/>
    <row r="127703" customFormat="1" x14ac:dyDescent="0.25"/>
    <row r="127704" customFormat="1" x14ac:dyDescent="0.25"/>
    <row r="127705" customFormat="1" x14ac:dyDescent="0.25"/>
    <row r="127706" customFormat="1" x14ac:dyDescent="0.25"/>
    <row r="127707" customFormat="1" x14ac:dyDescent="0.25"/>
    <row r="127708" customFormat="1" x14ac:dyDescent="0.25"/>
    <row r="127709" customFormat="1" x14ac:dyDescent="0.25"/>
    <row r="127710" customFormat="1" x14ac:dyDescent="0.25"/>
    <row r="127711" customFormat="1" x14ac:dyDescent="0.25"/>
    <row r="127712" customFormat="1" x14ac:dyDescent="0.25"/>
    <row r="127713" customFormat="1" x14ac:dyDescent="0.25"/>
    <row r="127714" customFormat="1" x14ac:dyDescent="0.25"/>
    <row r="127715" customFormat="1" x14ac:dyDescent="0.25"/>
    <row r="127716" customFormat="1" x14ac:dyDescent="0.25"/>
    <row r="127717" customFormat="1" x14ac:dyDescent="0.25"/>
    <row r="127718" customFormat="1" x14ac:dyDescent="0.25"/>
    <row r="127719" customFormat="1" x14ac:dyDescent="0.25"/>
    <row r="127720" customFormat="1" x14ac:dyDescent="0.25"/>
    <row r="127721" customFormat="1" x14ac:dyDescent="0.25"/>
    <row r="127722" customFormat="1" x14ac:dyDescent="0.25"/>
    <row r="127723" customFormat="1" x14ac:dyDescent="0.25"/>
    <row r="127724" customFormat="1" x14ac:dyDescent="0.25"/>
    <row r="127725" customFormat="1" x14ac:dyDescent="0.25"/>
    <row r="127726" customFormat="1" x14ac:dyDescent="0.25"/>
    <row r="127727" customFormat="1" x14ac:dyDescent="0.25"/>
    <row r="127728" customFormat="1" x14ac:dyDescent="0.25"/>
    <row r="127729" customFormat="1" x14ac:dyDescent="0.25"/>
    <row r="127730" customFormat="1" x14ac:dyDescent="0.25"/>
    <row r="127731" customFormat="1" x14ac:dyDescent="0.25"/>
    <row r="127732" customFormat="1" x14ac:dyDescent="0.25"/>
    <row r="127733" customFormat="1" x14ac:dyDescent="0.25"/>
    <row r="127734" customFormat="1" x14ac:dyDescent="0.25"/>
    <row r="127735" customFormat="1" x14ac:dyDescent="0.25"/>
    <row r="127736" customFormat="1" x14ac:dyDescent="0.25"/>
    <row r="127737" customFormat="1" x14ac:dyDescent="0.25"/>
    <row r="127738" customFormat="1" x14ac:dyDescent="0.25"/>
    <row r="127739" customFormat="1" x14ac:dyDescent="0.25"/>
    <row r="127740" customFormat="1" x14ac:dyDescent="0.25"/>
    <row r="127741" customFormat="1" x14ac:dyDescent="0.25"/>
    <row r="127742" customFormat="1" x14ac:dyDescent="0.25"/>
    <row r="127743" customFormat="1" x14ac:dyDescent="0.25"/>
    <row r="127744" customFormat="1" x14ac:dyDescent="0.25"/>
    <row r="127745" customFormat="1" x14ac:dyDescent="0.25"/>
    <row r="127746" customFormat="1" x14ac:dyDescent="0.25"/>
    <row r="127747" customFormat="1" x14ac:dyDescent="0.25"/>
    <row r="127748" customFormat="1" x14ac:dyDescent="0.25"/>
    <row r="127749" customFormat="1" x14ac:dyDescent="0.25"/>
    <row r="127750" customFormat="1" x14ac:dyDescent="0.25"/>
    <row r="127751" customFormat="1" x14ac:dyDescent="0.25"/>
    <row r="127752" customFormat="1" x14ac:dyDescent="0.25"/>
    <row r="127753" customFormat="1" x14ac:dyDescent="0.25"/>
    <row r="127754" customFormat="1" x14ac:dyDescent="0.25"/>
    <row r="127755" customFormat="1" x14ac:dyDescent="0.25"/>
    <row r="127756" customFormat="1" x14ac:dyDescent="0.25"/>
    <row r="127757" customFormat="1" x14ac:dyDescent="0.25"/>
    <row r="127758" customFormat="1" x14ac:dyDescent="0.25"/>
    <row r="127759" customFormat="1" x14ac:dyDescent="0.25"/>
    <row r="127760" customFormat="1" x14ac:dyDescent="0.25"/>
    <row r="127761" customFormat="1" x14ac:dyDescent="0.25"/>
    <row r="127762" customFormat="1" x14ac:dyDescent="0.25"/>
    <row r="127763" customFormat="1" x14ac:dyDescent="0.25"/>
    <row r="127764" customFormat="1" x14ac:dyDescent="0.25"/>
    <row r="127765" customFormat="1" x14ac:dyDescent="0.25"/>
    <row r="127766" customFormat="1" x14ac:dyDescent="0.25"/>
    <row r="127767" customFormat="1" x14ac:dyDescent="0.25"/>
    <row r="127768" customFormat="1" x14ac:dyDescent="0.25"/>
    <row r="127769" customFormat="1" x14ac:dyDescent="0.25"/>
    <row r="127770" customFormat="1" x14ac:dyDescent="0.25"/>
    <row r="127771" customFormat="1" x14ac:dyDescent="0.25"/>
    <row r="127772" customFormat="1" x14ac:dyDescent="0.25"/>
    <row r="127773" customFormat="1" x14ac:dyDescent="0.25"/>
    <row r="127774" customFormat="1" x14ac:dyDescent="0.25"/>
    <row r="127775" customFormat="1" x14ac:dyDescent="0.25"/>
    <row r="127776" customFormat="1" x14ac:dyDescent="0.25"/>
    <row r="127777" customFormat="1" x14ac:dyDescent="0.25"/>
    <row r="127778" customFormat="1" x14ac:dyDescent="0.25"/>
    <row r="127779" customFormat="1" x14ac:dyDescent="0.25"/>
    <row r="127780" customFormat="1" x14ac:dyDescent="0.25"/>
    <row r="127781" customFormat="1" x14ac:dyDescent="0.25"/>
    <row r="127782" customFormat="1" x14ac:dyDescent="0.25"/>
    <row r="127783" customFormat="1" x14ac:dyDescent="0.25"/>
    <row r="127784" customFormat="1" x14ac:dyDescent="0.25"/>
    <row r="127785" customFormat="1" x14ac:dyDescent="0.25"/>
    <row r="127786" customFormat="1" x14ac:dyDescent="0.25"/>
    <row r="127787" customFormat="1" x14ac:dyDescent="0.25"/>
    <row r="127788" customFormat="1" x14ac:dyDescent="0.25"/>
    <row r="127789" customFormat="1" x14ac:dyDescent="0.25"/>
    <row r="127790" customFormat="1" x14ac:dyDescent="0.25"/>
    <row r="127791" customFormat="1" x14ac:dyDescent="0.25"/>
    <row r="127792" customFormat="1" x14ac:dyDescent="0.25"/>
    <row r="127793" customFormat="1" x14ac:dyDescent="0.25"/>
    <row r="127794" customFormat="1" x14ac:dyDescent="0.25"/>
    <row r="127795" customFormat="1" x14ac:dyDescent="0.25"/>
    <row r="127796" customFormat="1" x14ac:dyDescent="0.25"/>
    <row r="127797" customFormat="1" x14ac:dyDescent="0.25"/>
    <row r="127798" customFormat="1" x14ac:dyDescent="0.25"/>
    <row r="127799" customFormat="1" x14ac:dyDescent="0.25"/>
    <row r="127800" customFormat="1" x14ac:dyDescent="0.25"/>
    <row r="127801" customFormat="1" x14ac:dyDescent="0.25"/>
    <row r="127802" customFormat="1" x14ac:dyDescent="0.25"/>
    <row r="127803" customFormat="1" x14ac:dyDescent="0.25"/>
    <row r="127804" customFormat="1" x14ac:dyDescent="0.25"/>
    <row r="127805" customFormat="1" x14ac:dyDescent="0.25"/>
    <row r="127806" customFormat="1" x14ac:dyDescent="0.25"/>
    <row r="127807" customFormat="1" x14ac:dyDescent="0.25"/>
    <row r="127808" customFormat="1" x14ac:dyDescent="0.25"/>
    <row r="127809" customFormat="1" x14ac:dyDescent="0.25"/>
    <row r="127810" customFormat="1" x14ac:dyDescent="0.25"/>
    <row r="127811" customFormat="1" x14ac:dyDescent="0.25"/>
    <row r="127812" customFormat="1" x14ac:dyDescent="0.25"/>
    <row r="127813" customFormat="1" x14ac:dyDescent="0.25"/>
    <row r="127814" customFormat="1" x14ac:dyDescent="0.25"/>
    <row r="127815" customFormat="1" x14ac:dyDescent="0.25"/>
    <row r="127816" customFormat="1" x14ac:dyDescent="0.25"/>
    <row r="127817" customFormat="1" x14ac:dyDescent="0.25"/>
    <row r="127818" customFormat="1" x14ac:dyDescent="0.25"/>
    <row r="127819" customFormat="1" x14ac:dyDescent="0.25"/>
    <row r="127820" customFormat="1" x14ac:dyDescent="0.25"/>
    <row r="127821" customFormat="1" x14ac:dyDescent="0.25"/>
    <row r="127822" customFormat="1" x14ac:dyDescent="0.25"/>
    <row r="127823" customFormat="1" x14ac:dyDescent="0.25"/>
    <row r="127824" customFormat="1" x14ac:dyDescent="0.25"/>
    <row r="127825" customFormat="1" x14ac:dyDescent="0.25"/>
    <row r="127826" customFormat="1" x14ac:dyDescent="0.25"/>
    <row r="127827" customFormat="1" x14ac:dyDescent="0.25"/>
    <row r="127828" customFormat="1" x14ac:dyDescent="0.25"/>
    <row r="127829" customFormat="1" x14ac:dyDescent="0.25"/>
    <row r="127830" customFormat="1" x14ac:dyDescent="0.25"/>
    <row r="127831" customFormat="1" x14ac:dyDescent="0.25"/>
    <row r="127832" customFormat="1" x14ac:dyDescent="0.25"/>
    <row r="127833" customFormat="1" x14ac:dyDescent="0.25"/>
    <row r="127834" customFormat="1" x14ac:dyDescent="0.25"/>
    <row r="127835" customFormat="1" x14ac:dyDescent="0.25"/>
    <row r="127836" customFormat="1" x14ac:dyDescent="0.25"/>
    <row r="127837" customFormat="1" x14ac:dyDescent="0.25"/>
    <row r="127838" customFormat="1" x14ac:dyDescent="0.25"/>
    <row r="127839" customFormat="1" x14ac:dyDescent="0.25"/>
    <row r="127840" customFormat="1" x14ac:dyDescent="0.25"/>
    <row r="127841" customFormat="1" x14ac:dyDescent="0.25"/>
    <row r="127842" customFormat="1" x14ac:dyDescent="0.25"/>
    <row r="127843" customFormat="1" x14ac:dyDescent="0.25"/>
    <row r="127844" customFormat="1" x14ac:dyDescent="0.25"/>
    <row r="127845" customFormat="1" x14ac:dyDescent="0.25"/>
    <row r="127846" customFormat="1" x14ac:dyDescent="0.25"/>
    <row r="127847" customFormat="1" x14ac:dyDescent="0.25"/>
    <row r="127848" customFormat="1" x14ac:dyDescent="0.25"/>
    <row r="127849" customFormat="1" x14ac:dyDescent="0.25"/>
    <row r="127850" customFormat="1" x14ac:dyDescent="0.25"/>
    <row r="127851" customFormat="1" x14ac:dyDescent="0.25"/>
    <row r="127852" customFormat="1" x14ac:dyDescent="0.25"/>
    <row r="127853" customFormat="1" x14ac:dyDescent="0.25"/>
    <row r="127854" customFormat="1" x14ac:dyDescent="0.25"/>
    <row r="127855" customFormat="1" x14ac:dyDescent="0.25"/>
    <row r="127856" customFormat="1" x14ac:dyDescent="0.25"/>
    <row r="127857" customFormat="1" x14ac:dyDescent="0.25"/>
    <row r="127858" customFormat="1" x14ac:dyDescent="0.25"/>
    <row r="127859" customFormat="1" x14ac:dyDescent="0.25"/>
    <row r="127860" customFormat="1" x14ac:dyDescent="0.25"/>
    <row r="127861" customFormat="1" x14ac:dyDescent="0.25"/>
    <row r="127862" customFormat="1" x14ac:dyDescent="0.25"/>
    <row r="127863" customFormat="1" x14ac:dyDescent="0.25"/>
    <row r="127864" customFormat="1" x14ac:dyDescent="0.25"/>
    <row r="127865" customFormat="1" x14ac:dyDescent="0.25"/>
    <row r="127866" customFormat="1" x14ac:dyDescent="0.25"/>
    <row r="127867" customFormat="1" x14ac:dyDescent="0.25"/>
    <row r="127868" customFormat="1" x14ac:dyDescent="0.25"/>
    <row r="127869" customFormat="1" x14ac:dyDescent="0.25"/>
    <row r="127870" customFormat="1" x14ac:dyDescent="0.25"/>
    <row r="127871" customFormat="1" x14ac:dyDescent="0.25"/>
    <row r="127872" customFormat="1" x14ac:dyDescent="0.25"/>
    <row r="127873" customFormat="1" x14ac:dyDescent="0.25"/>
    <row r="127874" customFormat="1" x14ac:dyDescent="0.25"/>
    <row r="127875" customFormat="1" x14ac:dyDescent="0.25"/>
    <row r="127876" customFormat="1" x14ac:dyDescent="0.25"/>
    <row r="127877" customFormat="1" x14ac:dyDescent="0.25"/>
    <row r="127878" customFormat="1" x14ac:dyDescent="0.25"/>
    <row r="127879" customFormat="1" x14ac:dyDescent="0.25"/>
    <row r="127880" customFormat="1" x14ac:dyDescent="0.25"/>
    <row r="127881" customFormat="1" x14ac:dyDescent="0.25"/>
    <row r="127882" customFormat="1" x14ac:dyDescent="0.25"/>
    <row r="127883" customFormat="1" x14ac:dyDescent="0.25"/>
    <row r="127884" customFormat="1" x14ac:dyDescent="0.25"/>
    <row r="127885" customFormat="1" x14ac:dyDescent="0.25"/>
    <row r="127886" customFormat="1" x14ac:dyDescent="0.25"/>
    <row r="127887" customFormat="1" x14ac:dyDescent="0.25"/>
    <row r="127888" customFormat="1" x14ac:dyDescent="0.25"/>
    <row r="127889" customFormat="1" x14ac:dyDescent="0.25"/>
    <row r="127890" customFormat="1" x14ac:dyDescent="0.25"/>
    <row r="127891" customFormat="1" x14ac:dyDescent="0.25"/>
    <row r="127892" customFormat="1" x14ac:dyDescent="0.25"/>
    <row r="127893" customFormat="1" x14ac:dyDescent="0.25"/>
    <row r="127894" customFormat="1" x14ac:dyDescent="0.25"/>
    <row r="127895" customFormat="1" x14ac:dyDescent="0.25"/>
    <row r="127896" customFormat="1" x14ac:dyDescent="0.25"/>
    <row r="127897" customFormat="1" x14ac:dyDescent="0.25"/>
    <row r="127898" customFormat="1" x14ac:dyDescent="0.25"/>
    <row r="127899" customFormat="1" x14ac:dyDescent="0.25"/>
    <row r="127900" customFormat="1" x14ac:dyDescent="0.25"/>
    <row r="127901" customFormat="1" x14ac:dyDescent="0.25"/>
    <row r="127902" customFormat="1" x14ac:dyDescent="0.25"/>
    <row r="127903" customFormat="1" x14ac:dyDescent="0.25"/>
    <row r="127904" customFormat="1" x14ac:dyDescent="0.25"/>
    <row r="127905" customFormat="1" x14ac:dyDescent="0.25"/>
    <row r="127906" customFormat="1" x14ac:dyDescent="0.25"/>
    <row r="127907" customFormat="1" x14ac:dyDescent="0.25"/>
    <row r="127908" customFormat="1" x14ac:dyDescent="0.25"/>
    <row r="127909" customFormat="1" x14ac:dyDescent="0.25"/>
    <row r="127910" customFormat="1" x14ac:dyDescent="0.25"/>
    <row r="127911" customFormat="1" x14ac:dyDescent="0.25"/>
    <row r="127912" customFormat="1" x14ac:dyDescent="0.25"/>
    <row r="127913" customFormat="1" x14ac:dyDescent="0.25"/>
    <row r="127914" customFormat="1" x14ac:dyDescent="0.25"/>
    <row r="127915" customFormat="1" x14ac:dyDescent="0.25"/>
    <row r="127916" customFormat="1" x14ac:dyDescent="0.25"/>
    <row r="127917" customFormat="1" x14ac:dyDescent="0.25"/>
    <row r="127918" customFormat="1" x14ac:dyDescent="0.25"/>
    <row r="127919" customFormat="1" x14ac:dyDescent="0.25"/>
    <row r="127920" customFormat="1" x14ac:dyDescent="0.25"/>
    <row r="127921" customFormat="1" x14ac:dyDescent="0.25"/>
    <row r="127922" customFormat="1" x14ac:dyDescent="0.25"/>
    <row r="127923" customFormat="1" x14ac:dyDescent="0.25"/>
    <row r="127924" customFormat="1" x14ac:dyDescent="0.25"/>
    <row r="127925" customFormat="1" x14ac:dyDescent="0.25"/>
    <row r="127926" customFormat="1" x14ac:dyDescent="0.25"/>
    <row r="127927" customFormat="1" x14ac:dyDescent="0.25"/>
    <row r="127928" customFormat="1" x14ac:dyDescent="0.25"/>
    <row r="127929" customFormat="1" x14ac:dyDescent="0.25"/>
    <row r="127930" customFormat="1" x14ac:dyDescent="0.25"/>
    <row r="127931" customFormat="1" x14ac:dyDescent="0.25"/>
    <row r="127932" customFormat="1" x14ac:dyDescent="0.25"/>
    <row r="127933" customFormat="1" x14ac:dyDescent="0.25"/>
    <row r="127934" customFormat="1" x14ac:dyDescent="0.25"/>
    <row r="127935" customFormat="1" x14ac:dyDescent="0.25"/>
    <row r="127936" customFormat="1" x14ac:dyDescent="0.25"/>
    <row r="127937" customFormat="1" x14ac:dyDescent="0.25"/>
    <row r="127938" customFormat="1" x14ac:dyDescent="0.25"/>
    <row r="127939" customFormat="1" x14ac:dyDescent="0.25"/>
    <row r="127940" customFormat="1" x14ac:dyDescent="0.25"/>
    <row r="127941" customFormat="1" x14ac:dyDescent="0.25"/>
    <row r="127942" customFormat="1" x14ac:dyDescent="0.25"/>
    <row r="127943" customFormat="1" x14ac:dyDescent="0.25"/>
    <row r="127944" customFormat="1" x14ac:dyDescent="0.25"/>
    <row r="127945" customFormat="1" x14ac:dyDescent="0.25"/>
    <row r="127946" customFormat="1" x14ac:dyDescent="0.25"/>
    <row r="127947" customFormat="1" x14ac:dyDescent="0.25"/>
    <row r="127948" customFormat="1" x14ac:dyDescent="0.25"/>
    <row r="127949" customFormat="1" x14ac:dyDescent="0.25"/>
    <row r="127950" customFormat="1" x14ac:dyDescent="0.25"/>
    <row r="127951" customFormat="1" x14ac:dyDescent="0.25"/>
    <row r="127952" customFormat="1" x14ac:dyDescent="0.25"/>
    <row r="127953" customFormat="1" x14ac:dyDescent="0.25"/>
    <row r="127954" customFormat="1" x14ac:dyDescent="0.25"/>
    <row r="127955" customFormat="1" x14ac:dyDescent="0.25"/>
    <row r="127956" customFormat="1" x14ac:dyDescent="0.25"/>
    <row r="127957" customFormat="1" x14ac:dyDescent="0.25"/>
    <row r="127958" customFormat="1" x14ac:dyDescent="0.25"/>
    <row r="127959" customFormat="1" x14ac:dyDescent="0.25"/>
    <row r="127960" customFormat="1" x14ac:dyDescent="0.25"/>
    <row r="127961" customFormat="1" x14ac:dyDescent="0.25"/>
    <row r="127962" customFormat="1" x14ac:dyDescent="0.25"/>
    <row r="127963" customFormat="1" x14ac:dyDescent="0.25"/>
    <row r="127964" customFormat="1" x14ac:dyDescent="0.25"/>
    <row r="127965" customFormat="1" x14ac:dyDescent="0.25"/>
    <row r="127966" customFormat="1" x14ac:dyDescent="0.25"/>
    <row r="127967" customFormat="1" x14ac:dyDescent="0.25"/>
    <row r="127968" customFormat="1" x14ac:dyDescent="0.25"/>
    <row r="127969" customFormat="1" x14ac:dyDescent="0.25"/>
    <row r="127970" customFormat="1" x14ac:dyDescent="0.25"/>
    <row r="127971" customFormat="1" x14ac:dyDescent="0.25"/>
    <row r="127972" customFormat="1" x14ac:dyDescent="0.25"/>
    <row r="127973" customFormat="1" x14ac:dyDescent="0.25"/>
    <row r="127974" customFormat="1" x14ac:dyDescent="0.25"/>
    <row r="127975" customFormat="1" x14ac:dyDescent="0.25"/>
    <row r="127976" customFormat="1" x14ac:dyDescent="0.25"/>
    <row r="127977" customFormat="1" x14ac:dyDescent="0.25"/>
    <row r="127978" customFormat="1" x14ac:dyDescent="0.25"/>
    <row r="127979" customFormat="1" x14ac:dyDescent="0.25"/>
    <row r="127980" customFormat="1" x14ac:dyDescent="0.25"/>
    <row r="127981" customFormat="1" x14ac:dyDescent="0.25"/>
    <row r="127982" customFormat="1" x14ac:dyDescent="0.25"/>
    <row r="127983" customFormat="1" x14ac:dyDescent="0.25"/>
    <row r="127984" customFormat="1" x14ac:dyDescent="0.25"/>
    <row r="127985" customFormat="1" x14ac:dyDescent="0.25"/>
    <row r="127986" customFormat="1" x14ac:dyDescent="0.25"/>
    <row r="127987" customFormat="1" x14ac:dyDescent="0.25"/>
    <row r="127988" customFormat="1" x14ac:dyDescent="0.25"/>
    <row r="127989" customFormat="1" x14ac:dyDescent="0.25"/>
    <row r="127990" customFormat="1" x14ac:dyDescent="0.25"/>
    <row r="127991" customFormat="1" x14ac:dyDescent="0.25"/>
    <row r="127992" customFormat="1" x14ac:dyDescent="0.25"/>
    <row r="127993" customFormat="1" x14ac:dyDescent="0.25"/>
    <row r="127994" customFormat="1" x14ac:dyDescent="0.25"/>
    <row r="127995" customFormat="1" x14ac:dyDescent="0.25"/>
    <row r="127996" customFormat="1" x14ac:dyDescent="0.25"/>
    <row r="127997" customFormat="1" x14ac:dyDescent="0.25"/>
    <row r="127998" customFormat="1" x14ac:dyDescent="0.25"/>
    <row r="127999" customFormat="1" x14ac:dyDescent="0.25"/>
    <row r="128000" customFormat="1" x14ac:dyDescent="0.25"/>
    <row r="128001" customFormat="1" x14ac:dyDescent="0.25"/>
    <row r="128002" customFormat="1" x14ac:dyDescent="0.25"/>
    <row r="128003" customFormat="1" x14ac:dyDescent="0.25"/>
    <row r="128004" customFormat="1" x14ac:dyDescent="0.25"/>
    <row r="128005" customFormat="1" x14ac:dyDescent="0.25"/>
    <row r="128006" customFormat="1" x14ac:dyDescent="0.25"/>
    <row r="128007" customFormat="1" x14ac:dyDescent="0.25"/>
    <row r="128008" customFormat="1" x14ac:dyDescent="0.25"/>
    <row r="128009" customFormat="1" x14ac:dyDescent="0.25"/>
    <row r="128010" customFormat="1" x14ac:dyDescent="0.25"/>
    <row r="128011" customFormat="1" x14ac:dyDescent="0.25"/>
    <row r="128012" customFormat="1" x14ac:dyDescent="0.25"/>
    <row r="128013" customFormat="1" x14ac:dyDescent="0.25"/>
    <row r="128014" customFormat="1" x14ac:dyDescent="0.25"/>
    <row r="128015" customFormat="1" x14ac:dyDescent="0.25"/>
    <row r="128016" customFormat="1" x14ac:dyDescent="0.25"/>
    <row r="128017" customFormat="1" x14ac:dyDescent="0.25"/>
    <row r="128018" customFormat="1" x14ac:dyDescent="0.25"/>
    <row r="128019" customFormat="1" x14ac:dyDescent="0.25"/>
    <row r="128020" customFormat="1" x14ac:dyDescent="0.25"/>
    <row r="128021" customFormat="1" x14ac:dyDescent="0.25"/>
    <row r="128022" customFormat="1" x14ac:dyDescent="0.25"/>
    <row r="128023" customFormat="1" x14ac:dyDescent="0.25"/>
    <row r="128024" customFormat="1" x14ac:dyDescent="0.25"/>
    <row r="128025" customFormat="1" x14ac:dyDescent="0.25"/>
    <row r="128026" customFormat="1" x14ac:dyDescent="0.25"/>
    <row r="128027" customFormat="1" x14ac:dyDescent="0.25"/>
    <row r="128028" customFormat="1" x14ac:dyDescent="0.25"/>
    <row r="128029" customFormat="1" x14ac:dyDescent="0.25"/>
    <row r="128030" customFormat="1" x14ac:dyDescent="0.25"/>
    <row r="128031" customFormat="1" x14ac:dyDescent="0.25"/>
    <row r="128032" customFormat="1" x14ac:dyDescent="0.25"/>
    <row r="128033" customFormat="1" x14ac:dyDescent="0.25"/>
    <row r="128034" customFormat="1" x14ac:dyDescent="0.25"/>
    <row r="128035" customFormat="1" x14ac:dyDescent="0.25"/>
    <row r="128036" customFormat="1" x14ac:dyDescent="0.25"/>
    <row r="128037" customFormat="1" x14ac:dyDescent="0.25"/>
    <row r="128038" customFormat="1" x14ac:dyDescent="0.25"/>
    <row r="128039" customFormat="1" x14ac:dyDescent="0.25"/>
    <row r="128040" customFormat="1" x14ac:dyDescent="0.25"/>
    <row r="128041" customFormat="1" x14ac:dyDescent="0.25"/>
    <row r="128042" customFormat="1" x14ac:dyDescent="0.25"/>
    <row r="128043" customFormat="1" x14ac:dyDescent="0.25"/>
    <row r="128044" customFormat="1" x14ac:dyDescent="0.25"/>
    <row r="128045" customFormat="1" x14ac:dyDescent="0.25"/>
    <row r="128046" customFormat="1" x14ac:dyDescent="0.25"/>
    <row r="128047" customFormat="1" x14ac:dyDescent="0.25"/>
    <row r="128048" customFormat="1" x14ac:dyDescent="0.25"/>
    <row r="128049" customFormat="1" x14ac:dyDescent="0.25"/>
    <row r="128050" customFormat="1" x14ac:dyDescent="0.25"/>
    <row r="128051" customFormat="1" x14ac:dyDescent="0.25"/>
    <row r="128052" customFormat="1" x14ac:dyDescent="0.25"/>
    <row r="128053" customFormat="1" x14ac:dyDescent="0.25"/>
    <row r="128054" customFormat="1" x14ac:dyDescent="0.25"/>
    <row r="128055" customFormat="1" x14ac:dyDescent="0.25"/>
    <row r="128056" customFormat="1" x14ac:dyDescent="0.25"/>
    <row r="128057" customFormat="1" x14ac:dyDescent="0.25"/>
    <row r="128058" customFormat="1" x14ac:dyDescent="0.25"/>
    <row r="128059" customFormat="1" x14ac:dyDescent="0.25"/>
    <row r="128060" customFormat="1" x14ac:dyDescent="0.25"/>
    <row r="128061" customFormat="1" x14ac:dyDescent="0.25"/>
    <row r="128062" customFormat="1" x14ac:dyDescent="0.25"/>
    <row r="128063" customFormat="1" x14ac:dyDescent="0.25"/>
    <row r="128064" customFormat="1" x14ac:dyDescent="0.25"/>
    <row r="128065" customFormat="1" x14ac:dyDescent="0.25"/>
    <row r="128066" customFormat="1" x14ac:dyDescent="0.25"/>
    <row r="128067" customFormat="1" x14ac:dyDescent="0.25"/>
    <row r="128068" customFormat="1" x14ac:dyDescent="0.25"/>
    <row r="128069" customFormat="1" x14ac:dyDescent="0.25"/>
    <row r="128070" customFormat="1" x14ac:dyDescent="0.25"/>
    <row r="128071" customFormat="1" x14ac:dyDescent="0.25"/>
    <row r="128072" customFormat="1" x14ac:dyDescent="0.25"/>
    <row r="128073" customFormat="1" x14ac:dyDescent="0.25"/>
    <row r="128074" customFormat="1" x14ac:dyDescent="0.25"/>
    <row r="128075" customFormat="1" x14ac:dyDescent="0.25"/>
    <row r="128076" customFormat="1" x14ac:dyDescent="0.25"/>
    <row r="128077" customFormat="1" x14ac:dyDescent="0.25"/>
    <row r="128078" customFormat="1" x14ac:dyDescent="0.25"/>
    <row r="128079" customFormat="1" x14ac:dyDescent="0.25"/>
    <row r="128080" customFormat="1" x14ac:dyDescent="0.25"/>
    <row r="128081" customFormat="1" x14ac:dyDescent="0.25"/>
    <row r="128082" customFormat="1" x14ac:dyDescent="0.25"/>
    <row r="128083" customFormat="1" x14ac:dyDescent="0.25"/>
    <row r="128084" customFormat="1" x14ac:dyDescent="0.25"/>
    <row r="128085" customFormat="1" x14ac:dyDescent="0.25"/>
    <row r="128086" customFormat="1" x14ac:dyDescent="0.25"/>
    <row r="128087" customFormat="1" x14ac:dyDescent="0.25"/>
    <row r="128088" customFormat="1" x14ac:dyDescent="0.25"/>
    <row r="128089" customFormat="1" x14ac:dyDescent="0.25"/>
    <row r="128090" customFormat="1" x14ac:dyDescent="0.25"/>
    <row r="128091" customFormat="1" x14ac:dyDescent="0.25"/>
    <row r="128092" customFormat="1" x14ac:dyDescent="0.25"/>
    <row r="128093" customFormat="1" x14ac:dyDescent="0.25"/>
    <row r="128094" customFormat="1" x14ac:dyDescent="0.25"/>
    <row r="128095" customFormat="1" x14ac:dyDescent="0.25"/>
    <row r="128096" customFormat="1" x14ac:dyDescent="0.25"/>
    <row r="128097" customFormat="1" x14ac:dyDescent="0.25"/>
    <row r="128098" customFormat="1" x14ac:dyDescent="0.25"/>
    <row r="128099" customFormat="1" x14ac:dyDescent="0.25"/>
    <row r="128100" customFormat="1" x14ac:dyDescent="0.25"/>
    <row r="128101" customFormat="1" x14ac:dyDescent="0.25"/>
    <row r="128102" customFormat="1" x14ac:dyDescent="0.25"/>
    <row r="128103" customFormat="1" x14ac:dyDescent="0.25"/>
    <row r="128104" customFormat="1" x14ac:dyDescent="0.25"/>
    <row r="128105" customFormat="1" x14ac:dyDescent="0.25"/>
    <row r="128106" customFormat="1" x14ac:dyDescent="0.25"/>
    <row r="128107" customFormat="1" x14ac:dyDescent="0.25"/>
    <row r="128108" customFormat="1" x14ac:dyDescent="0.25"/>
    <row r="128109" customFormat="1" x14ac:dyDescent="0.25"/>
    <row r="128110" customFormat="1" x14ac:dyDescent="0.25"/>
    <row r="128111" customFormat="1" x14ac:dyDescent="0.25"/>
    <row r="128112" customFormat="1" x14ac:dyDescent="0.25"/>
    <row r="128113" customFormat="1" x14ac:dyDescent="0.25"/>
    <row r="128114" customFormat="1" x14ac:dyDescent="0.25"/>
    <row r="128115" customFormat="1" x14ac:dyDescent="0.25"/>
    <row r="128116" customFormat="1" x14ac:dyDescent="0.25"/>
    <row r="128117" customFormat="1" x14ac:dyDescent="0.25"/>
    <row r="128118" customFormat="1" x14ac:dyDescent="0.25"/>
    <row r="128119" customFormat="1" x14ac:dyDescent="0.25"/>
    <row r="128120" customFormat="1" x14ac:dyDescent="0.25"/>
    <row r="128121" customFormat="1" x14ac:dyDescent="0.25"/>
    <row r="128122" customFormat="1" x14ac:dyDescent="0.25"/>
    <row r="128123" customFormat="1" x14ac:dyDescent="0.25"/>
    <row r="128124" customFormat="1" x14ac:dyDescent="0.25"/>
    <row r="128125" customFormat="1" x14ac:dyDescent="0.25"/>
    <row r="128126" customFormat="1" x14ac:dyDescent="0.25"/>
    <row r="128127" customFormat="1" x14ac:dyDescent="0.25"/>
    <row r="128128" customFormat="1" x14ac:dyDescent="0.25"/>
    <row r="128129" customFormat="1" x14ac:dyDescent="0.25"/>
    <row r="128130" customFormat="1" x14ac:dyDescent="0.25"/>
    <row r="128131" customFormat="1" x14ac:dyDescent="0.25"/>
    <row r="128132" customFormat="1" x14ac:dyDescent="0.25"/>
    <row r="128133" customFormat="1" x14ac:dyDescent="0.25"/>
    <row r="128134" customFormat="1" x14ac:dyDescent="0.25"/>
    <row r="128135" customFormat="1" x14ac:dyDescent="0.25"/>
    <row r="128136" customFormat="1" x14ac:dyDescent="0.25"/>
    <row r="128137" customFormat="1" x14ac:dyDescent="0.25"/>
    <row r="128138" customFormat="1" x14ac:dyDescent="0.25"/>
    <row r="128139" customFormat="1" x14ac:dyDescent="0.25"/>
    <row r="128140" customFormat="1" x14ac:dyDescent="0.25"/>
    <row r="128141" customFormat="1" x14ac:dyDescent="0.25"/>
    <row r="128142" customFormat="1" x14ac:dyDescent="0.25"/>
    <row r="128143" customFormat="1" x14ac:dyDescent="0.25"/>
    <row r="128144" customFormat="1" x14ac:dyDescent="0.25"/>
    <row r="128145" customFormat="1" x14ac:dyDescent="0.25"/>
    <row r="128146" customFormat="1" x14ac:dyDescent="0.25"/>
    <row r="128147" customFormat="1" x14ac:dyDescent="0.25"/>
    <row r="128148" customFormat="1" x14ac:dyDescent="0.25"/>
    <row r="128149" customFormat="1" x14ac:dyDescent="0.25"/>
    <row r="128150" customFormat="1" x14ac:dyDescent="0.25"/>
    <row r="128151" customFormat="1" x14ac:dyDescent="0.25"/>
    <row r="128152" customFormat="1" x14ac:dyDescent="0.25"/>
    <row r="128153" customFormat="1" x14ac:dyDescent="0.25"/>
    <row r="128154" customFormat="1" x14ac:dyDescent="0.25"/>
    <row r="128155" customFormat="1" x14ac:dyDescent="0.25"/>
    <row r="128156" customFormat="1" x14ac:dyDescent="0.25"/>
    <row r="128157" customFormat="1" x14ac:dyDescent="0.25"/>
    <row r="128158" customFormat="1" x14ac:dyDescent="0.25"/>
    <row r="128159" customFormat="1" x14ac:dyDescent="0.25"/>
    <row r="128160" customFormat="1" x14ac:dyDescent="0.25"/>
    <row r="128161" customFormat="1" x14ac:dyDescent="0.25"/>
    <row r="128162" customFormat="1" x14ac:dyDescent="0.25"/>
    <row r="128163" customFormat="1" x14ac:dyDescent="0.25"/>
    <row r="128164" customFormat="1" x14ac:dyDescent="0.25"/>
    <row r="128165" customFormat="1" x14ac:dyDescent="0.25"/>
    <row r="128166" customFormat="1" x14ac:dyDescent="0.25"/>
    <row r="128167" customFormat="1" x14ac:dyDescent="0.25"/>
    <row r="128168" customFormat="1" x14ac:dyDescent="0.25"/>
    <row r="128169" customFormat="1" x14ac:dyDescent="0.25"/>
    <row r="128170" customFormat="1" x14ac:dyDescent="0.25"/>
    <row r="128171" customFormat="1" x14ac:dyDescent="0.25"/>
    <row r="128172" customFormat="1" x14ac:dyDescent="0.25"/>
    <row r="128173" customFormat="1" x14ac:dyDescent="0.25"/>
    <row r="128174" customFormat="1" x14ac:dyDescent="0.25"/>
    <row r="128175" customFormat="1" x14ac:dyDescent="0.25"/>
    <row r="128176" customFormat="1" x14ac:dyDescent="0.25"/>
    <row r="128177" customFormat="1" x14ac:dyDescent="0.25"/>
    <row r="128178" customFormat="1" x14ac:dyDescent="0.25"/>
    <row r="128179" customFormat="1" x14ac:dyDescent="0.25"/>
    <row r="128180" customFormat="1" x14ac:dyDescent="0.25"/>
    <row r="128181" customFormat="1" x14ac:dyDescent="0.25"/>
    <row r="128182" customFormat="1" x14ac:dyDescent="0.25"/>
    <row r="128183" customFormat="1" x14ac:dyDescent="0.25"/>
    <row r="128184" customFormat="1" x14ac:dyDescent="0.25"/>
    <row r="128185" customFormat="1" x14ac:dyDescent="0.25"/>
    <row r="128186" customFormat="1" x14ac:dyDescent="0.25"/>
    <row r="128187" customFormat="1" x14ac:dyDescent="0.25"/>
    <row r="128188" customFormat="1" x14ac:dyDescent="0.25"/>
    <row r="128189" customFormat="1" x14ac:dyDescent="0.25"/>
    <row r="128190" customFormat="1" x14ac:dyDescent="0.25"/>
    <row r="128191" customFormat="1" x14ac:dyDescent="0.25"/>
    <row r="128192" customFormat="1" x14ac:dyDescent="0.25"/>
    <row r="128193" customFormat="1" x14ac:dyDescent="0.25"/>
    <row r="128194" customFormat="1" x14ac:dyDescent="0.25"/>
    <row r="128195" customFormat="1" x14ac:dyDescent="0.25"/>
    <row r="128196" customFormat="1" x14ac:dyDescent="0.25"/>
    <row r="128197" customFormat="1" x14ac:dyDescent="0.25"/>
    <row r="128198" customFormat="1" x14ac:dyDescent="0.25"/>
    <row r="128199" customFormat="1" x14ac:dyDescent="0.25"/>
    <row r="128200" customFormat="1" x14ac:dyDescent="0.25"/>
    <row r="128201" customFormat="1" x14ac:dyDescent="0.25"/>
    <row r="128202" customFormat="1" x14ac:dyDescent="0.25"/>
    <row r="128203" customFormat="1" x14ac:dyDescent="0.25"/>
    <row r="128204" customFormat="1" x14ac:dyDescent="0.25"/>
    <row r="128205" customFormat="1" x14ac:dyDescent="0.25"/>
    <row r="128206" customFormat="1" x14ac:dyDescent="0.25"/>
    <row r="128207" customFormat="1" x14ac:dyDescent="0.25"/>
    <row r="128208" customFormat="1" x14ac:dyDescent="0.25"/>
    <row r="128209" customFormat="1" x14ac:dyDescent="0.25"/>
    <row r="128210" customFormat="1" x14ac:dyDescent="0.25"/>
    <row r="128211" customFormat="1" x14ac:dyDescent="0.25"/>
    <row r="128212" customFormat="1" x14ac:dyDescent="0.25"/>
    <row r="128213" customFormat="1" x14ac:dyDescent="0.25"/>
    <row r="128214" customFormat="1" x14ac:dyDescent="0.25"/>
    <row r="128215" customFormat="1" x14ac:dyDescent="0.25"/>
    <row r="128216" customFormat="1" x14ac:dyDescent="0.25"/>
    <row r="128217" customFormat="1" x14ac:dyDescent="0.25"/>
    <row r="128218" customFormat="1" x14ac:dyDescent="0.25"/>
    <row r="128219" customFormat="1" x14ac:dyDescent="0.25"/>
    <row r="128220" customFormat="1" x14ac:dyDescent="0.25"/>
    <row r="128221" customFormat="1" x14ac:dyDescent="0.25"/>
    <row r="128222" customFormat="1" x14ac:dyDescent="0.25"/>
    <row r="128223" customFormat="1" x14ac:dyDescent="0.25"/>
    <row r="128224" customFormat="1" x14ac:dyDescent="0.25"/>
    <row r="128225" customFormat="1" x14ac:dyDescent="0.25"/>
    <row r="128226" customFormat="1" x14ac:dyDescent="0.25"/>
    <row r="128227" customFormat="1" x14ac:dyDescent="0.25"/>
    <row r="128228" customFormat="1" x14ac:dyDescent="0.25"/>
    <row r="128229" customFormat="1" x14ac:dyDescent="0.25"/>
    <row r="128230" customFormat="1" x14ac:dyDescent="0.25"/>
    <row r="128231" customFormat="1" x14ac:dyDescent="0.25"/>
    <row r="128232" customFormat="1" x14ac:dyDescent="0.25"/>
    <row r="128233" customFormat="1" x14ac:dyDescent="0.25"/>
    <row r="128234" customFormat="1" x14ac:dyDescent="0.25"/>
    <row r="128235" customFormat="1" x14ac:dyDescent="0.25"/>
    <row r="128236" customFormat="1" x14ac:dyDescent="0.25"/>
    <row r="128237" customFormat="1" x14ac:dyDescent="0.25"/>
    <row r="128238" customFormat="1" x14ac:dyDescent="0.25"/>
    <row r="128239" customFormat="1" x14ac:dyDescent="0.25"/>
    <row r="128240" customFormat="1" x14ac:dyDescent="0.25"/>
    <row r="128241" customFormat="1" x14ac:dyDescent="0.25"/>
    <row r="128242" customFormat="1" x14ac:dyDescent="0.25"/>
    <row r="128243" customFormat="1" x14ac:dyDescent="0.25"/>
    <row r="128244" customFormat="1" x14ac:dyDescent="0.25"/>
    <row r="128245" customFormat="1" x14ac:dyDescent="0.25"/>
    <row r="128246" customFormat="1" x14ac:dyDescent="0.25"/>
    <row r="128247" customFormat="1" x14ac:dyDescent="0.25"/>
    <row r="128248" customFormat="1" x14ac:dyDescent="0.25"/>
    <row r="128249" customFormat="1" x14ac:dyDescent="0.25"/>
    <row r="128250" customFormat="1" x14ac:dyDescent="0.25"/>
    <row r="128251" customFormat="1" x14ac:dyDescent="0.25"/>
    <row r="128252" customFormat="1" x14ac:dyDescent="0.25"/>
    <row r="128253" customFormat="1" x14ac:dyDescent="0.25"/>
    <row r="128254" customFormat="1" x14ac:dyDescent="0.25"/>
    <row r="128255" customFormat="1" x14ac:dyDescent="0.25"/>
    <row r="128256" customFormat="1" x14ac:dyDescent="0.25"/>
    <row r="128257" customFormat="1" x14ac:dyDescent="0.25"/>
    <row r="128258" customFormat="1" x14ac:dyDescent="0.25"/>
    <row r="128259" customFormat="1" x14ac:dyDescent="0.25"/>
    <row r="128260" customFormat="1" x14ac:dyDescent="0.25"/>
    <row r="128261" customFormat="1" x14ac:dyDescent="0.25"/>
    <row r="128262" customFormat="1" x14ac:dyDescent="0.25"/>
    <row r="128263" customFormat="1" x14ac:dyDescent="0.25"/>
    <row r="128264" customFormat="1" x14ac:dyDescent="0.25"/>
    <row r="128265" customFormat="1" x14ac:dyDescent="0.25"/>
    <row r="128266" customFormat="1" x14ac:dyDescent="0.25"/>
    <row r="128267" customFormat="1" x14ac:dyDescent="0.25"/>
    <row r="128268" customFormat="1" x14ac:dyDescent="0.25"/>
    <row r="128269" customFormat="1" x14ac:dyDescent="0.25"/>
    <row r="128270" customFormat="1" x14ac:dyDescent="0.25"/>
    <row r="128271" customFormat="1" x14ac:dyDescent="0.25"/>
    <row r="128272" customFormat="1" x14ac:dyDescent="0.25"/>
    <row r="128273" customFormat="1" x14ac:dyDescent="0.25"/>
    <row r="128274" customFormat="1" x14ac:dyDescent="0.25"/>
    <row r="128275" customFormat="1" x14ac:dyDescent="0.25"/>
    <row r="128276" customFormat="1" x14ac:dyDescent="0.25"/>
    <row r="128277" customFormat="1" x14ac:dyDescent="0.25"/>
    <row r="128278" customFormat="1" x14ac:dyDescent="0.25"/>
    <row r="128279" customFormat="1" x14ac:dyDescent="0.25"/>
    <row r="128280" customFormat="1" x14ac:dyDescent="0.25"/>
    <row r="128281" customFormat="1" x14ac:dyDescent="0.25"/>
    <row r="128282" customFormat="1" x14ac:dyDescent="0.25"/>
    <row r="128283" customFormat="1" x14ac:dyDescent="0.25"/>
    <row r="128284" customFormat="1" x14ac:dyDescent="0.25"/>
    <row r="128285" customFormat="1" x14ac:dyDescent="0.25"/>
    <row r="128286" customFormat="1" x14ac:dyDescent="0.25"/>
    <row r="128287" customFormat="1" x14ac:dyDescent="0.25"/>
    <row r="128288" customFormat="1" x14ac:dyDescent="0.25"/>
    <row r="128289" customFormat="1" x14ac:dyDescent="0.25"/>
    <row r="128290" customFormat="1" x14ac:dyDescent="0.25"/>
    <row r="128291" customFormat="1" x14ac:dyDescent="0.25"/>
    <row r="128292" customFormat="1" x14ac:dyDescent="0.25"/>
    <row r="128293" customFormat="1" x14ac:dyDescent="0.25"/>
    <row r="128294" customFormat="1" x14ac:dyDescent="0.25"/>
    <row r="128295" customFormat="1" x14ac:dyDescent="0.25"/>
    <row r="128296" customFormat="1" x14ac:dyDescent="0.25"/>
    <row r="128297" customFormat="1" x14ac:dyDescent="0.25"/>
    <row r="128298" customFormat="1" x14ac:dyDescent="0.25"/>
    <row r="128299" customFormat="1" x14ac:dyDescent="0.25"/>
    <row r="128300" customFormat="1" x14ac:dyDescent="0.25"/>
    <row r="128301" customFormat="1" x14ac:dyDescent="0.25"/>
    <row r="128302" customFormat="1" x14ac:dyDescent="0.25"/>
    <row r="128303" customFormat="1" x14ac:dyDescent="0.25"/>
    <row r="128304" customFormat="1" x14ac:dyDescent="0.25"/>
    <row r="128305" customFormat="1" x14ac:dyDescent="0.25"/>
    <row r="128306" customFormat="1" x14ac:dyDescent="0.25"/>
    <row r="128307" customFormat="1" x14ac:dyDescent="0.25"/>
    <row r="128308" customFormat="1" x14ac:dyDescent="0.25"/>
    <row r="128309" customFormat="1" x14ac:dyDescent="0.25"/>
    <row r="128310" customFormat="1" x14ac:dyDescent="0.25"/>
    <row r="128311" customFormat="1" x14ac:dyDescent="0.25"/>
    <row r="128312" customFormat="1" x14ac:dyDescent="0.25"/>
    <row r="128313" customFormat="1" x14ac:dyDescent="0.25"/>
    <row r="128314" customFormat="1" x14ac:dyDescent="0.25"/>
    <row r="128315" customFormat="1" x14ac:dyDescent="0.25"/>
    <row r="128316" customFormat="1" x14ac:dyDescent="0.25"/>
    <row r="128317" customFormat="1" x14ac:dyDescent="0.25"/>
    <row r="128318" customFormat="1" x14ac:dyDescent="0.25"/>
    <row r="128319" customFormat="1" x14ac:dyDescent="0.25"/>
    <row r="128320" customFormat="1" x14ac:dyDescent="0.25"/>
    <row r="128321" customFormat="1" x14ac:dyDescent="0.25"/>
    <row r="128322" customFormat="1" x14ac:dyDescent="0.25"/>
    <row r="128323" customFormat="1" x14ac:dyDescent="0.25"/>
    <row r="128324" customFormat="1" x14ac:dyDescent="0.25"/>
    <row r="128325" customFormat="1" x14ac:dyDescent="0.25"/>
    <row r="128326" customFormat="1" x14ac:dyDescent="0.25"/>
    <row r="128327" customFormat="1" x14ac:dyDescent="0.25"/>
    <row r="128328" customFormat="1" x14ac:dyDescent="0.25"/>
    <row r="128329" customFormat="1" x14ac:dyDescent="0.25"/>
    <row r="128330" customFormat="1" x14ac:dyDescent="0.25"/>
    <row r="128331" customFormat="1" x14ac:dyDescent="0.25"/>
    <row r="128332" customFormat="1" x14ac:dyDescent="0.25"/>
    <row r="128333" customFormat="1" x14ac:dyDescent="0.25"/>
    <row r="128334" customFormat="1" x14ac:dyDescent="0.25"/>
    <row r="128335" customFormat="1" x14ac:dyDescent="0.25"/>
    <row r="128336" customFormat="1" x14ac:dyDescent="0.25"/>
    <row r="128337" customFormat="1" x14ac:dyDescent="0.25"/>
    <row r="128338" customFormat="1" x14ac:dyDescent="0.25"/>
    <row r="128339" customFormat="1" x14ac:dyDescent="0.25"/>
    <row r="128340" customFormat="1" x14ac:dyDescent="0.25"/>
    <row r="128341" customFormat="1" x14ac:dyDescent="0.25"/>
    <row r="128342" customFormat="1" x14ac:dyDescent="0.25"/>
    <row r="128343" customFormat="1" x14ac:dyDescent="0.25"/>
    <row r="128344" customFormat="1" x14ac:dyDescent="0.25"/>
    <row r="128345" customFormat="1" x14ac:dyDescent="0.25"/>
    <row r="128346" customFormat="1" x14ac:dyDescent="0.25"/>
    <row r="128347" customFormat="1" x14ac:dyDescent="0.25"/>
    <row r="128348" customFormat="1" x14ac:dyDescent="0.25"/>
    <row r="128349" customFormat="1" x14ac:dyDescent="0.25"/>
    <row r="128350" customFormat="1" x14ac:dyDescent="0.25"/>
    <row r="128351" customFormat="1" x14ac:dyDescent="0.25"/>
    <row r="128352" customFormat="1" x14ac:dyDescent="0.25"/>
    <row r="128353" customFormat="1" x14ac:dyDescent="0.25"/>
    <row r="128354" customFormat="1" x14ac:dyDescent="0.25"/>
    <row r="128355" customFormat="1" x14ac:dyDescent="0.25"/>
    <row r="128356" customFormat="1" x14ac:dyDescent="0.25"/>
    <row r="128357" customFormat="1" x14ac:dyDescent="0.25"/>
    <row r="128358" customFormat="1" x14ac:dyDescent="0.25"/>
    <row r="128359" customFormat="1" x14ac:dyDescent="0.25"/>
    <row r="128360" customFormat="1" x14ac:dyDescent="0.25"/>
    <row r="128361" customFormat="1" x14ac:dyDescent="0.25"/>
    <row r="128362" customFormat="1" x14ac:dyDescent="0.25"/>
    <row r="128363" customFormat="1" x14ac:dyDescent="0.25"/>
    <row r="128364" customFormat="1" x14ac:dyDescent="0.25"/>
    <row r="128365" customFormat="1" x14ac:dyDescent="0.25"/>
    <row r="128366" customFormat="1" x14ac:dyDescent="0.25"/>
    <row r="128367" customFormat="1" x14ac:dyDescent="0.25"/>
    <row r="128368" customFormat="1" x14ac:dyDescent="0.25"/>
    <row r="128369" customFormat="1" x14ac:dyDescent="0.25"/>
    <row r="128370" customFormat="1" x14ac:dyDescent="0.25"/>
    <row r="128371" customFormat="1" x14ac:dyDescent="0.25"/>
    <row r="128372" customFormat="1" x14ac:dyDescent="0.25"/>
    <row r="128373" customFormat="1" x14ac:dyDescent="0.25"/>
    <row r="128374" customFormat="1" x14ac:dyDescent="0.25"/>
    <row r="128375" customFormat="1" x14ac:dyDescent="0.25"/>
    <row r="128376" customFormat="1" x14ac:dyDescent="0.25"/>
    <row r="128377" customFormat="1" x14ac:dyDescent="0.25"/>
    <row r="128378" customFormat="1" x14ac:dyDescent="0.25"/>
    <row r="128379" customFormat="1" x14ac:dyDescent="0.25"/>
    <row r="128380" customFormat="1" x14ac:dyDescent="0.25"/>
    <row r="128381" customFormat="1" x14ac:dyDescent="0.25"/>
    <row r="128382" customFormat="1" x14ac:dyDescent="0.25"/>
    <row r="128383" customFormat="1" x14ac:dyDescent="0.25"/>
    <row r="128384" customFormat="1" x14ac:dyDescent="0.25"/>
    <row r="128385" customFormat="1" x14ac:dyDescent="0.25"/>
    <row r="128386" customFormat="1" x14ac:dyDescent="0.25"/>
    <row r="128387" customFormat="1" x14ac:dyDescent="0.25"/>
    <row r="128388" customFormat="1" x14ac:dyDescent="0.25"/>
    <row r="128389" customFormat="1" x14ac:dyDescent="0.25"/>
    <row r="128390" customFormat="1" x14ac:dyDescent="0.25"/>
    <row r="128391" customFormat="1" x14ac:dyDescent="0.25"/>
    <row r="128392" customFormat="1" x14ac:dyDescent="0.25"/>
    <row r="128393" customFormat="1" x14ac:dyDescent="0.25"/>
    <row r="128394" customFormat="1" x14ac:dyDescent="0.25"/>
    <row r="128395" customFormat="1" x14ac:dyDescent="0.25"/>
    <row r="128396" customFormat="1" x14ac:dyDescent="0.25"/>
    <row r="128397" customFormat="1" x14ac:dyDescent="0.25"/>
    <row r="128398" customFormat="1" x14ac:dyDescent="0.25"/>
    <row r="128399" customFormat="1" x14ac:dyDescent="0.25"/>
    <row r="128400" customFormat="1" x14ac:dyDescent="0.25"/>
    <row r="128401" customFormat="1" x14ac:dyDescent="0.25"/>
    <row r="128402" customFormat="1" x14ac:dyDescent="0.25"/>
    <row r="128403" customFormat="1" x14ac:dyDescent="0.25"/>
    <row r="128404" customFormat="1" x14ac:dyDescent="0.25"/>
    <row r="128405" customFormat="1" x14ac:dyDescent="0.25"/>
    <row r="128406" customFormat="1" x14ac:dyDescent="0.25"/>
    <row r="128407" customFormat="1" x14ac:dyDescent="0.25"/>
    <row r="128408" customFormat="1" x14ac:dyDescent="0.25"/>
    <row r="128409" customFormat="1" x14ac:dyDescent="0.25"/>
    <row r="128410" customFormat="1" x14ac:dyDescent="0.25"/>
    <row r="128411" customFormat="1" x14ac:dyDescent="0.25"/>
    <row r="128412" customFormat="1" x14ac:dyDescent="0.25"/>
    <row r="128413" customFormat="1" x14ac:dyDescent="0.25"/>
    <row r="128414" customFormat="1" x14ac:dyDescent="0.25"/>
    <row r="128415" customFormat="1" x14ac:dyDescent="0.25"/>
    <row r="128416" customFormat="1" x14ac:dyDescent="0.25"/>
    <row r="128417" customFormat="1" x14ac:dyDescent="0.25"/>
    <row r="128418" customFormat="1" x14ac:dyDescent="0.25"/>
    <row r="128419" customFormat="1" x14ac:dyDescent="0.25"/>
    <row r="128420" customFormat="1" x14ac:dyDescent="0.25"/>
    <row r="128421" customFormat="1" x14ac:dyDescent="0.25"/>
    <row r="128422" customFormat="1" x14ac:dyDescent="0.25"/>
    <row r="128423" customFormat="1" x14ac:dyDescent="0.25"/>
    <row r="128424" customFormat="1" x14ac:dyDescent="0.25"/>
    <row r="128425" customFormat="1" x14ac:dyDescent="0.25"/>
    <row r="128426" customFormat="1" x14ac:dyDescent="0.25"/>
    <row r="128427" customFormat="1" x14ac:dyDescent="0.25"/>
    <row r="128428" customFormat="1" x14ac:dyDescent="0.25"/>
    <row r="128429" customFormat="1" x14ac:dyDescent="0.25"/>
    <row r="128430" customFormat="1" x14ac:dyDescent="0.25"/>
    <row r="128431" customFormat="1" x14ac:dyDescent="0.25"/>
    <row r="128432" customFormat="1" x14ac:dyDescent="0.25"/>
    <row r="128433" customFormat="1" x14ac:dyDescent="0.25"/>
    <row r="128434" customFormat="1" x14ac:dyDescent="0.25"/>
    <row r="128435" customFormat="1" x14ac:dyDescent="0.25"/>
    <row r="128436" customFormat="1" x14ac:dyDescent="0.25"/>
    <row r="128437" customFormat="1" x14ac:dyDescent="0.25"/>
    <row r="128438" customFormat="1" x14ac:dyDescent="0.25"/>
    <row r="128439" customFormat="1" x14ac:dyDescent="0.25"/>
    <row r="128440" customFormat="1" x14ac:dyDescent="0.25"/>
    <row r="128441" customFormat="1" x14ac:dyDescent="0.25"/>
    <row r="128442" customFormat="1" x14ac:dyDescent="0.25"/>
    <row r="128443" customFormat="1" x14ac:dyDescent="0.25"/>
    <row r="128444" customFormat="1" x14ac:dyDescent="0.25"/>
    <row r="128445" customFormat="1" x14ac:dyDescent="0.25"/>
    <row r="128446" customFormat="1" x14ac:dyDescent="0.25"/>
    <row r="128447" customFormat="1" x14ac:dyDescent="0.25"/>
    <row r="128448" customFormat="1" x14ac:dyDescent="0.25"/>
    <row r="128449" customFormat="1" x14ac:dyDescent="0.25"/>
    <row r="128450" customFormat="1" x14ac:dyDescent="0.25"/>
    <row r="128451" customFormat="1" x14ac:dyDescent="0.25"/>
    <row r="128452" customFormat="1" x14ac:dyDescent="0.25"/>
    <row r="128453" customFormat="1" x14ac:dyDescent="0.25"/>
    <row r="128454" customFormat="1" x14ac:dyDescent="0.25"/>
    <row r="128455" customFormat="1" x14ac:dyDescent="0.25"/>
    <row r="128456" customFormat="1" x14ac:dyDescent="0.25"/>
    <row r="128457" customFormat="1" x14ac:dyDescent="0.25"/>
    <row r="128458" customFormat="1" x14ac:dyDescent="0.25"/>
    <row r="128459" customFormat="1" x14ac:dyDescent="0.25"/>
    <row r="128460" customFormat="1" x14ac:dyDescent="0.25"/>
    <row r="128461" customFormat="1" x14ac:dyDescent="0.25"/>
    <row r="128462" customFormat="1" x14ac:dyDescent="0.25"/>
    <row r="128463" customFormat="1" x14ac:dyDescent="0.25"/>
    <row r="128464" customFormat="1" x14ac:dyDescent="0.25"/>
    <row r="128465" customFormat="1" x14ac:dyDescent="0.25"/>
    <row r="128466" customFormat="1" x14ac:dyDescent="0.25"/>
    <row r="128467" customFormat="1" x14ac:dyDescent="0.25"/>
    <row r="128468" customFormat="1" x14ac:dyDescent="0.25"/>
    <row r="128469" customFormat="1" x14ac:dyDescent="0.25"/>
    <row r="128470" customFormat="1" x14ac:dyDescent="0.25"/>
    <row r="128471" customFormat="1" x14ac:dyDescent="0.25"/>
    <row r="128472" customFormat="1" x14ac:dyDescent="0.25"/>
    <row r="128473" customFormat="1" x14ac:dyDescent="0.25"/>
    <row r="128474" customFormat="1" x14ac:dyDescent="0.25"/>
    <row r="128475" customFormat="1" x14ac:dyDescent="0.25"/>
    <row r="128476" customFormat="1" x14ac:dyDescent="0.25"/>
    <row r="128477" customFormat="1" x14ac:dyDescent="0.25"/>
    <row r="128478" customFormat="1" x14ac:dyDescent="0.25"/>
    <row r="128479" customFormat="1" x14ac:dyDescent="0.25"/>
    <row r="128480" customFormat="1" x14ac:dyDescent="0.25"/>
    <row r="128481" customFormat="1" x14ac:dyDescent="0.25"/>
    <row r="128482" customFormat="1" x14ac:dyDescent="0.25"/>
    <row r="128483" customFormat="1" x14ac:dyDescent="0.25"/>
    <row r="128484" customFormat="1" x14ac:dyDescent="0.25"/>
    <row r="128485" customFormat="1" x14ac:dyDescent="0.25"/>
    <row r="128486" customFormat="1" x14ac:dyDescent="0.25"/>
    <row r="128487" customFormat="1" x14ac:dyDescent="0.25"/>
    <row r="128488" customFormat="1" x14ac:dyDescent="0.25"/>
    <row r="128489" customFormat="1" x14ac:dyDescent="0.25"/>
    <row r="128490" customFormat="1" x14ac:dyDescent="0.25"/>
    <row r="128491" customFormat="1" x14ac:dyDescent="0.25"/>
    <row r="128492" customFormat="1" x14ac:dyDescent="0.25"/>
    <row r="128493" customFormat="1" x14ac:dyDescent="0.25"/>
    <row r="128494" customFormat="1" x14ac:dyDescent="0.25"/>
    <row r="128495" customFormat="1" x14ac:dyDescent="0.25"/>
    <row r="128496" customFormat="1" x14ac:dyDescent="0.25"/>
    <row r="128497" customFormat="1" x14ac:dyDescent="0.25"/>
    <row r="128498" customFormat="1" x14ac:dyDescent="0.25"/>
    <row r="128499" customFormat="1" x14ac:dyDescent="0.25"/>
    <row r="128500" customFormat="1" x14ac:dyDescent="0.25"/>
    <row r="128501" customFormat="1" x14ac:dyDescent="0.25"/>
    <row r="128502" customFormat="1" x14ac:dyDescent="0.25"/>
    <row r="128503" customFormat="1" x14ac:dyDescent="0.25"/>
    <row r="128504" customFormat="1" x14ac:dyDescent="0.25"/>
    <row r="128505" customFormat="1" x14ac:dyDescent="0.25"/>
    <row r="128506" customFormat="1" x14ac:dyDescent="0.25"/>
    <row r="128507" customFormat="1" x14ac:dyDescent="0.25"/>
    <row r="128508" customFormat="1" x14ac:dyDescent="0.25"/>
    <row r="128509" customFormat="1" x14ac:dyDescent="0.25"/>
    <row r="128510" customFormat="1" x14ac:dyDescent="0.25"/>
    <row r="128511" customFormat="1" x14ac:dyDescent="0.25"/>
    <row r="128512" customFormat="1" x14ac:dyDescent="0.25"/>
    <row r="128513" customFormat="1" x14ac:dyDescent="0.25"/>
    <row r="128514" customFormat="1" x14ac:dyDescent="0.25"/>
    <row r="128515" customFormat="1" x14ac:dyDescent="0.25"/>
    <row r="128516" customFormat="1" x14ac:dyDescent="0.25"/>
    <row r="128517" customFormat="1" x14ac:dyDescent="0.25"/>
    <row r="128518" customFormat="1" x14ac:dyDescent="0.25"/>
    <row r="128519" customFormat="1" x14ac:dyDescent="0.25"/>
    <row r="128520" customFormat="1" x14ac:dyDescent="0.25"/>
    <row r="128521" customFormat="1" x14ac:dyDescent="0.25"/>
    <row r="128522" customFormat="1" x14ac:dyDescent="0.25"/>
    <row r="128523" customFormat="1" x14ac:dyDescent="0.25"/>
    <row r="128524" customFormat="1" x14ac:dyDescent="0.25"/>
    <row r="128525" customFormat="1" x14ac:dyDescent="0.25"/>
    <row r="128526" customFormat="1" x14ac:dyDescent="0.25"/>
    <row r="128527" customFormat="1" x14ac:dyDescent="0.25"/>
    <row r="128528" customFormat="1" x14ac:dyDescent="0.25"/>
    <row r="128529" customFormat="1" x14ac:dyDescent="0.25"/>
    <row r="128530" customFormat="1" x14ac:dyDescent="0.25"/>
    <row r="128531" customFormat="1" x14ac:dyDescent="0.25"/>
    <row r="128532" customFormat="1" x14ac:dyDescent="0.25"/>
    <row r="128533" customFormat="1" x14ac:dyDescent="0.25"/>
    <row r="128534" customFormat="1" x14ac:dyDescent="0.25"/>
    <row r="128535" customFormat="1" x14ac:dyDescent="0.25"/>
    <row r="128536" customFormat="1" x14ac:dyDescent="0.25"/>
    <row r="128537" customFormat="1" x14ac:dyDescent="0.25"/>
    <row r="128538" customFormat="1" x14ac:dyDescent="0.25"/>
    <row r="128539" customFormat="1" x14ac:dyDescent="0.25"/>
    <row r="128540" customFormat="1" x14ac:dyDescent="0.25"/>
    <row r="128541" customFormat="1" x14ac:dyDescent="0.25"/>
    <row r="128542" customFormat="1" x14ac:dyDescent="0.25"/>
    <row r="128543" customFormat="1" x14ac:dyDescent="0.25"/>
    <row r="128544" customFormat="1" x14ac:dyDescent="0.25"/>
    <row r="128545" customFormat="1" x14ac:dyDescent="0.25"/>
    <row r="128546" customFormat="1" x14ac:dyDescent="0.25"/>
    <row r="128547" customFormat="1" x14ac:dyDescent="0.25"/>
    <row r="128548" customFormat="1" x14ac:dyDescent="0.25"/>
    <row r="128549" customFormat="1" x14ac:dyDescent="0.25"/>
    <row r="128550" customFormat="1" x14ac:dyDescent="0.25"/>
    <row r="128551" customFormat="1" x14ac:dyDescent="0.25"/>
    <row r="128552" customFormat="1" x14ac:dyDescent="0.25"/>
    <row r="128553" customFormat="1" x14ac:dyDescent="0.25"/>
    <row r="128554" customFormat="1" x14ac:dyDescent="0.25"/>
    <row r="128555" customFormat="1" x14ac:dyDescent="0.25"/>
    <row r="128556" customFormat="1" x14ac:dyDescent="0.25"/>
    <row r="128557" customFormat="1" x14ac:dyDescent="0.25"/>
    <row r="128558" customFormat="1" x14ac:dyDescent="0.25"/>
    <row r="128559" customFormat="1" x14ac:dyDescent="0.25"/>
    <row r="128560" customFormat="1" x14ac:dyDescent="0.25"/>
    <row r="128561" customFormat="1" x14ac:dyDescent="0.25"/>
    <row r="128562" customFormat="1" x14ac:dyDescent="0.25"/>
    <row r="128563" customFormat="1" x14ac:dyDescent="0.25"/>
    <row r="128564" customFormat="1" x14ac:dyDescent="0.25"/>
    <row r="128565" customFormat="1" x14ac:dyDescent="0.25"/>
    <row r="128566" customFormat="1" x14ac:dyDescent="0.25"/>
    <row r="128567" customFormat="1" x14ac:dyDescent="0.25"/>
    <row r="128568" customFormat="1" x14ac:dyDescent="0.25"/>
    <row r="128569" customFormat="1" x14ac:dyDescent="0.25"/>
    <row r="128570" customFormat="1" x14ac:dyDescent="0.25"/>
    <row r="128571" customFormat="1" x14ac:dyDescent="0.25"/>
    <row r="128572" customFormat="1" x14ac:dyDescent="0.25"/>
    <row r="128573" customFormat="1" x14ac:dyDescent="0.25"/>
    <row r="128574" customFormat="1" x14ac:dyDescent="0.25"/>
    <row r="128575" customFormat="1" x14ac:dyDescent="0.25"/>
    <row r="128576" customFormat="1" x14ac:dyDescent="0.25"/>
    <row r="128577" customFormat="1" x14ac:dyDescent="0.25"/>
    <row r="128578" customFormat="1" x14ac:dyDescent="0.25"/>
    <row r="128579" customFormat="1" x14ac:dyDescent="0.25"/>
    <row r="128580" customFormat="1" x14ac:dyDescent="0.25"/>
    <row r="128581" customFormat="1" x14ac:dyDescent="0.25"/>
    <row r="128582" customFormat="1" x14ac:dyDescent="0.25"/>
    <row r="128583" customFormat="1" x14ac:dyDescent="0.25"/>
    <row r="128584" customFormat="1" x14ac:dyDescent="0.25"/>
    <row r="128585" customFormat="1" x14ac:dyDescent="0.25"/>
    <row r="128586" customFormat="1" x14ac:dyDescent="0.25"/>
    <row r="128587" customFormat="1" x14ac:dyDescent="0.25"/>
    <row r="128588" customFormat="1" x14ac:dyDescent="0.25"/>
    <row r="128589" customFormat="1" x14ac:dyDescent="0.25"/>
    <row r="128590" customFormat="1" x14ac:dyDescent="0.25"/>
    <row r="128591" customFormat="1" x14ac:dyDescent="0.25"/>
    <row r="128592" customFormat="1" x14ac:dyDescent="0.25"/>
    <row r="128593" customFormat="1" x14ac:dyDescent="0.25"/>
    <row r="128594" customFormat="1" x14ac:dyDescent="0.25"/>
    <row r="128595" customFormat="1" x14ac:dyDescent="0.25"/>
    <row r="128596" customFormat="1" x14ac:dyDescent="0.25"/>
    <row r="128597" customFormat="1" x14ac:dyDescent="0.25"/>
    <row r="128598" customFormat="1" x14ac:dyDescent="0.25"/>
    <row r="128599" customFormat="1" x14ac:dyDescent="0.25"/>
    <row r="128600" customFormat="1" x14ac:dyDescent="0.25"/>
    <row r="128601" customFormat="1" x14ac:dyDescent="0.25"/>
    <row r="128602" customFormat="1" x14ac:dyDescent="0.25"/>
    <row r="128603" customFormat="1" x14ac:dyDescent="0.25"/>
    <row r="128604" customFormat="1" x14ac:dyDescent="0.25"/>
    <row r="128605" customFormat="1" x14ac:dyDescent="0.25"/>
    <row r="128606" customFormat="1" x14ac:dyDescent="0.25"/>
    <row r="128607" customFormat="1" x14ac:dyDescent="0.25"/>
    <row r="128608" customFormat="1" x14ac:dyDescent="0.25"/>
    <row r="128609" customFormat="1" x14ac:dyDescent="0.25"/>
    <row r="128610" customFormat="1" x14ac:dyDescent="0.25"/>
    <row r="128611" customFormat="1" x14ac:dyDescent="0.25"/>
    <row r="128612" customFormat="1" x14ac:dyDescent="0.25"/>
    <row r="128613" customFormat="1" x14ac:dyDescent="0.25"/>
    <row r="128614" customFormat="1" x14ac:dyDescent="0.25"/>
    <row r="128615" customFormat="1" x14ac:dyDescent="0.25"/>
    <row r="128616" customFormat="1" x14ac:dyDescent="0.25"/>
    <row r="128617" customFormat="1" x14ac:dyDescent="0.25"/>
    <row r="128618" customFormat="1" x14ac:dyDescent="0.25"/>
    <row r="128619" customFormat="1" x14ac:dyDescent="0.25"/>
    <row r="128620" customFormat="1" x14ac:dyDescent="0.25"/>
    <row r="128621" customFormat="1" x14ac:dyDescent="0.25"/>
    <row r="128622" customFormat="1" x14ac:dyDescent="0.25"/>
    <row r="128623" customFormat="1" x14ac:dyDescent="0.25"/>
    <row r="128624" customFormat="1" x14ac:dyDescent="0.25"/>
    <row r="128625" customFormat="1" x14ac:dyDescent="0.25"/>
    <row r="128626" customFormat="1" x14ac:dyDescent="0.25"/>
    <row r="128627" customFormat="1" x14ac:dyDescent="0.25"/>
    <row r="128628" customFormat="1" x14ac:dyDescent="0.25"/>
    <row r="128629" customFormat="1" x14ac:dyDescent="0.25"/>
    <row r="128630" customFormat="1" x14ac:dyDescent="0.25"/>
    <row r="128631" customFormat="1" x14ac:dyDescent="0.25"/>
    <row r="128632" customFormat="1" x14ac:dyDescent="0.25"/>
    <row r="128633" customFormat="1" x14ac:dyDescent="0.25"/>
    <row r="128634" customFormat="1" x14ac:dyDescent="0.25"/>
    <row r="128635" customFormat="1" x14ac:dyDescent="0.25"/>
    <row r="128636" customFormat="1" x14ac:dyDescent="0.25"/>
    <row r="128637" customFormat="1" x14ac:dyDescent="0.25"/>
    <row r="128638" customFormat="1" x14ac:dyDescent="0.25"/>
    <row r="128639" customFormat="1" x14ac:dyDescent="0.25"/>
    <row r="128640" customFormat="1" x14ac:dyDescent="0.25"/>
    <row r="128641" customFormat="1" x14ac:dyDescent="0.25"/>
    <row r="128642" customFormat="1" x14ac:dyDescent="0.25"/>
    <row r="128643" customFormat="1" x14ac:dyDescent="0.25"/>
    <row r="128644" customFormat="1" x14ac:dyDescent="0.25"/>
    <row r="128645" customFormat="1" x14ac:dyDescent="0.25"/>
    <row r="128646" customFormat="1" x14ac:dyDescent="0.25"/>
    <row r="128647" customFormat="1" x14ac:dyDescent="0.25"/>
    <row r="128648" customFormat="1" x14ac:dyDescent="0.25"/>
    <row r="128649" customFormat="1" x14ac:dyDescent="0.25"/>
    <row r="128650" customFormat="1" x14ac:dyDescent="0.25"/>
    <row r="128651" customFormat="1" x14ac:dyDescent="0.25"/>
    <row r="128652" customFormat="1" x14ac:dyDescent="0.25"/>
    <row r="128653" customFormat="1" x14ac:dyDescent="0.25"/>
    <row r="128654" customFormat="1" x14ac:dyDescent="0.25"/>
    <row r="128655" customFormat="1" x14ac:dyDescent="0.25"/>
    <row r="128656" customFormat="1" x14ac:dyDescent="0.25"/>
    <row r="128657" customFormat="1" x14ac:dyDescent="0.25"/>
    <row r="128658" customFormat="1" x14ac:dyDescent="0.25"/>
    <row r="128659" customFormat="1" x14ac:dyDescent="0.25"/>
    <row r="128660" customFormat="1" x14ac:dyDescent="0.25"/>
    <row r="128661" customFormat="1" x14ac:dyDescent="0.25"/>
    <row r="128662" customFormat="1" x14ac:dyDescent="0.25"/>
    <row r="128663" customFormat="1" x14ac:dyDescent="0.25"/>
    <row r="128664" customFormat="1" x14ac:dyDescent="0.25"/>
    <row r="128665" customFormat="1" x14ac:dyDescent="0.25"/>
    <row r="128666" customFormat="1" x14ac:dyDescent="0.25"/>
    <row r="128667" customFormat="1" x14ac:dyDescent="0.25"/>
    <row r="128668" customFormat="1" x14ac:dyDescent="0.25"/>
    <row r="128669" customFormat="1" x14ac:dyDescent="0.25"/>
    <row r="128670" customFormat="1" x14ac:dyDescent="0.25"/>
    <row r="128671" customFormat="1" x14ac:dyDescent="0.25"/>
    <row r="128672" customFormat="1" x14ac:dyDescent="0.25"/>
    <row r="128673" customFormat="1" x14ac:dyDescent="0.25"/>
    <row r="128674" customFormat="1" x14ac:dyDescent="0.25"/>
    <row r="128675" customFormat="1" x14ac:dyDescent="0.25"/>
    <row r="128676" customFormat="1" x14ac:dyDescent="0.25"/>
    <row r="128677" customFormat="1" x14ac:dyDescent="0.25"/>
    <row r="128678" customFormat="1" x14ac:dyDescent="0.25"/>
    <row r="128679" customFormat="1" x14ac:dyDescent="0.25"/>
    <row r="128680" customFormat="1" x14ac:dyDescent="0.25"/>
    <row r="128681" customFormat="1" x14ac:dyDescent="0.25"/>
    <row r="128682" customFormat="1" x14ac:dyDescent="0.25"/>
    <row r="128683" customFormat="1" x14ac:dyDescent="0.25"/>
    <row r="128684" customFormat="1" x14ac:dyDescent="0.25"/>
    <row r="128685" customFormat="1" x14ac:dyDescent="0.25"/>
    <row r="128686" customFormat="1" x14ac:dyDescent="0.25"/>
    <row r="128687" customFormat="1" x14ac:dyDescent="0.25"/>
    <row r="128688" customFormat="1" x14ac:dyDescent="0.25"/>
    <row r="128689" customFormat="1" x14ac:dyDescent="0.25"/>
    <row r="128690" customFormat="1" x14ac:dyDescent="0.25"/>
    <row r="128691" customFormat="1" x14ac:dyDescent="0.25"/>
    <row r="128692" customFormat="1" x14ac:dyDescent="0.25"/>
    <row r="128693" customFormat="1" x14ac:dyDescent="0.25"/>
    <row r="128694" customFormat="1" x14ac:dyDescent="0.25"/>
    <row r="128695" customFormat="1" x14ac:dyDescent="0.25"/>
    <row r="128696" customFormat="1" x14ac:dyDescent="0.25"/>
    <row r="128697" customFormat="1" x14ac:dyDescent="0.25"/>
    <row r="128698" customFormat="1" x14ac:dyDescent="0.25"/>
    <row r="128699" customFormat="1" x14ac:dyDescent="0.25"/>
    <row r="128700" customFormat="1" x14ac:dyDescent="0.25"/>
    <row r="128701" customFormat="1" x14ac:dyDescent="0.25"/>
    <row r="128702" customFormat="1" x14ac:dyDescent="0.25"/>
    <row r="128703" customFormat="1" x14ac:dyDescent="0.25"/>
    <row r="128704" customFormat="1" x14ac:dyDescent="0.25"/>
    <row r="128705" customFormat="1" x14ac:dyDescent="0.25"/>
    <row r="128706" customFormat="1" x14ac:dyDescent="0.25"/>
    <row r="128707" customFormat="1" x14ac:dyDescent="0.25"/>
    <row r="128708" customFormat="1" x14ac:dyDescent="0.25"/>
    <row r="128709" customFormat="1" x14ac:dyDescent="0.25"/>
    <row r="128710" customFormat="1" x14ac:dyDescent="0.25"/>
    <row r="128711" customFormat="1" x14ac:dyDescent="0.25"/>
    <row r="128712" customFormat="1" x14ac:dyDescent="0.25"/>
    <row r="128713" customFormat="1" x14ac:dyDescent="0.25"/>
    <row r="128714" customFormat="1" x14ac:dyDescent="0.25"/>
    <row r="128715" customFormat="1" x14ac:dyDescent="0.25"/>
    <row r="128716" customFormat="1" x14ac:dyDescent="0.25"/>
    <row r="128717" customFormat="1" x14ac:dyDescent="0.25"/>
    <row r="128718" customFormat="1" x14ac:dyDescent="0.25"/>
    <row r="128719" customFormat="1" x14ac:dyDescent="0.25"/>
    <row r="128720" customFormat="1" x14ac:dyDescent="0.25"/>
    <row r="128721" customFormat="1" x14ac:dyDescent="0.25"/>
    <row r="128722" customFormat="1" x14ac:dyDescent="0.25"/>
    <row r="128723" customFormat="1" x14ac:dyDescent="0.25"/>
    <row r="128724" customFormat="1" x14ac:dyDescent="0.25"/>
    <row r="128725" customFormat="1" x14ac:dyDescent="0.25"/>
    <row r="128726" customFormat="1" x14ac:dyDescent="0.25"/>
    <row r="128727" customFormat="1" x14ac:dyDescent="0.25"/>
    <row r="128728" customFormat="1" x14ac:dyDescent="0.25"/>
    <row r="128729" customFormat="1" x14ac:dyDescent="0.25"/>
    <row r="128730" customFormat="1" x14ac:dyDescent="0.25"/>
    <row r="128731" customFormat="1" x14ac:dyDescent="0.25"/>
    <row r="128732" customFormat="1" x14ac:dyDescent="0.25"/>
    <row r="128733" customFormat="1" x14ac:dyDescent="0.25"/>
    <row r="128734" customFormat="1" x14ac:dyDescent="0.25"/>
    <row r="128735" customFormat="1" x14ac:dyDescent="0.25"/>
    <row r="128736" customFormat="1" x14ac:dyDescent="0.25"/>
    <row r="128737" customFormat="1" x14ac:dyDescent="0.25"/>
    <row r="128738" customFormat="1" x14ac:dyDescent="0.25"/>
    <row r="128739" customFormat="1" x14ac:dyDescent="0.25"/>
    <row r="128740" customFormat="1" x14ac:dyDescent="0.25"/>
    <row r="128741" customFormat="1" x14ac:dyDescent="0.25"/>
    <row r="128742" customFormat="1" x14ac:dyDescent="0.25"/>
    <row r="128743" customFormat="1" x14ac:dyDescent="0.25"/>
    <row r="128744" customFormat="1" x14ac:dyDescent="0.25"/>
    <row r="128745" customFormat="1" x14ac:dyDescent="0.25"/>
    <row r="128746" customFormat="1" x14ac:dyDescent="0.25"/>
    <row r="128747" customFormat="1" x14ac:dyDescent="0.25"/>
    <row r="128748" customFormat="1" x14ac:dyDescent="0.25"/>
    <row r="128749" customFormat="1" x14ac:dyDescent="0.25"/>
    <row r="128750" customFormat="1" x14ac:dyDescent="0.25"/>
    <row r="128751" customFormat="1" x14ac:dyDescent="0.25"/>
    <row r="128752" customFormat="1" x14ac:dyDescent="0.25"/>
    <row r="128753" customFormat="1" x14ac:dyDescent="0.25"/>
    <row r="128754" customFormat="1" x14ac:dyDescent="0.25"/>
    <row r="128755" customFormat="1" x14ac:dyDescent="0.25"/>
    <row r="128756" customFormat="1" x14ac:dyDescent="0.25"/>
    <row r="128757" customFormat="1" x14ac:dyDescent="0.25"/>
    <row r="128758" customFormat="1" x14ac:dyDescent="0.25"/>
    <row r="128759" customFormat="1" x14ac:dyDescent="0.25"/>
    <row r="128760" customFormat="1" x14ac:dyDescent="0.25"/>
    <row r="128761" customFormat="1" x14ac:dyDescent="0.25"/>
    <row r="128762" customFormat="1" x14ac:dyDescent="0.25"/>
    <row r="128763" customFormat="1" x14ac:dyDescent="0.25"/>
    <row r="128764" customFormat="1" x14ac:dyDescent="0.25"/>
    <row r="128765" customFormat="1" x14ac:dyDescent="0.25"/>
    <row r="128766" customFormat="1" x14ac:dyDescent="0.25"/>
    <row r="128767" customFormat="1" x14ac:dyDescent="0.25"/>
    <row r="128768" customFormat="1" x14ac:dyDescent="0.25"/>
    <row r="128769" customFormat="1" x14ac:dyDescent="0.25"/>
    <row r="128770" customFormat="1" x14ac:dyDescent="0.25"/>
    <row r="128771" customFormat="1" x14ac:dyDescent="0.25"/>
    <row r="128772" customFormat="1" x14ac:dyDescent="0.25"/>
    <row r="128773" customFormat="1" x14ac:dyDescent="0.25"/>
    <row r="128774" customFormat="1" x14ac:dyDescent="0.25"/>
    <row r="128775" customFormat="1" x14ac:dyDescent="0.25"/>
    <row r="128776" customFormat="1" x14ac:dyDescent="0.25"/>
    <row r="128777" customFormat="1" x14ac:dyDescent="0.25"/>
    <row r="128778" customFormat="1" x14ac:dyDescent="0.25"/>
    <row r="128779" customFormat="1" x14ac:dyDescent="0.25"/>
    <row r="128780" customFormat="1" x14ac:dyDescent="0.25"/>
    <row r="128781" customFormat="1" x14ac:dyDescent="0.25"/>
    <row r="128782" customFormat="1" x14ac:dyDescent="0.25"/>
    <row r="128783" customFormat="1" x14ac:dyDescent="0.25"/>
    <row r="128784" customFormat="1" x14ac:dyDescent="0.25"/>
    <row r="128785" customFormat="1" x14ac:dyDescent="0.25"/>
    <row r="128786" customFormat="1" x14ac:dyDescent="0.25"/>
    <row r="128787" customFormat="1" x14ac:dyDescent="0.25"/>
    <row r="128788" customFormat="1" x14ac:dyDescent="0.25"/>
    <row r="128789" customFormat="1" x14ac:dyDescent="0.25"/>
    <row r="128790" customFormat="1" x14ac:dyDescent="0.25"/>
    <row r="128791" customFormat="1" x14ac:dyDescent="0.25"/>
    <row r="128792" customFormat="1" x14ac:dyDescent="0.25"/>
    <row r="128793" customFormat="1" x14ac:dyDescent="0.25"/>
    <row r="128794" customFormat="1" x14ac:dyDescent="0.25"/>
    <row r="128795" customFormat="1" x14ac:dyDescent="0.25"/>
    <row r="128796" customFormat="1" x14ac:dyDescent="0.25"/>
    <row r="128797" customFormat="1" x14ac:dyDescent="0.25"/>
    <row r="128798" customFormat="1" x14ac:dyDescent="0.25"/>
    <row r="128799" customFormat="1" x14ac:dyDescent="0.25"/>
    <row r="128800" customFormat="1" x14ac:dyDescent="0.25"/>
    <row r="128801" customFormat="1" x14ac:dyDescent="0.25"/>
    <row r="128802" customFormat="1" x14ac:dyDescent="0.25"/>
    <row r="128803" customFormat="1" x14ac:dyDescent="0.25"/>
    <row r="128804" customFormat="1" x14ac:dyDescent="0.25"/>
    <row r="128805" customFormat="1" x14ac:dyDescent="0.25"/>
    <row r="128806" customFormat="1" x14ac:dyDescent="0.25"/>
    <row r="128807" customFormat="1" x14ac:dyDescent="0.25"/>
    <row r="128808" customFormat="1" x14ac:dyDescent="0.25"/>
    <row r="128809" customFormat="1" x14ac:dyDescent="0.25"/>
    <row r="128810" customFormat="1" x14ac:dyDescent="0.25"/>
    <row r="128811" customFormat="1" x14ac:dyDescent="0.25"/>
    <row r="128812" customFormat="1" x14ac:dyDescent="0.25"/>
    <row r="128813" customFormat="1" x14ac:dyDescent="0.25"/>
    <row r="128814" customFormat="1" x14ac:dyDescent="0.25"/>
    <row r="128815" customFormat="1" x14ac:dyDescent="0.25"/>
    <row r="128816" customFormat="1" x14ac:dyDescent="0.25"/>
    <row r="128817" customFormat="1" x14ac:dyDescent="0.25"/>
    <row r="128818" customFormat="1" x14ac:dyDescent="0.25"/>
    <row r="128819" customFormat="1" x14ac:dyDescent="0.25"/>
    <row r="128820" customFormat="1" x14ac:dyDescent="0.25"/>
    <row r="128821" customFormat="1" x14ac:dyDescent="0.25"/>
    <row r="128822" customFormat="1" x14ac:dyDescent="0.25"/>
    <row r="128823" customFormat="1" x14ac:dyDescent="0.25"/>
    <row r="128824" customFormat="1" x14ac:dyDescent="0.25"/>
    <row r="128825" customFormat="1" x14ac:dyDescent="0.25"/>
    <row r="128826" customFormat="1" x14ac:dyDescent="0.25"/>
    <row r="128827" customFormat="1" x14ac:dyDescent="0.25"/>
    <row r="128828" customFormat="1" x14ac:dyDescent="0.25"/>
    <row r="128829" customFormat="1" x14ac:dyDescent="0.25"/>
    <row r="128830" customFormat="1" x14ac:dyDescent="0.25"/>
    <row r="128831" customFormat="1" x14ac:dyDescent="0.25"/>
    <row r="128832" customFormat="1" x14ac:dyDescent="0.25"/>
    <row r="128833" customFormat="1" x14ac:dyDescent="0.25"/>
    <row r="128834" customFormat="1" x14ac:dyDescent="0.25"/>
    <row r="128835" customFormat="1" x14ac:dyDescent="0.25"/>
    <row r="128836" customFormat="1" x14ac:dyDescent="0.25"/>
    <row r="128837" customFormat="1" x14ac:dyDescent="0.25"/>
    <row r="128838" customFormat="1" x14ac:dyDescent="0.25"/>
    <row r="128839" customFormat="1" x14ac:dyDescent="0.25"/>
    <row r="128840" customFormat="1" x14ac:dyDescent="0.25"/>
    <row r="128841" customFormat="1" x14ac:dyDescent="0.25"/>
    <row r="128842" customFormat="1" x14ac:dyDescent="0.25"/>
    <row r="128843" customFormat="1" x14ac:dyDescent="0.25"/>
    <row r="128844" customFormat="1" x14ac:dyDescent="0.25"/>
    <row r="128845" customFormat="1" x14ac:dyDescent="0.25"/>
    <row r="128846" customFormat="1" x14ac:dyDescent="0.25"/>
    <row r="128847" customFormat="1" x14ac:dyDescent="0.25"/>
    <row r="128848" customFormat="1" x14ac:dyDescent="0.25"/>
    <row r="128849" customFormat="1" x14ac:dyDescent="0.25"/>
    <row r="128850" customFormat="1" x14ac:dyDescent="0.25"/>
    <row r="128851" customFormat="1" x14ac:dyDescent="0.25"/>
    <row r="128852" customFormat="1" x14ac:dyDescent="0.25"/>
    <row r="128853" customFormat="1" x14ac:dyDescent="0.25"/>
    <row r="128854" customFormat="1" x14ac:dyDescent="0.25"/>
    <row r="128855" customFormat="1" x14ac:dyDescent="0.25"/>
    <row r="128856" customFormat="1" x14ac:dyDescent="0.25"/>
    <row r="128857" customFormat="1" x14ac:dyDescent="0.25"/>
    <row r="128858" customFormat="1" x14ac:dyDescent="0.25"/>
    <row r="128859" customFormat="1" x14ac:dyDescent="0.25"/>
    <row r="128860" customFormat="1" x14ac:dyDescent="0.25"/>
    <row r="128861" customFormat="1" x14ac:dyDescent="0.25"/>
    <row r="128862" customFormat="1" x14ac:dyDescent="0.25"/>
    <row r="128863" customFormat="1" x14ac:dyDescent="0.25"/>
    <row r="128864" customFormat="1" x14ac:dyDescent="0.25"/>
    <row r="128865" customFormat="1" x14ac:dyDescent="0.25"/>
    <row r="128866" customFormat="1" x14ac:dyDescent="0.25"/>
    <row r="128867" customFormat="1" x14ac:dyDescent="0.25"/>
    <row r="128868" customFormat="1" x14ac:dyDescent="0.25"/>
    <row r="128869" customFormat="1" x14ac:dyDescent="0.25"/>
    <row r="128870" customFormat="1" x14ac:dyDescent="0.25"/>
    <row r="128871" customFormat="1" x14ac:dyDescent="0.25"/>
    <row r="128872" customFormat="1" x14ac:dyDescent="0.25"/>
    <row r="128873" customFormat="1" x14ac:dyDescent="0.25"/>
    <row r="128874" customFormat="1" x14ac:dyDescent="0.25"/>
    <row r="128875" customFormat="1" x14ac:dyDescent="0.25"/>
    <row r="128876" customFormat="1" x14ac:dyDescent="0.25"/>
    <row r="128877" customFormat="1" x14ac:dyDescent="0.25"/>
    <row r="128878" customFormat="1" x14ac:dyDescent="0.25"/>
    <row r="128879" customFormat="1" x14ac:dyDescent="0.25"/>
    <row r="128880" customFormat="1" x14ac:dyDescent="0.25"/>
    <row r="128881" customFormat="1" x14ac:dyDescent="0.25"/>
    <row r="128882" customFormat="1" x14ac:dyDescent="0.25"/>
    <row r="128883" customFormat="1" x14ac:dyDescent="0.25"/>
    <row r="128884" customFormat="1" x14ac:dyDescent="0.25"/>
    <row r="128885" customFormat="1" x14ac:dyDescent="0.25"/>
    <row r="128886" customFormat="1" x14ac:dyDescent="0.25"/>
    <row r="128887" customFormat="1" x14ac:dyDescent="0.25"/>
    <row r="128888" customFormat="1" x14ac:dyDescent="0.25"/>
    <row r="128889" customFormat="1" x14ac:dyDescent="0.25"/>
    <row r="128890" customFormat="1" x14ac:dyDescent="0.25"/>
    <row r="128891" customFormat="1" x14ac:dyDescent="0.25"/>
    <row r="128892" customFormat="1" x14ac:dyDescent="0.25"/>
    <row r="128893" customFormat="1" x14ac:dyDescent="0.25"/>
    <row r="128894" customFormat="1" x14ac:dyDescent="0.25"/>
    <row r="128895" customFormat="1" x14ac:dyDescent="0.25"/>
    <row r="128896" customFormat="1" x14ac:dyDescent="0.25"/>
    <row r="128897" customFormat="1" x14ac:dyDescent="0.25"/>
    <row r="128898" customFormat="1" x14ac:dyDescent="0.25"/>
    <row r="128899" customFormat="1" x14ac:dyDescent="0.25"/>
    <row r="128900" customFormat="1" x14ac:dyDescent="0.25"/>
    <row r="128901" customFormat="1" x14ac:dyDescent="0.25"/>
    <row r="128902" customFormat="1" x14ac:dyDescent="0.25"/>
    <row r="128903" customFormat="1" x14ac:dyDescent="0.25"/>
    <row r="128904" customFormat="1" x14ac:dyDescent="0.25"/>
    <row r="128905" customFormat="1" x14ac:dyDescent="0.25"/>
    <row r="128906" customFormat="1" x14ac:dyDescent="0.25"/>
    <row r="128907" customFormat="1" x14ac:dyDescent="0.25"/>
    <row r="128908" customFormat="1" x14ac:dyDescent="0.25"/>
    <row r="128909" customFormat="1" x14ac:dyDescent="0.25"/>
    <row r="128910" customFormat="1" x14ac:dyDescent="0.25"/>
    <row r="128911" customFormat="1" x14ac:dyDescent="0.25"/>
    <row r="128912" customFormat="1" x14ac:dyDescent="0.25"/>
    <row r="128913" customFormat="1" x14ac:dyDescent="0.25"/>
    <row r="128914" customFormat="1" x14ac:dyDescent="0.25"/>
    <row r="128915" customFormat="1" x14ac:dyDescent="0.25"/>
    <row r="128916" customFormat="1" x14ac:dyDescent="0.25"/>
    <row r="128917" customFormat="1" x14ac:dyDescent="0.25"/>
    <row r="128918" customFormat="1" x14ac:dyDescent="0.25"/>
    <row r="128919" customFormat="1" x14ac:dyDescent="0.25"/>
    <row r="128920" customFormat="1" x14ac:dyDescent="0.25"/>
    <row r="128921" customFormat="1" x14ac:dyDescent="0.25"/>
    <row r="128922" customFormat="1" x14ac:dyDescent="0.25"/>
    <row r="128923" customFormat="1" x14ac:dyDescent="0.25"/>
    <row r="128924" customFormat="1" x14ac:dyDescent="0.25"/>
    <row r="128925" customFormat="1" x14ac:dyDescent="0.25"/>
    <row r="128926" customFormat="1" x14ac:dyDescent="0.25"/>
    <row r="128927" customFormat="1" x14ac:dyDescent="0.25"/>
    <row r="128928" customFormat="1" x14ac:dyDescent="0.25"/>
    <row r="128929" customFormat="1" x14ac:dyDescent="0.25"/>
    <row r="128930" customFormat="1" x14ac:dyDescent="0.25"/>
    <row r="128931" customFormat="1" x14ac:dyDescent="0.25"/>
    <row r="128932" customFormat="1" x14ac:dyDescent="0.25"/>
    <row r="128933" customFormat="1" x14ac:dyDescent="0.25"/>
    <row r="128934" customFormat="1" x14ac:dyDescent="0.25"/>
    <row r="128935" customFormat="1" x14ac:dyDescent="0.25"/>
    <row r="128936" customFormat="1" x14ac:dyDescent="0.25"/>
    <row r="128937" customFormat="1" x14ac:dyDescent="0.25"/>
    <row r="128938" customFormat="1" x14ac:dyDescent="0.25"/>
    <row r="128939" customFormat="1" x14ac:dyDescent="0.25"/>
    <row r="128940" customFormat="1" x14ac:dyDescent="0.25"/>
    <row r="128941" customFormat="1" x14ac:dyDescent="0.25"/>
    <row r="128942" customFormat="1" x14ac:dyDescent="0.25"/>
    <row r="128943" customFormat="1" x14ac:dyDescent="0.25"/>
    <row r="128944" customFormat="1" x14ac:dyDescent="0.25"/>
    <row r="128945" customFormat="1" x14ac:dyDescent="0.25"/>
    <row r="128946" customFormat="1" x14ac:dyDescent="0.25"/>
    <row r="128947" customFormat="1" x14ac:dyDescent="0.25"/>
    <row r="128948" customFormat="1" x14ac:dyDescent="0.25"/>
    <row r="128949" customFormat="1" x14ac:dyDescent="0.25"/>
    <row r="128950" customFormat="1" x14ac:dyDescent="0.25"/>
    <row r="128951" customFormat="1" x14ac:dyDescent="0.25"/>
    <row r="128952" customFormat="1" x14ac:dyDescent="0.25"/>
    <row r="128953" customFormat="1" x14ac:dyDescent="0.25"/>
    <row r="128954" customFormat="1" x14ac:dyDescent="0.25"/>
    <row r="128955" customFormat="1" x14ac:dyDescent="0.25"/>
    <row r="128956" customFormat="1" x14ac:dyDescent="0.25"/>
    <row r="128957" customFormat="1" x14ac:dyDescent="0.25"/>
    <row r="128958" customFormat="1" x14ac:dyDescent="0.25"/>
    <row r="128959" customFormat="1" x14ac:dyDescent="0.25"/>
    <row r="128960" customFormat="1" x14ac:dyDescent="0.25"/>
    <row r="128961" customFormat="1" x14ac:dyDescent="0.25"/>
    <row r="128962" customFormat="1" x14ac:dyDescent="0.25"/>
    <row r="128963" customFormat="1" x14ac:dyDescent="0.25"/>
    <row r="128964" customFormat="1" x14ac:dyDescent="0.25"/>
    <row r="128965" customFormat="1" x14ac:dyDescent="0.25"/>
    <row r="128966" customFormat="1" x14ac:dyDescent="0.25"/>
    <row r="128967" customFormat="1" x14ac:dyDescent="0.25"/>
    <row r="128968" customFormat="1" x14ac:dyDescent="0.25"/>
    <row r="128969" customFormat="1" x14ac:dyDescent="0.25"/>
    <row r="128970" customFormat="1" x14ac:dyDescent="0.25"/>
    <row r="128971" customFormat="1" x14ac:dyDescent="0.25"/>
    <row r="128972" customFormat="1" x14ac:dyDescent="0.25"/>
    <row r="128973" customFormat="1" x14ac:dyDescent="0.25"/>
    <row r="128974" customFormat="1" x14ac:dyDescent="0.25"/>
    <row r="128975" customFormat="1" x14ac:dyDescent="0.25"/>
    <row r="128976" customFormat="1" x14ac:dyDescent="0.25"/>
    <row r="128977" customFormat="1" x14ac:dyDescent="0.25"/>
    <row r="128978" customFormat="1" x14ac:dyDescent="0.25"/>
    <row r="128979" customFormat="1" x14ac:dyDescent="0.25"/>
    <row r="128980" customFormat="1" x14ac:dyDescent="0.25"/>
    <row r="128981" customFormat="1" x14ac:dyDescent="0.25"/>
    <row r="128982" customFormat="1" x14ac:dyDescent="0.25"/>
    <row r="128983" customFormat="1" x14ac:dyDescent="0.25"/>
    <row r="128984" customFormat="1" x14ac:dyDescent="0.25"/>
    <row r="128985" customFormat="1" x14ac:dyDescent="0.25"/>
    <row r="128986" customFormat="1" x14ac:dyDescent="0.25"/>
    <row r="128987" customFormat="1" x14ac:dyDescent="0.25"/>
    <row r="128988" customFormat="1" x14ac:dyDescent="0.25"/>
    <row r="128989" customFormat="1" x14ac:dyDescent="0.25"/>
    <row r="128990" customFormat="1" x14ac:dyDescent="0.25"/>
    <row r="128991" customFormat="1" x14ac:dyDescent="0.25"/>
    <row r="128992" customFormat="1" x14ac:dyDescent="0.25"/>
    <row r="128993" customFormat="1" x14ac:dyDescent="0.25"/>
    <row r="128994" customFormat="1" x14ac:dyDescent="0.25"/>
    <row r="128995" customFormat="1" x14ac:dyDescent="0.25"/>
    <row r="128996" customFormat="1" x14ac:dyDescent="0.25"/>
    <row r="128997" customFormat="1" x14ac:dyDescent="0.25"/>
    <row r="128998" customFormat="1" x14ac:dyDescent="0.25"/>
    <row r="128999" customFormat="1" x14ac:dyDescent="0.25"/>
    <row r="129000" customFormat="1" x14ac:dyDescent="0.25"/>
    <row r="129001" customFormat="1" x14ac:dyDescent="0.25"/>
    <row r="129002" customFormat="1" x14ac:dyDescent="0.25"/>
    <row r="129003" customFormat="1" x14ac:dyDescent="0.25"/>
    <row r="129004" customFormat="1" x14ac:dyDescent="0.25"/>
    <row r="129005" customFormat="1" x14ac:dyDescent="0.25"/>
    <row r="129006" customFormat="1" x14ac:dyDescent="0.25"/>
    <row r="129007" customFormat="1" x14ac:dyDescent="0.25"/>
    <row r="129008" customFormat="1" x14ac:dyDescent="0.25"/>
    <row r="129009" customFormat="1" x14ac:dyDescent="0.25"/>
    <row r="129010" customFormat="1" x14ac:dyDescent="0.25"/>
    <row r="129011" customFormat="1" x14ac:dyDescent="0.25"/>
    <row r="129012" customFormat="1" x14ac:dyDescent="0.25"/>
    <row r="129013" customFormat="1" x14ac:dyDescent="0.25"/>
    <row r="129014" customFormat="1" x14ac:dyDescent="0.25"/>
    <row r="129015" customFormat="1" x14ac:dyDescent="0.25"/>
    <row r="129016" customFormat="1" x14ac:dyDescent="0.25"/>
    <row r="129017" customFormat="1" x14ac:dyDescent="0.25"/>
    <row r="129018" customFormat="1" x14ac:dyDescent="0.25"/>
    <row r="129019" customFormat="1" x14ac:dyDescent="0.25"/>
    <row r="129020" customFormat="1" x14ac:dyDescent="0.25"/>
    <row r="129021" customFormat="1" x14ac:dyDescent="0.25"/>
    <row r="129022" customFormat="1" x14ac:dyDescent="0.25"/>
    <row r="129023" customFormat="1" x14ac:dyDescent="0.25"/>
    <row r="129024" customFormat="1" x14ac:dyDescent="0.25"/>
    <row r="129025" customFormat="1" x14ac:dyDescent="0.25"/>
    <row r="129026" customFormat="1" x14ac:dyDescent="0.25"/>
    <row r="129027" customFormat="1" x14ac:dyDescent="0.25"/>
    <row r="129028" customFormat="1" x14ac:dyDescent="0.25"/>
    <row r="129029" customFormat="1" x14ac:dyDescent="0.25"/>
    <row r="129030" customFormat="1" x14ac:dyDescent="0.25"/>
    <row r="129031" customFormat="1" x14ac:dyDescent="0.25"/>
    <row r="129032" customFormat="1" x14ac:dyDescent="0.25"/>
    <row r="129033" customFormat="1" x14ac:dyDescent="0.25"/>
    <row r="129034" customFormat="1" x14ac:dyDescent="0.25"/>
    <row r="129035" customFormat="1" x14ac:dyDescent="0.25"/>
    <row r="129036" customFormat="1" x14ac:dyDescent="0.25"/>
    <row r="129037" customFormat="1" x14ac:dyDescent="0.25"/>
    <row r="129038" customFormat="1" x14ac:dyDescent="0.25"/>
    <row r="129039" customFormat="1" x14ac:dyDescent="0.25"/>
    <row r="129040" customFormat="1" x14ac:dyDescent="0.25"/>
    <row r="129041" customFormat="1" x14ac:dyDescent="0.25"/>
    <row r="129042" customFormat="1" x14ac:dyDescent="0.25"/>
    <row r="129043" customFormat="1" x14ac:dyDescent="0.25"/>
    <row r="129044" customFormat="1" x14ac:dyDescent="0.25"/>
    <row r="129045" customFormat="1" x14ac:dyDescent="0.25"/>
    <row r="129046" customFormat="1" x14ac:dyDescent="0.25"/>
    <row r="129047" customFormat="1" x14ac:dyDescent="0.25"/>
    <row r="129048" customFormat="1" x14ac:dyDescent="0.25"/>
    <row r="129049" customFormat="1" x14ac:dyDescent="0.25"/>
    <row r="129050" customFormat="1" x14ac:dyDescent="0.25"/>
    <row r="129051" customFormat="1" x14ac:dyDescent="0.25"/>
    <row r="129052" customFormat="1" x14ac:dyDescent="0.25"/>
    <row r="129053" customFormat="1" x14ac:dyDescent="0.25"/>
    <row r="129054" customFormat="1" x14ac:dyDescent="0.25"/>
    <row r="129055" customFormat="1" x14ac:dyDescent="0.25"/>
    <row r="129056" customFormat="1" x14ac:dyDescent="0.25"/>
    <row r="129057" customFormat="1" x14ac:dyDescent="0.25"/>
    <row r="129058" customFormat="1" x14ac:dyDescent="0.25"/>
    <row r="129059" customFormat="1" x14ac:dyDescent="0.25"/>
    <row r="129060" customFormat="1" x14ac:dyDescent="0.25"/>
    <row r="129061" customFormat="1" x14ac:dyDescent="0.25"/>
    <row r="129062" customFormat="1" x14ac:dyDescent="0.25"/>
    <row r="129063" customFormat="1" x14ac:dyDescent="0.25"/>
    <row r="129064" customFormat="1" x14ac:dyDescent="0.25"/>
    <row r="129065" customFormat="1" x14ac:dyDescent="0.25"/>
    <row r="129066" customFormat="1" x14ac:dyDescent="0.25"/>
    <row r="129067" customFormat="1" x14ac:dyDescent="0.25"/>
    <row r="129068" customFormat="1" x14ac:dyDescent="0.25"/>
    <row r="129069" customFormat="1" x14ac:dyDescent="0.25"/>
    <row r="129070" customFormat="1" x14ac:dyDescent="0.25"/>
    <row r="129071" customFormat="1" x14ac:dyDescent="0.25"/>
    <row r="129072" customFormat="1" x14ac:dyDescent="0.25"/>
    <row r="129073" customFormat="1" x14ac:dyDescent="0.25"/>
    <row r="129074" customFormat="1" x14ac:dyDescent="0.25"/>
    <row r="129075" customFormat="1" x14ac:dyDescent="0.25"/>
    <row r="129076" customFormat="1" x14ac:dyDescent="0.25"/>
    <row r="129077" customFormat="1" x14ac:dyDescent="0.25"/>
    <row r="129078" customFormat="1" x14ac:dyDescent="0.25"/>
    <row r="129079" customFormat="1" x14ac:dyDescent="0.25"/>
    <row r="129080" customFormat="1" x14ac:dyDescent="0.25"/>
    <row r="129081" customFormat="1" x14ac:dyDescent="0.25"/>
    <row r="129082" customFormat="1" x14ac:dyDescent="0.25"/>
    <row r="129083" customFormat="1" x14ac:dyDescent="0.25"/>
    <row r="129084" customFormat="1" x14ac:dyDescent="0.25"/>
    <row r="129085" customFormat="1" x14ac:dyDescent="0.25"/>
    <row r="129086" customFormat="1" x14ac:dyDescent="0.25"/>
    <row r="129087" customFormat="1" x14ac:dyDescent="0.25"/>
    <row r="129088" customFormat="1" x14ac:dyDescent="0.25"/>
    <row r="129089" customFormat="1" x14ac:dyDescent="0.25"/>
    <row r="129090" customFormat="1" x14ac:dyDescent="0.25"/>
    <row r="129091" customFormat="1" x14ac:dyDescent="0.25"/>
    <row r="129092" customFormat="1" x14ac:dyDescent="0.25"/>
    <row r="129093" customFormat="1" x14ac:dyDescent="0.25"/>
    <row r="129094" customFormat="1" x14ac:dyDescent="0.25"/>
    <row r="129095" customFormat="1" x14ac:dyDescent="0.25"/>
    <row r="129096" customFormat="1" x14ac:dyDescent="0.25"/>
    <row r="129097" customFormat="1" x14ac:dyDescent="0.25"/>
    <row r="129098" customFormat="1" x14ac:dyDescent="0.25"/>
    <row r="129099" customFormat="1" x14ac:dyDescent="0.25"/>
    <row r="129100" customFormat="1" x14ac:dyDescent="0.25"/>
    <row r="129101" customFormat="1" x14ac:dyDescent="0.25"/>
    <row r="129102" customFormat="1" x14ac:dyDescent="0.25"/>
    <row r="129103" customFormat="1" x14ac:dyDescent="0.25"/>
    <row r="129104" customFormat="1" x14ac:dyDescent="0.25"/>
    <row r="129105" customFormat="1" x14ac:dyDescent="0.25"/>
    <row r="129106" customFormat="1" x14ac:dyDescent="0.25"/>
    <row r="129107" customFormat="1" x14ac:dyDescent="0.25"/>
    <row r="129108" customFormat="1" x14ac:dyDescent="0.25"/>
    <row r="129109" customFormat="1" x14ac:dyDescent="0.25"/>
    <row r="129110" customFormat="1" x14ac:dyDescent="0.25"/>
    <row r="129111" customFormat="1" x14ac:dyDescent="0.25"/>
    <row r="129112" customFormat="1" x14ac:dyDescent="0.25"/>
    <row r="129113" customFormat="1" x14ac:dyDescent="0.25"/>
    <row r="129114" customFormat="1" x14ac:dyDescent="0.25"/>
    <row r="129115" customFormat="1" x14ac:dyDescent="0.25"/>
    <row r="129116" customFormat="1" x14ac:dyDescent="0.25"/>
    <row r="129117" customFormat="1" x14ac:dyDescent="0.25"/>
    <row r="129118" customFormat="1" x14ac:dyDescent="0.25"/>
    <row r="129119" customFormat="1" x14ac:dyDescent="0.25"/>
    <row r="129120" customFormat="1" x14ac:dyDescent="0.25"/>
    <row r="129121" customFormat="1" x14ac:dyDescent="0.25"/>
    <row r="129122" customFormat="1" x14ac:dyDescent="0.25"/>
    <row r="129123" customFormat="1" x14ac:dyDescent="0.25"/>
    <row r="129124" customFormat="1" x14ac:dyDescent="0.25"/>
    <row r="129125" customFormat="1" x14ac:dyDescent="0.25"/>
    <row r="129126" customFormat="1" x14ac:dyDescent="0.25"/>
    <row r="129127" customFormat="1" x14ac:dyDescent="0.25"/>
    <row r="129128" customFormat="1" x14ac:dyDescent="0.25"/>
    <row r="129129" customFormat="1" x14ac:dyDescent="0.25"/>
    <row r="129130" customFormat="1" x14ac:dyDescent="0.25"/>
    <row r="129131" customFormat="1" x14ac:dyDescent="0.25"/>
    <row r="129132" customFormat="1" x14ac:dyDescent="0.25"/>
    <row r="129133" customFormat="1" x14ac:dyDescent="0.25"/>
    <row r="129134" customFormat="1" x14ac:dyDescent="0.25"/>
    <row r="129135" customFormat="1" x14ac:dyDescent="0.25"/>
    <row r="129136" customFormat="1" x14ac:dyDescent="0.25"/>
    <row r="129137" customFormat="1" x14ac:dyDescent="0.25"/>
    <row r="129138" customFormat="1" x14ac:dyDescent="0.25"/>
    <row r="129139" customFormat="1" x14ac:dyDescent="0.25"/>
    <row r="129140" customFormat="1" x14ac:dyDescent="0.25"/>
    <row r="129141" customFormat="1" x14ac:dyDescent="0.25"/>
    <row r="129142" customFormat="1" x14ac:dyDescent="0.25"/>
    <row r="129143" customFormat="1" x14ac:dyDescent="0.25"/>
    <row r="129144" customFormat="1" x14ac:dyDescent="0.25"/>
    <row r="129145" customFormat="1" x14ac:dyDescent="0.25"/>
    <row r="129146" customFormat="1" x14ac:dyDescent="0.25"/>
    <row r="129147" customFormat="1" x14ac:dyDescent="0.25"/>
    <row r="129148" customFormat="1" x14ac:dyDescent="0.25"/>
    <row r="129149" customFormat="1" x14ac:dyDescent="0.25"/>
    <row r="129150" customFormat="1" x14ac:dyDescent="0.25"/>
    <row r="129151" customFormat="1" x14ac:dyDescent="0.25"/>
    <row r="129152" customFormat="1" x14ac:dyDescent="0.25"/>
    <row r="129153" customFormat="1" x14ac:dyDescent="0.25"/>
    <row r="129154" customFormat="1" x14ac:dyDescent="0.25"/>
    <row r="129155" customFormat="1" x14ac:dyDescent="0.25"/>
    <row r="129156" customFormat="1" x14ac:dyDescent="0.25"/>
    <row r="129157" customFormat="1" x14ac:dyDescent="0.25"/>
    <row r="129158" customFormat="1" x14ac:dyDescent="0.25"/>
    <row r="129159" customFormat="1" x14ac:dyDescent="0.25"/>
    <row r="129160" customFormat="1" x14ac:dyDescent="0.25"/>
    <row r="129161" customFormat="1" x14ac:dyDescent="0.25"/>
    <row r="129162" customFormat="1" x14ac:dyDescent="0.25"/>
    <row r="129163" customFormat="1" x14ac:dyDescent="0.25"/>
    <row r="129164" customFormat="1" x14ac:dyDescent="0.25"/>
    <row r="129165" customFormat="1" x14ac:dyDescent="0.25"/>
    <row r="129166" customFormat="1" x14ac:dyDescent="0.25"/>
    <row r="129167" customFormat="1" x14ac:dyDescent="0.25"/>
    <row r="129168" customFormat="1" x14ac:dyDescent="0.25"/>
    <row r="129169" customFormat="1" x14ac:dyDescent="0.25"/>
    <row r="129170" customFormat="1" x14ac:dyDescent="0.25"/>
    <row r="129171" customFormat="1" x14ac:dyDescent="0.25"/>
    <row r="129172" customFormat="1" x14ac:dyDescent="0.25"/>
    <row r="129173" customFormat="1" x14ac:dyDescent="0.25"/>
    <row r="129174" customFormat="1" x14ac:dyDescent="0.25"/>
    <row r="129175" customFormat="1" x14ac:dyDescent="0.25"/>
    <row r="129176" customFormat="1" x14ac:dyDescent="0.25"/>
    <row r="129177" customFormat="1" x14ac:dyDescent="0.25"/>
    <row r="129178" customFormat="1" x14ac:dyDescent="0.25"/>
    <row r="129179" customFormat="1" x14ac:dyDescent="0.25"/>
    <row r="129180" customFormat="1" x14ac:dyDescent="0.25"/>
    <row r="129181" customFormat="1" x14ac:dyDescent="0.25"/>
    <row r="129182" customFormat="1" x14ac:dyDescent="0.25"/>
    <row r="129183" customFormat="1" x14ac:dyDescent="0.25"/>
    <row r="129184" customFormat="1" x14ac:dyDescent="0.25"/>
    <row r="129185" customFormat="1" x14ac:dyDescent="0.25"/>
    <row r="129186" customFormat="1" x14ac:dyDescent="0.25"/>
    <row r="129187" customFormat="1" x14ac:dyDescent="0.25"/>
    <row r="129188" customFormat="1" x14ac:dyDescent="0.25"/>
    <row r="129189" customFormat="1" x14ac:dyDescent="0.25"/>
    <row r="129190" customFormat="1" x14ac:dyDescent="0.25"/>
    <row r="129191" customFormat="1" x14ac:dyDescent="0.25"/>
    <row r="129192" customFormat="1" x14ac:dyDescent="0.25"/>
    <row r="129193" customFormat="1" x14ac:dyDescent="0.25"/>
    <row r="129194" customFormat="1" x14ac:dyDescent="0.25"/>
    <row r="129195" customFormat="1" x14ac:dyDescent="0.25"/>
    <row r="129196" customFormat="1" x14ac:dyDescent="0.25"/>
    <row r="129197" customFormat="1" x14ac:dyDescent="0.25"/>
    <row r="129198" customFormat="1" x14ac:dyDescent="0.25"/>
    <row r="129199" customFormat="1" x14ac:dyDescent="0.25"/>
    <row r="129200" customFormat="1" x14ac:dyDescent="0.25"/>
    <row r="129201" customFormat="1" x14ac:dyDescent="0.25"/>
    <row r="129202" customFormat="1" x14ac:dyDescent="0.25"/>
    <row r="129203" customFormat="1" x14ac:dyDescent="0.25"/>
    <row r="129204" customFormat="1" x14ac:dyDescent="0.25"/>
    <row r="129205" customFormat="1" x14ac:dyDescent="0.25"/>
    <row r="129206" customFormat="1" x14ac:dyDescent="0.25"/>
    <row r="129207" customFormat="1" x14ac:dyDescent="0.25"/>
    <row r="129208" customFormat="1" x14ac:dyDescent="0.25"/>
    <row r="129209" customFormat="1" x14ac:dyDescent="0.25"/>
    <row r="129210" customFormat="1" x14ac:dyDescent="0.25"/>
    <row r="129211" customFormat="1" x14ac:dyDescent="0.25"/>
    <row r="129212" customFormat="1" x14ac:dyDescent="0.25"/>
    <row r="129213" customFormat="1" x14ac:dyDescent="0.25"/>
    <row r="129214" customFormat="1" x14ac:dyDescent="0.25"/>
    <row r="129215" customFormat="1" x14ac:dyDescent="0.25"/>
    <row r="129216" customFormat="1" x14ac:dyDescent="0.25"/>
    <row r="129217" customFormat="1" x14ac:dyDescent="0.25"/>
    <row r="129218" customFormat="1" x14ac:dyDescent="0.25"/>
    <row r="129219" customFormat="1" x14ac:dyDescent="0.25"/>
    <row r="129220" customFormat="1" x14ac:dyDescent="0.25"/>
    <row r="129221" customFormat="1" x14ac:dyDescent="0.25"/>
    <row r="129222" customFormat="1" x14ac:dyDescent="0.25"/>
    <row r="129223" customFormat="1" x14ac:dyDescent="0.25"/>
    <row r="129224" customFormat="1" x14ac:dyDescent="0.25"/>
    <row r="129225" customFormat="1" x14ac:dyDescent="0.25"/>
    <row r="129226" customFormat="1" x14ac:dyDescent="0.25"/>
    <row r="129227" customFormat="1" x14ac:dyDescent="0.25"/>
    <row r="129228" customFormat="1" x14ac:dyDescent="0.25"/>
    <row r="129229" customFormat="1" x14ac:dyDescent="0.25"/>
    <row r="129230" customFormat="1" x14ac:dyDescent="0.25"/>
    <row r="129231" customFormat="1" x14ac:dyDescent="0.25"/>
    <row r="129232" customFormat="1" x14ac:dyDescent="0.25"/>
    <row r="129233" customFormat="1" x14ac:dyDescent="0.25"/>
    <row r="129234" customFormat="1" x14ac:dyDescent="0.25"/>
    <row r="129235" customFormat="1" x14ac:dyDescent="0.25"/>
    <row r="129236" customFormat="1" x14ac:dyDescent="0.25"/>
    <row r="129237" customFormat="1" x14ac:dyDescent="0.25"/>
    <row r="129238" customFormat="1" x14ac:dyDescent="0.25"/>
    <row r="129239" customFormat="1" x14ac:dyDescent="0.25"/>
    <row r="129240" customFormat="1" x14ac:dyDescent="0.25"/>
    <row r="129241" customFormat="1" x14ac:dyDescent="0.25"/>
    <row r="129242" customFormat="1" x14ac:dyDescent="0.25"/>
    <row r="129243" customFormat="1" x14ac:dyDescent="0.25"/>
    <row r="129244" customFormat="1" x14ac:dyDescent="0.25"/>
    <row r="129245" customFormat="1" x14ac:dyDescent="0.25"/>
    <row r="129246" customFormat="1" x14ac:dyDescent="0.25"/>
    <row r="129247" customFormat="1" x14ac:dyDescent="0.25"/>
    <row r="129248" customFormat="1" x14ac:dyDescent="0.25"/>
    <row r="129249" customFormat="1" x14ac:dyDescent="0.25"/>
    <row r="129250" customFormat="1" x14ac:dyDescent="0.25"/>
    <row r="129251" customFormat="1" x14ac:dyDescent="0.25"/>
    <row r="129252" customFormat="1" x14ac:dyDescent="0.25"/>
    <row r="129253" customFormat="1" x14ac:dyDescent="0.25"/>
    <row r="129254" customFormat="1" x14ac:dyDescent="0.25"/>
    <row r="129255" customFormat="1" x14ac:dyDescent="0.25"/>
    <row r="129256" customFormat="1" x14ac:dyDescent="0.25"/>
    <row r="129257" customFormat="1" x14ac:dyDescent="0.25"/>
    <row r="129258" customFormat="1" x14ac:dyDescent="0.25"/>
    <row r="129259" customFormat="1" x14ac:dyDescent="0.25"/>
    <row r="129260" customFormat="1" x14ac:dyDescent="0.25"/>
    <row r="129261" customFormat="1" x14ac:dyDescent="0.25"/>
    <row r="129262" customFormat="1" x14ac:dyDescent="0.25"/>
    <row r="129263" customFormat="1" x14ac:dyDescent="0.25"/>
    <row r="129264" customFormat="1" x14ac:dyDescent="0.25"/>
    <row r="129265" customFormat="1" x14ac:dyDescent="0.25"/>
    <row r="129266" customFormat="1" x14ac:dyDescent="0.25"/>
    <row r="129267" customFormat="1" x14ac:dyDescent="0.25"/>
    <row r="129268" customFormat="1" x14ac:dyDescent="0.25"/>
    <row r="129269" customFormat="1" x14ac:dyDescent="0.25"/>
    <row r="129270" customFormat="1" x14ac:dyDescent="0.25"/>
    <row r="129271" customFormat="1" x14ac:dyDescent="0.25"/>
    <row r="129272" customFormat="1" x14ac:dyDescent="0.25"/>
    <row r="129273" customFormat="1" x14ac:dyDescent="0.25"/>
    <row r="129274" customFormat="1" x14ac:dyDescent="0.25"/>
    <row r="129275" customFormat="1" x14ac:dyDescent="0.25"/>
    <row r="129276" customFormat="1" x14ac:dyDescent="0.25"/>
    <row r="129277" customFormat="1" x14ac:dyDescent="0.25"/>
    <row r="129278" customFormat="1" x14ac:dyDescent="0.25"/>
    <row r="129279" customFormat="1" x14ac:dyDescent="0.25"/>
    <row r="129280" customFormat="1" x14ac:dyDescent="0.25"/>
    <row r="129281" customFormat="1" x14ac:dyDescent="0.25"/>
    <row r="129282" customFormat="1" x14ac:dyDescent="0.25"/>
    <row r="129283" customFormat="1" x14ac:dyDescent="0.25"/>
    <row r="129284" customFormat="1" x14ac:dyDescent="0.25"/>
    <row r="129285" customFormat="1" x14ac:dyDescent="0.25"/>
    <row r="129286" customFormat="1" x14ac:dyDescent="0.25"/>
    <row r="129287" customFormat="1" x14ac:dyDescent="0.25"/>
    <row r="129288" customFormat="1" x14ac:dyDescent="0.25"/>
    <row r="129289" customFormat="1" x14ac:dyDescent="0.25"/>
    <row r="129290" customFormat="1" x14ac:dyDescent="0.25"/>
    <row r="129291" customFormat="1" x14ac:dyDescent="0.25"/>
    <row r="129292" customFormat="1" x14ac:dyDescent="0.25"/>
    <row r="129293" customFormat="1" x14ac:dyDescent="0.25"/>
    <row r="129294" customFormat="1" x14ac:dyDescent="0.25"/>
    <row r="129295" customFormat="1" x14ac:dyDescent="0.25"/>
    <row r="129296" customFormat="1" x14ac:dyDescent="0.25"/>
    <row r="129297" customFormat="1" x14ac:dyDescent="0.25"/>
    <row r="129298" customFormat="1" x14ac:dyDescent="0.25"/>
    <row r="129299" customFormat="1" x14ac:dyDescent="0.25"/>
    <row r="129300" customFormat="1" x14ac:dyDescent="0.25"/>
    <row r="129301" customFormat="1" x14ac:dyDescent="0.25"/>
    <row r="129302" customFormat="1" x14ac:dyDescent="0.25"/>
    <row r="129303" customFormat="1" x14ac:dyDescent="0.25"/>
    <row r="129304" customFormat="1" x14ac:dyDescent="0.25"/>
    <row r="129305" customFormat="1" x14ac:dyDescent="0.25"/>
    <row r="129306" customFormat="1" x14ac:dyDescent="0.25"/>
    <row r="129307" customFormat="1" x14ac:dyDescent="0.25"/>
    <row r="129308" customFormat="1" x14ac:dyDescent="0.25"/>
    <row r="129309" customFormat="1" x14ac:dyDescent="0.25"/>
    <row r="129310" customFormat="1" x14ac:dyDescent="0.25"/>
    <row r="129311" customFormat="1" x14ac:dyDescent="0.25"/>
    <row r="129312" customFormat="1" x14ac:dyDescent="0.25"/>
    <row r="129313" customFormat="1" x14ac:dyDescent="0.25"/>
    <row r="129314" customFormat="1" x14ac:dyDescent="0.25"/>
    <row r="129315" customFormat="1" x14ac:dyDescent="0.25"/>
    <row r="129316" customFormat="1" x14ac:dyDescent="0.25"/>
    <row r="129317" customFormat="1" x14ac:dyDescent="0.25"/>
    <row r="129318" customFormat="1" x14ac:dyDescent="0.25"/>
    <row r="129319" customFormat="1" x14ac:dyDescent="0.25"/>
    <row r="129320" customFormat="1" x14ac:dyDescent="0.25"/>
    <row r="129321" customFormat="1" x14ac:dyDescent="0.25"/>
    <row r="129322" customFormat="1" x14ac:dyDescent="0.25"/>
    <row r="129323" customFormat="1" x14ac:dyDescent="0.25"/>
    <row r="129324" customFormat="1" x14ac:dyDescent="0.25"/>
    <row r="129325" customFormat="1" x14ac:dyDescent="0.25"/>
    <row r="129326" customFormat="1" x14ac:dyDescent="0.25"/>
    <row r="129327" customFormat="1" x14ac:dyDescent="0.25"/>
    <row r="129328" customFormat="1" x14ac:dyDescent="0.25"/>
    <row r="129329" customFormat="1" x14ac:dyDescent="0.25"/>
    <row r="129330" customFormat="1" x14ac:dyDescent="0.25"/>
    <row r="129331" customFormat="1" x14ac:dyDescent="0.25"/>
    <row r="129332" customFormat="1" x14ac:dyDescent="0.25"/>
    <row r="129333" customFormat="1" x14ac:dyDescent="0.25"/>
    <row r="129334" customFormat="1" x14ac:dyDescent="0.25"/>
    <row r="129335" customFormat="1" x14ac:dyDescent="0.25"/>
    <row r="129336" customFormat="1" x14ac:dyDescent="0.25"/>
    <row r="129337" customFormat="1" x14ac:dyDescent="0.25"/>
    <row r="129338" customFormat="1" x14ac:dyDescent="0.25"/>
    <row r="129339" customFormat="1" x14ac:dyDescent="0.25"/>
    <row r="129340" customFormat="1" x14ac:dyDescent="0.25"/>
    <row r="129341" customFormat="1" x14ac:dyDescent="0.25"/>
    <row r="129342" customFormat="1" x14ac:dyDescent="0.25"/>
    <row r="129343" customFormat="1" x14ac:dyDescent="0.25"/>
    <row r="129344" customFormat="1" x14ac:dyDescent="0.25"/>
    <row r="129345" customFormat="1" x14ac:dyDescent="0.25"/>
    <row r="129346" customFormat="1" x14ac:dyDescent="0.25"/>
    <row r="129347" customFormat="1" x14ac:dyDescent="0.25"/>
    <row r="129348" customFormat="1" x14ac:dyDescent="0.25"/>
    <row r="129349" customFormat="1" x14ac:dyDescent="0.25"/>
    <row r="129350" customFormat="1" x14ac:dyDescent="0.25"/>
    <row r="129351" customFormat="1" x14ac:dyDescent="0.25"/>
    <row r="129352" customFormat="1" x14ac:dyDescent="0.25"/>
    <row r="129353" customFormat="1" x14ac:dyDescent="0.25"/>
    <row r="129354" customFormat="1" x14ac:dyDescent="0.25"/>
    <row r="129355" customFormat="1" x14ac:dyDescent="0.25"/>
    <row r="129356" customFormat="1" x14ac:dyDescent="0.25"/>
    <row r="129357" customFormat="1" x14ac:dyDescent="0.25"/>
    <row r="129358" customFormat="1" x14ac:dyDescent="0.25"/>
    <row r="129359" customFormat="1" x14ac:dyDescent="0.25"/>
    <row r="129360" customFormat="1" x14ac:dyDescent="0.25"/>
    <row r="129361" customFormat="1" x14ac:dyDescent="0.25"/>
    <row r="129362" customFormat="1" x14ac:dyDescent="0.25"/>
    <row r="129363" customFormat="1" x14ac:dyDescent="0.25"/>
    <row r="129364" customFormat="1" x14ac:dyDescent="0.25"/>
    <row r="129365" customFormat="1" x14ac:dyDescent="0.25"/>
    <row r="129366" customFormat="1" x14ac:dyDescent="0.25"/>
    <row r="129367" customFormat="1" x14ac:dyDescent="0.25"/>
    <row r="129368" customFormat="1" x14ac:dyDescent="0.25"/>
    <row r="129369" customFormat="1" x14ac:dyDescent="0.25"/>
    <row r="129370" customFormat="1" x14ac:dyDescent="0.25"/>
    <row r="129371" customFormat="1" x14ac:dyDescent="0.25"/>
    <row r="129372" customFormat="1" x14ac:dyDescent="0.25"/>
    <row r="129373" customFormat="1" x14ac:dyDescent="0.25"/>
    <row r="129374" customFormat="1" x14ac:dyDescent="0.25"/>
    <row r="129375" customFormat="1" x14ac:dyDescent="0.25"/>
    <row r="129376" customFormat="1" x14ac:dyDescent="0.25"/>
    <row r="129377" customFormat="1" x14ac:dyDescent="0.25"/>
    <row r="129378" customFormat="1" x14ac:dyDescent="0.25"/>
    <row r="129379" customFormat="1" x14ac:dyDescent="0.25"/>
    <row r="129380" customFormat="1" x14ac:dyDescent="0.25"/>
    <row r="129381" customFormat="1" x14ac:dyDescent="0.25"/>
    <row r="129382" customFormat="1" x14ac:dyDescent="0.25"/>
    <row r="129383" customFormat="1" x14ac:dyDescent="0.25"/>
    <row r="129384" customFormat="1" x14ac:dyDescent="0.25"/>
    <row r="129385" customFormat="1" x14ac:dyDescent="0.25"/>
    <row r="129386" customFormat="1" x14ac:dyDescent="0.25"/>
    <row r="129387" customFormat="1" x14ac:dyDescent="0.25"/>
    <row r="129388" customFormat="1" x14ac:dyDescent="0.25"/>
    <row r="129389" customFormat="1" x14ac:dyDescent="0.25"/>
    <row r="129390" customFormat="1" x14ac:dyDescent="0.25"/>
    <row r="129391" customFormat="1" x14ac:dyDescent="0.25"/>
    <row r="129392" customFormat="1" x14ac:dyDescent="0.25"/>
    <row r="129393" customFormat="1" x14ac:dyDescent="0.25"/>
    <row r="129394" customFormat="1" x14ac:dyDescent="0.25"/>
    <row r="129395" customFormat="1" x14ac:dyDescent="0.25"/>
    <row r="129396" customFormat="1" x14ac:dyDescent="0.25"/>
    <row r="129397" customFormat="1" x14ac:dyDescent="0.25"/>
    <row r="129398" customFormat="1" x14ac:dyDescent="0.25"/>
    <row r="129399" customFormat="1" x14ac:dyDescent="0.25"/>
    <row r="129400" customFormat="1" x14ac:dyDescent="0.25"/>
    <row r="129401" customFormat="1" x14ac:dyDescent="0.25"/>
    <row r="129402" customFormat="1" x14ac:dyDescent="0.25"/>
    <row r="129403" customFormat="1" x14ac:dyDescent="0.25"/>
    <row r="129404" customFormat="1" x14ac:dyDescent="0.25"/>
    <row r="129405" customFormat="1" x14ac:dyDescent="0.25"/>
    <row r="129406" customFormat="1" x14ac:dyDescent="0.25"/>
    <row r="129407" customFormat="1" x14ac:dyDescent="0.25"/>
    <row r="129408" customFormat="1" x14ac:dyDescent="0.25"/>
    <row r="129409" customFormat="1" x14ac:dyDescent="0.25"/>
    <row r="129410" customFormat="1" x14ac:dyDescent="0.25"/>
    <row r="129411" customFormat="1" x14ac:dyDescent="0.25"/>
    <row r="129412" customFormat="1" x14ac:dyDescent="0.25"/>
    <row r="129413" customFormat="1" x14ac:dyDescent="0.25"/>
    <row r="129414" customFormat="1" x14ac:dyDescent="0.25"/>
    <row r="129415" customFormat="1" x14ac:dyDescent="0.25"/>
    <row r="129416" customFormat="1" x14ac:dyDescent="0.25"/>
    <row r="129417" customFormat="1" x14ac:dyDescent="0.25"/>
    <row r="129418" customFormat="1" x14ac:dyDescent="0.25"/>
    <row r="129419" customFormat="1" x14ac:dyDescent="0.25"/>
    <row r="129420" customFormat="1" x14ac:dyDescent="0.25"/>
    <row r="129421" customFormat="1" x14ac:dyDescent="0.25"/>
    <row r="129422" customFormat="1" x14ac:dyDescent="0.25"/>
    <row r="129423" customFormat="1" x14ac:dyDescent="0.25"/>
    <row r="129424" customFormat="1" x14ac:dyDescent="0.25"/>
    <row r="129425" customFormat="1" x14ac:dyDescent="0.25"/>
    <row r="129426" customFormat="1" x14ac:dyDescent="0.25"/>
    <row r="129427" customFormat="1" x14ac:dyDescent="0.25"/>
    <row r="129428" customFormat="1" x14ac:dyDescent="0.25"/>
    <row r="129429" customFormat="1" x14ac:dyDescent="0.25"/>
    <row r="129430" customFormat="1" x14ac:dyDescent="0.25"/>
    <row r="129431" customFormat="1" x14ac:dyDescent="0.25"/>
    <row r="129432" customFormat="1" x14ac:dyDescent="0.25"/>
    <row r="129433" customFormat="1" x14ac:dyDescent="0.25"/>
    <row r="129434" customFormat="1" x14ac:dyDescent="0.25"/>
    <row r="129435" customFormat="1" x14ac:dyDescent="0.25"/>
    <row r="129436" customFormat="1" x14ac:dyDescent="0.25"/>
    <row r="129437" customFormat="1" x14ac:dyDescent="0.25"/>
    <row r="129438" customFormat="1" x14ac:dyDescent="0.25"/>
    <row r="129439" customFormat="1" x14ac:dyDescent="0.25"/>
    <row r="129440" customFormat="1" x14ac:dyDescent="0.25"/>
    <row r="129441" customFormat="1" x14ac:dyDescent="0.25"/>
    <row r="129442" customFormat="1" x14ac:dyDescent="0.25"/>
    <row r="129443" customFormat="1" x14ac:dyDescent="0.25"/>
    <row r="129444" customFormat="1" x14ac:dyDescent="0.25"/>
    <row r="129445" customFormat="1" x14ac:dyDescent="0.25"/>
    <row r="129446" customFormat="1" x14ac:dyDescent="0.25"/>
    <row r="129447" customFormat="1" x14ac:dyDescent="0.25"/>
    <row r="129448" customFormat="1" x14ac:dyDescent="0.25"/>
    <row r="129449" customFormat="1" x14ac:dyDescent="0.25"/>
    <row r="129450" customFormat="1" x14ac:dyDescent="0.25"/>
    <row r="129451" customFormat="1" x14ac:dyDescent="0.25"/>
    <row r="129452" customFormat="1" x14ac:dyDescent="0.25"/>
    <row r="129453" customFormat="1" x14ac:dyDescent="0.25"/>
    <row r="129454" customFormat="1" x14ac:dyDescent="0.25"/>
    <row r="129455" customFormat="1" x14ac:dyDescent="0.25"/>
    <row r="129456" customFormat="1" x14ac:dyDescent="0.25"/>
    <row r="129457" customFormat="1" x14ac:dyDescent="0.25"/>
    <row r="129458" customFormat="1" x14ac:dyDescent="0.25"/>
    <row r="129459" customFormat="1" x14ac:dyDescent="0.25"/>
    <row r="129460" customFormat="1" x14ac:dyDescent="0.25"/>
    <row r="129461" customFormat="1" x14ac:dyDescent="0.25"/>
    <row r="129462" customFormat="1" x14ac:dyDescent="0.25"/>
    <row r="129463" customFormat="1" x14ac:dyDescent="0.25"/>
    <row r="129464" customFormat="1" x14ac:dyDescent="0.25"/>
    <row r="129465" customFormat="1" x14ac:dyDescent="0.25"/>
    <row r="129466" customFormat="1" x14ac:dyDescent="0.25"/>
    <row r="129467" customFormat="1" x14ac:dyDescent="0.25"/>
    <row r="129468" customFormat="1" x14ac:dyDescent="0.25"/>
    <row r="129469" customFormat="1" x14ac:dyDescent="0.25"/>
    <row r="129470" customFormat="1" x14ac:dyDescent="0.25"/>
    <row r="129471" customFormat="1" x14ac:dyDescent="0.25"/>
    <row r="129472" customFormat="1" x14ac:dyDescent="0.25"/>
    <row r="129473" customFormat="1" x14ac:dyDescent="0.25"/>
    <row r="129474" customFormat="1" x14ac:dyDescent="0.25"/>
    <row r="129475" customFormat="1" x14ac:dyDescent="0.25"/>
    <row r="129476" customFormat="1" x14ac:dyDescent="0.25"/>
    <row r="129477" customFormat="1" x14ac:dyDescent="0.25"/>
    <row r="129478" customFormat="1" x14ac:dyDescent="0.25"/>
    <row r="129479" customFormat="1" x14ac:dyDescent="0.25"/>
    <row r="129480" customFormat="1" x14ac:dyDescent="0.25"/>
    <row r="129481" customFormat="1" x14ac:dyDescent="0.25"/>
    <row r="129482" customFormat="1" x14ac:dyDescent="0.25"/>
    <row r="129483" customFormat="1" x14ac:dyDescent="0.25"/>
    <row r="129484" customFormat="1" x14ac:dyDescent="0.25"/>
    <row r="129485" customFormat="1" x14ac:dyDescent="0.25"/>
    <row r="129486" customFormat="1" x14ac:dyDescent="0.25"/>
    <row r="129487" customFormat="1" x14ac:dyDescent="0.25"/>
    <row r="129488" customFormat="1" x14ac:dyDescent="0.25"/>
    <row r="129489" customFormat="1" x14ac:dyDescent="0.25"/>
    <row r="129490" customFormat="1" x14ac:dyDescent="0.25"/>
    <row r="129491" customFormat="1" x14ac:dyDescent="0.25"/>
    <row r="129492" customFormat="1" x14ac:dyDescent="0.25"/>
    <row r="129493" customFormat="1" x14ac:dyDescent="0.25"/>
    <row r="129494" customFormat="1" x14ac:dyDescent="0.25"/>
    <row r="129495" customFormat="1" x14ac:dyDescent="0.25"/>
    <row r="129496" customFormat="1" x14ac:dyDescent="0.25"/>
    <row r="129497" customFormat="1" x14ac:dyDescent="0.25"/>
    <row r="129498" customFormat="1" x14ac:dyDescent="0.25"/>
    <row r="129499" customFormat="1" x14ac:dyDescent="0.25"/>
    <row r="129500" customFormat="1" x14ac:dyDescent="0.25"/>
    <row r="129501" customFormat="1" x14ac:dyDescent="0.25"/>
    <row r="129502" customFormat="1" x14ac:dyDescent="0.25"/>
    <row r="129503" customFormat="1" x14ac:dyDescent="0.25"/>
    <row r="129504" customFormat="1" x14ac:dyDescent="0.25"/>
    <row r="129505" customFormat="1" x14ac:dyDescent="0.25"/>
    <row r="129506" customFormat="1" x14ac:dyDescent="0.25"/>
    <row r="129507" customFormat="1" x14ac:dyDescent="0.25"/>
    <row r="129508" customFormat="1" x14ac:dyDescent="0.25"/>
    <row r="129509" customFormat="1" x14ac:dyDescent="0.25"/>
    <row r="129510" customFormat="1" x14ac:dyDescent="0.25"/>
    <row r="129511" customFormat="1" x14ac:dyDescent="0.25"/>
    <row r="129512" customFormat="1" x14ac:dyDescent="0.25"/>
    <row r="129513" customFormat="1" x14ac:dyDescent="0.25"/>
    <row r="129514" customFormat="1" x14ac:dyDescent="0.25"/>
    <row r="129515" customFormat="1" x14ac:dyDescent="0.25"/>
    <row r="129516" customFormat="1" x14ac:dyDescent="0.25"/>
    <row r="129517" customFormat="1" x14ac:dyDescent="0.25"/>
    <row r="129518" customFormat="1" x14ac:dyDescent="0.25"/>
    <row r="129519" customFormat="1" x14ac:dyDescent="0.25"/>
    <row r="129520" customFormat="1" x14ac:dyDescent="0.25"/>
    <row r="129521" customFormat="1" x14ac:dyDescent="0.25"/>
    <row r="129522" customFormat="1" x14ac:dyDescent="0.25"/>
    <row r="129523" customFormat="1" x14ac:dyDescent="0.25"/>
    <row r="129524" customFormat="1" x14ac:dyDescent="0.25"/>
    <row r="129525" customFormat="1" x14ac:dyDescent="0.25"/>
    <row r="129526" customFormat="1" x14ac:dyDescent="0.25"/>
    <row r="129527" customFormat="1" x14ac:dyDescent="0.25"/>
    <row r="129528" customFormat="1" x14ac:dyDescent="0.25"/>
    <row r="129529" customFormat="1" x14ac:dyDescent="0.25"/>
    <row r="129530" customFormat="1" x14ac:dyDescent="0.25"/>
    <row r="129531" customFormat="1" x14ac:dyDescent="0.25"/>
    <row r="129532" customFormat="1" x14ac:dyDescent="0.25"/>
    <row r="129533" customFormat="1" x14ac:dyDescent="0.25"/>
    <row r="129534" customFormat="1" x14ac:dyDescent="0.25"/>
    <row r="129535" customFormat="1" x14ac:dyDescent="0.25"/>
    <row r="129536" customFormat="1" x14ac:dyDescent="0.25"/>
    <row r="129537" customFormat="1" x14ac:dyDescent="0.25"/>
    <row r="129538" customFormat="1" x14ac:dyDescent="0.25"/>
    <row r="129539" customFormat="1" x14ac:dyDescent="0.25"/>
    <row r="129540" customFormat="1" x14ac:dyDescent="0.25"/>
    <row r="129541" customFormat="1" x14ac:dyDescent="0.25"/>
    <row r="129542" customFormat="1" x14ac:dyDescent="0.25"/>
    <row r="129543" customFormat="1" x14ac:dyDescent="0.25"/>
    <row r="129544" customFormat="1" x14ac:dyDescent="0.25"/>
    <row r="129545" customFormat="1" x14ac:dyDescent="0.25"/>
    <row r="129546" customFormat="1" x14ac:dyDescent="0.25"/>
    <row r="129547" customFormat="1" x14ac:dyDescent="0.25"/>
    <row r="129548" customFormat="1" x14ac:dyDescent="0.25"/>
    <row r="129549" customFormat="1" x14ac:dyDescent="0.25"/>
    <row r="129550" customFormat="1" x14ac:dyDescent="0.25"/>
    <row r="129551" customFormat="1" x14ac:dyDescent="0.25"/>
    <row r="129552" customFormat="1" x14ac:dyDescent="0.25"/>
    <row r="129553" customFormat="1" x14ac:dyDescent="0.25"/>
    <row r="129554" customFormat="1" x14ac:dyDescent="0.25"/>
    <row r="129555" customFormat="1" x14ac:dyDescent="0.25"/>
    <row r="129556" customFormat="1" x14ac:dyDescent="0.25"/>
    <row r="129557" customFormat="1" x14ac:dyDescent="0.25"/>
    <row r="129558" customFormat="1" x14ac:dyDescent="0.25"/>
    <row r="129559" customFormat="1" x14ac:dyDescent="0.25"/>
    <row r="129560" customFormat="1" x14ac:dyDescent="0.25"/>
    <row r="129561" customFormat="1" x14ac:dyDescent="0.25"/>
    <row r="129562" customFormat="1" x14ac:dyDescent="0.25"/>
    <row r="129563" customFormat="1" x14ac:dyDescent="0.25"/>
    <row r="129564" customFormat="1" x14ac:dyDescent="0.25"/>
    <row r="129565" customFormat="1" x14ac:dyDescent="0.25"/>
    <row r="129566" customFormat="1" x14ac:dyDescent="0.25"/>
    <row r="129567" customFormat="1" x14ac:dyDescent="0.25"/>
    <row r="129568" customFormat="1" x14ac:dyDescent="0.25"/>
    <row r="129569" customFormat="1" x14ac:dyDescent="0.25"/>
    <row r="129570" customFormat="1" x14ac:dyDescent="0.25"/>
    <row r="129571" customFormat="1" x14ac:dyDescent="0.25"/>
    <row r="129572" customFormat="1" x14ac:dyDescent="0.25"/>
    <row r="129573" customFormat="1" x14ac:dyDescent="0.25"/>
    <row r="129574" customFormat="1" x14ac:dyDescent="0.25"/>
    <row r="129575" customFormat="1" x14ac:dyDescent="0.25"/>
    <row r="129576" customFormat="1" x14ac:dyDescent="0.25"/>
    <row r="129577" customFormat="1" x14ac:dyDescent="0.25"/>
    <row r="129578" customFormat="1" x14ac:dyDescent="0.25"/>
    <row r="129579" customFormat="1" x14ac:dyDescent="0.25"/>
    <row r="129580" customFormat="1" x14ac:dyDescent="0.25"/>
    <row r="129581" customFormat="1" x14ac:dyDescent="0.25"/>
    <row r="129582" customFormat="1" x14ac:dyDescent="0.25"/>
    <row r="129583" customFormat="1" x14ac:dyDescent="0.25"/>
    <row r="129584" customFormat="1" x14ac:dyDescent="0.25"/>
    <row r="129585" customFormat="1" x14ac:dyDescent="0.25"/>
    <row r="129586" customFormat="1" x14ac:dyDescent="0.25"/>
    <row r="129587" customFormat="1" x14ac:dyDescent="0.25"/>
    <row r="129588" customFormat="1" x14ac:dyDescent="0.25"/>
    <row r="129589" customFormat="1" x14ac:dyDescent="0.25"/>
    <row r="129590" customFormat="1" x14ac:dyDescent="0.25"/>
    <row r="129591" customFormat="1" x14ac:dyDescent="0.25"/>
    <row r="129592" customFormat="1" x14ac:dyDescent="0.25"/>
    <row r="129593" customFormat="1" x14ac:dyDescent="0.25"/>
    <row r="129594" customFormat="1" x14ac:dyDescent="0.25"/>
    <row r="129595" customFormat="1" x14ac:dyDescent="0.25"/>
    <row r="129596" customFormat="1" x14ac:dyDescent="0.25"/>
    <row r="129597" customFormat="1" x14ac:dyDescent="0.25"/>
    <row r="129598" customFormat="1" x14ac:dyDescent="0.25"/>
    <row r="129599" customFormat="1" x14ac:dyDescent="0.25"/>
    <row r="129600" customFormat="1" x14ac:dyDescent="0.25"/>
    <row r="129601" customFormat="1" x14ac:dyDescent="0.25"/>
    <row r="129602" customFormat="1" x14ac:dyDescent="0.25"/>
    <row r="129603" customFormat="1" x14ac:dyDescent="0.25"/>
    <row r="129604" customFormat="1" x14ac:dyDescent="0.25"/>
    <row r="129605" customFormat="1" x14ac:dyDescent="0.25"/>
    <row r="129606" customFormat="1" x14ac:dyDescent="0.25"/>
    <row r="129607" customFormat="1" x14ac:dyDescent="0.25"/>
    <row r="129608" customFormat="1" x14ac:dyDescent="0.25"/>
    <row r="129609" customFormat="1" x14ac:dyDescent="0.25"/>
    <row r="129610" customFormat="1" x14ac:dyDescent="0.25"/>
    <row r="129611" customFormat="1" x14ac:dyDescent="0.25"/>
    <row r="129612" customFormat="1" x14ac:dyDescent="0.25"/>
    <row r="129613" customFormat="1" x14ac:dyDescent="0.25"/>
    <row r="129614" customFormat="1" x14ac:dyDescent="0.25"/>
    <row r="129615" customFormat="1" x14ac:dyDescent="0.25"/>
    <row r="129616" customFormat="1" x14ac:dyDescent="0.25"/>
    <row r="129617" customFormat="1" x14ac:dyDescent="0.25"/>
    <row r="129618" customFormat="1" x14ac:dyDescent="0.25"/>
    <row r="129619" customFormat="1" x14ac:dyDescent="0.25"/>
    <row r="129620" customFormat="1" x14ac:dyDescent="0.25"/>
    <row r="129621" customFormat="1" x14ac:dyDescent="0.25"/>
    <row r="129622" customFormat="1" x14ac:dyDescent="0.25"/>
    <row r="129623" customFormat="1" x14ac:dyDescent="0.25"/>
    <row r="129624" customFormat="1" x14ac:dyDescent="0.25"/>
    <row r="129625" customFormat="1" x14ac:dyDescent="0.25"/>
    <row r="129626" customFormat="1" x14ac:dyDescent="0.25"/>
    <row r="129627" customFormat="1" x14ac:dyDescent="0.25"/>
    <row r="129628" customFormat="1" x14ac:dyDescent="0.25"/>
    <row r="129629" customFormat="1" x14ac:dyDescent="0.25"/>
    <row r="129630" customFormat="1" x14ac:dyDescent="0.25"/>
    <row r="129631" customFormat="1" x14ac:dyDescent="0.25"/>
    <row r="129632" customFormat="1" x14ac:dyDescent="0.25"/>
    <row r="129633" customFormat="1" x14ac:dyDescent="0.25"/>
    <row r="129634" customFormat="1" x14ac:dyDescent="0.25"/>
    <row r="129635" customFormat="1" x14ac:dyDescent="0.25"/>
    <row r="129636" customFormat="1" x14ac:dyDescent="0.25"/>
    <row r="129637" customFormat="1" x14ac:dyDescent="0.25"/>
    <row r="129638" customFormat="1" x14ac:dyDescent="0.25"/>
    <row r="129639" customFormat="1" x14ac:dyDescent="0.25"/>
    <row r="129640" customFormat="1" x14ac:dyDescent="0.25"/>
    <row r="129641" customFormat="1" x14ac:dyDescent="0.25"/>
    <row r="129642" customFormat="1" x14ac:dyDescent="0.25"/>
    <row r="129643" customFormat="1" x14ac:dyDescent="0.25"/>
    <row r="129644" customFormat="1" x14ac:dyDescent="0.25"/>
    <row r="129645" customFormat="1" x14ac:dyDescent="0.25"/>
    <row r="129646" customFormat="1" x14ac:dyDescent="0.25"/>
    <row r="129647" customFormat="1" x14ac:dyDescent="0.25"/>
    <row r="129648" customFormat="1" x14ac:dyDescent="0.25"/>
    <row r="129649" customFormat="1" x14ac:dyDescent="0.25"/>
    <row r="129650" customFormat="1" x14ac:dyDescent="0.25"/>
    <row r="129651" customFormat="1" x14ac:dyDescent="0.25"/>
    <row r="129652" customFormat="1" x14ac:dyDescent="0.25"/>
    <row r="129653" customFormat="1" x14ac:dyDescent="0.25"/>
    <row r="129654" customFormat="1" x14ac:dyDescent="0.25"/>
    <row r="129655" customFormat="1" x14ac:dyDescent="0.25"/>
    <row r="129656" customFormat="1" x14ac:dyDescent="0.25"/>
    <row r="129657" customFormat="1" x14ac:dyDescent="0.25"/>
    <row r="129658" customFormat="1" x14ac:dyDescent="0.25"/>
    <row r="129659" customFormat="1" x14ac:dyDescent="0.25"/>
    <row r="129660" customFormat="1" x14ac:dyDescent="0.25"/>
    <row r="129661" customFormat="1" x14ac:dyDescent="0.25"/>
    <row r="129662" customFormat="1" x14ac:dyDescent="0.25"/>
    <row r="129663" customFormat="1" x14ac:dyDescent="0.25"/>
    <row r="129664" customFormat="1" x14ac:dyDescent="0.25"/>
    <row r="129665" customFormat="1" x14ac:dyDescent="0.25"/>
    <row r="129666" customFormat="1" x14ac:dyDescent="0.25"/>
    <row r="129667" customFormat="1" x14ac:dyDescent="0.25"/>
    <row r="129668" customFormat="1" x14ac:dyDescent="0.25"/>
    <row r="129669" customFormat="1" x14ac:dyDescent="0.25"/>
    <row r="129670" customFormat="1" x14ac:dyDescent="0.25"/>
    <row r="129671" customFormat="1" x14ac:dyDescent="0.25"/>
    <row r="129672" customFormat="1" x14ac:dyDescent="0.25"/>
    <row r="129673" customFormat="1" x14ac:dyDescent="0.25"/>
    <row r="129674" customFormat="1" x14ac:dyDescent="0.25"/>
    <row r="129675" customFormat="1" x14ac:dyDescent="0.25"/>
    <row r="129676" customFormat="1" x14ac:dyDescent="0.25"/>
    <row r="129677" customFormat="1" x14ac:dyDescent="0.25"/>
    <row r="129678" customFormat="1" x14ac:dyDescent="0.25"/>
    <row r="129679" customFormat="1" x14ac:dyDescent="0.25"/>
    <row r="129680" customFormat="1" x14ac:dyDescent="0.25"/>
    <row r="129681" customFormat="1" x14ac:dyDescent="0.25"/>
    <row r="129682" customFormat="1" x14ac:dyDescent="0.25"/>
    <row r="129683" customFormat="1" x14ac:dyDescent="0.25"/>
    <row r="129684" customFormat="1" x14ac:dyDescent="0.25"/>
    <row r="129685" customFormat="1" x14ac:dyDescent="0.25"/>
    <row r="129686" customFormat="1" x14ac:dyDescent="0.25"/>
    <row r="129687" customFormat="1" x14ac:dyDescent="0.25"/>
    <row r="129688" customFormat="1" x14ac:dyDescent="0.25"/>
    <row r="129689" customFormat="1" x14ac:dyDescent="0.25"/>
    <row r="129690" customFormat="1" x14ac:dyDescent="0.25"/>
    <row r="129691" customFormat="1" x14ac:dyDescent="0.25"/>
    <row r="129692" customFormat="1" x14ac:dyDescent="0.25"/>
    <row r="129693" customFormat="1" x14ac:dyDescent="0.25"/>
    <row r="129694" customFormat="1" x14ac:dyDescent="0.25"/>
    <row r="129695" customFormat="1" x14ac:dyDescent="0.25"/>
    <row r="129696" customFormat="1" x14ac:dyDescent="0.25"/>
    <row r="129697" customFormat="1" x14ac:dyDescent="0.25"/>
    <row r="129698" customFormat="1" x14ac:dyDescent="0.25"/>
    <row r="129699" customFormat="1" x14ac:dyDescent="0.25"/>
    <row r="129700" customFormat="1" x14ac:dyDescent="0.25"/>
    <row r="129701" customFormat="1" x14ac:dyDescent="0.25"/>
    <row r="129702" customFormat="1" x14ac:dyDescent="0.25"/>
    <row r="129703" customFormat="1" x14ac:dyDescent="0.25"/>
    <row r="129704" customFormat="1" x14ac:dyDescent="0.25"/>
    <row r="129705" customFormat="1" x14ac:dyDescent="0.25"/>
    <row r="129706" customFormat="1" x14ac:dyDescent="0.25"/>
    <row r="129707" customFormat="1" x14ac:dyDescent="0.25"/>
    <row r="129708" customFormat="1" x14ac:dyDescent="0.25"/>
    <row r="129709" customFormat="1" x14ac:dyDescent="0.25"/>
    <row r="129710" customFormat="1" x14ac:dyDescent="0.25"/>
    <row r="129711" customFormat="1" x14ac:dyDescent="0.25"/>
    <row r="129712" customFormat="1" x14ac:dyDescent="0.25"/>
    <row r="129713" customFormat="1" x14ac:dyDescent="0.25"/>
    <row r="129714" customFormat="1" x14ac:dyDescent="0.25"/>
    <row r="129715" customFormat="1" x14ac:dyDescent="0.25"/>
    <row r="129716" customFormat="1" x14ac:dyDescent="0.25"/>
    <row r="129717" customFormat="1" x14ac:dyDescent="0.25"/>
    <row r="129718" customFormat="1" x14ac:dyDescent="0.25"/>
    <row r="129719" customFormat="1" x14ac:dyDescent="0.25"/>
    <row r="129720" customFormat="1" x14ac:dyDescent="0.25"/>
    <row r="129721" customFormat="1" x14ac:dyDescent="0.25"/>
    <row r="129722" customFormat="1" x14ac:dyDescent="0.25"/>
    <row r="129723" customFormat="1" x14ac:dyDescent="0.25"/>
    <row r="129724" customFormat="1" x14ac:dyDescent="0.25"/>
    <row r="129725" customFormat="1" x14ac:dyDescent="0.25"/>
    <row r="129726" customFormat="1" x14ac:dyDescent="0.25"/>
    <row r="129727" customFormat="1" x14ac:dyDescent="0.25"/>
    <row r="129728" customFormat="1" x14ac:dyDescent="0.25"/>
    <row r="129729" customFormat="1" x14ac:dyDescent="0.25"/>
    <row r="129730" customFormat="1" x14ac:dyDescent="0.25"/>
    <row r="129731" customFormat="1" x14ac:dyDescent="0.25"/>
    <row r="129732" customFormat="1" x14ac:dyDescent="0.25"/>
    <row r="129733" customFormat="1" x14ac:dyDescent="0.25"/>
    <row r="129734" customFormat="1" x14ac:dyDescent="0.25"/>
    <row r="129735" customFormat="1" x14ac:dyDescent="0.25"/>
    <row r="129736" customFormat="1" x14ac:dyDescent="0.25"/>
    <row r="129737" customFormat="1" x14ac:dyDescent="0.25"/>
    <row r="129738" customFormat="1" x14ac:dyDescent="0.25"/>
    <row r="129739" customFormat="1" x14ac:dyDescent="0.25"/>
    <row r="129740" customFormat="1" x14ac:dyDescent="0.25"/>
    <row r="129741" customFormat="1" x14ac:dyDescent="0.25"/>
    <row r="129742" customFormat="1" x14ac:dyDescent="0.25"/>
    <row r="129743" customFormat="1" x14ac:dyDescent="0.25"/>
    <row r="129744" customFormat="1" x14ac:dyDescent="0.25"/>
    <row r="129745" customFormat="1" x14ac:dyDescent="0.25"/>
    <row r="129746" customFormat="1" x14ac:dyDescent="0.25"/>
    <row r="129747" customFormat="1" x14ac:dyDescent="0.25"/>
    <row r="129748" customFormat="1" x14ac:dyDescent="0.25"/>
    <row r="129749" customFormat="1" x14ac:dyDescent="0.25"/>
    <row r="129750" customFormat="1" x14ac:dyDescent="0.25"/>
    <row r="129751" customFormat="1" x14ac:dyDescent="0.25"/>
    <row r="129752" customFormat="1" x14ac:dyDescent="0.25"/>
    <row r="129753" customFormat="1" x14ac:dyDescent="0.25"/>
    <row r="129754" customFormat="1" x14ac:dyDescent="0.25"/>
    <row r="129755" customFormat="1" x14ac:dyDescent="0.25"/>
    <row r="129756" customFormat="1" x14ac:dyDescent="0.25"/>
    <row r="129757" customFormat="1" x14ac:dyDescent="0.25"/>
    <row r="129758" customFormat="1" x14ac:dyDescent="0.25"/>
    <row r="129759" customFormat="1" x14ac:dyDescent="0.25"/>
    <row r="129760" customFormat="1" x14ac:dyDescent="0.25"/>
    <row r="129761" customFormat="1" x14ac:dyDescent="0.25"/>
    <row r="129762" customFormat="1" x14ac:dyDescent="0.25"/>
    <row r="129763" customFormat="1" x14ac:dyDescent="0.25"/>
    <row r="129764" customFormat="1" x14ac:dyDescent="0.25"/>
    <row r="129765" customFormat="1" x14ac:dyDescent="0.25"/>
    <row r="129766" customFormat="1" x14ac:dyDescent="0.25"/>
    <row r="129767" customFormat="1" x14ac:dyDescent="0.25"/>
    <row r="129768" customFormat="1" x14ac:dyDescent="0.25"/>
    <row r="129769" customFormat="1" x14ac:dyDescent="0.25"/>
    <row r="129770" customFormat="1" x14ac:dyDescent="0.25"/>
    <row r="129771" customFormat="1" x14ac:dyDescent="0.25"/>
    <row r="129772" customFormat="1" x14ac:dyDescent="0.25"/>
    <row r="129773" customFormat="1" x14ac:dyDescent="0.25"/>
    <row r="129774" customFormat="1" x14ac:dyDescent="0.25"/>
    <row r="129775" customFormat="1" x14ac:dyDescent="0.25"/>
    <row r="129776" customFormat="1" x14ac:dyDescent="0.25"/>
    <row r="129777" customFormat="1" x14ac:dyDescent="0.25"/>
    <row r="129778" customFormat="1" x14ac:dyDescent="0.25"/>
    <row r="129779" customFormat="1" x14ac:dyDescent="0.25"/>
    <row r="129780" customFormat="1" x14ac:dyDescent="0.25"/>
    <row r="129781" customFormat="1" x14ac:dyDescent="0.25"/>
    <row r="129782" customFormat="1" x14ac:dyDescent="0.25"/>
    <row r="129783" customFormat="1" x14ac:dyDescent="0.25"/>
    <row r="129784" customFormat="1" x14ac:dyDescent="0.25"/>
    <row r="129785" customFormat="1" x14ac:dyDescent="0.25"/>
    <row r="129786" customFormat="1" x14ac:dyDescent="0.25"/>
    <row r="129787" customFormat="1" x14ac:dyDescent="0.25"/>
    <row r="129788" customFormat="1" x14ac:dyDescent="0.25"/>
    <row r="129789" customFormat="1" x14ac:dyDescent="0.25"/>
    <row r="129790" customFormat="1" x14ac:dyDescent="0.25"/>
    <row r="129791" customFormat="1" x14ac:dyDescent="0.25"/>
    <row r="129792" customFormat="1" x14ac:dyDescent="0.25"/>
    <row r="129793" customFormat="1" x14ac:dyDescent="0.25"/>
    <row r="129794" customFormat="1" x14ac:dyDescent="0.25"/>
    <row r="129795" customFormat="1" x14ac:dyDescent="0.25"/>
    <row r="129796" customFormat="1" x14ac:dyDescent="0.25"/>
    <row r="129797" customFormat="1" x14ac:dyDescent="0.25"/>
    <row r="129798" customFormat="1" x14ac:dyDescent="0.25"/>
    <row r="129799" customFormat="1" x14ac:dyDescent="0.25"/>
    <row r="129800" customFormat="1" x14ac:dyDescent="0.25"/>
    <row r="129801" customFormat="1" x14ac:dyDescent="0.25"/>
    <row r="129802" customFormat="1" x14ac:dyDescent="0.25"/>
    <row r="129803" customFormat="1" x14ac:dyDescent="0.25"/>
    <row r="129804" customFormat="1" x14ac:dyDescent="0.25"/>
    <row r="129805" customFormat="1" x14ac:dyDescent="0.25"/>
    <row r="129806" customFormat="1" x14ac:dyDescent="0.25"/>
    <row r="129807" customFormat="1" x14ac:dyDescent="0.25"/>
    <row r="129808" customFormat="1" x14ac:dyDescent="0.25"/>
    <row r="129809" customFormat="1" x14ac:dyDescent="0.25"/>
    <row r="129810" customFormat="1" x14ac:dyDescent="0.25"/>
    <row r="129811" customFormat="1" x14ac:dyDescent="0.25"/>
    <row r="129812" customFormat="1" x14ac:dyDescent="0.25"/>
    <row r="129813" customFormat="1" x14ac:dyDescent="0.25"/>
    <row r="129814" customFormat="1" x14ac:dyDescent="0.25"/>
    <row r="129815" customFormat="1" x14ac:dyDescent="0.25"/>
    <row r="129816" customFormat="1" x14ac:dyDescent="0.25"/>
    <row r="129817" customFormat="1" x14ac:dyDescent="0.25"/>
    <row r="129818" customFormat="1" x14ac:dyDescent="0.25"/>
    <row r="129819" customFormat="1" x14ac:dyDescent="0.25"/>
    <row r="129820" customFormat="1" x14ac:dyDescent="0.25"/>
    <row r="129821" customFormat="1" x14ac:dyDescent="0.25"/>
    <row r="129822" customFormat="1" x14ac:dyDescent="0.25"/>
    <row r="129823" customFormat="1" x14ac:dyDescent="0.25"/>
    <row r="129824" customFormat="1" x14ac:dyDescent="0.25"/>
    <row r="129825" customFormat="1" x14ac:dyDescent="0.25"/>
    <row r="129826" customFormat="1" x14ac:dyDescent="0.25"/>
    <row r="129827" customFormat="1" x14ac:dyDescent="0.25"/>
    <row r="129828" customFormat="1" x14ac:dyDescent="0.25"/>
    <row r="129829" customFormat="1" x14ac:dyDescent="0.25"/>
    <row r="129830" customFormat="1" x14ac:dyDescent="0.25"/>
    <row r="129831" customFormat="1" x14ac:dyDescent="0.25"/>
    <row r="129832" customFormat="1" x14ac:dyDescent="0.25"/>
    <row r="129833" customFormat="1" x14ac:dyDescent="0.25"/>
    <row r="129834" customFormat="1" x14ac:dyDescent="0.25"/>
    <row r="129835" customFormat="1" x14ac:dyDescent="0.25"/>
    <row r="129836" customFormat="1" x14ac:dyDescent="0.25"/>
    <row r="129837" customFormat="1" x14ac:dyDescent="0.25"/>
    <row r="129838" customFormat="1" x14ac:dyDescent="0.25"/>
    <row r="129839" customFormat="1" x14ac:dyDescent="0.25"/>
    <row r="129840" customFormat="1" x14ac:dyDescent="0.25"/>
    <row r="129841" customFormat="1" x14ac:dyDescent="0.25"/>
    <row r="129842" customFormat="1" x14ac:dyDescent="0.25"/>
    <row r="129843" customFormat="1" x14ac:dyDescent="0.25"/>
    <row r="129844" customFormat="1" x14ac:dyDescent="0.25"/>
    <row r="129845" customFormat="1" x14ac:dyDescent="0.25"/>
    <row r="129846" customFormat="1" x14ac:dyDescent="0.25"/>
    <row r="129847" customFormat="1" x14ac:dyDescent="0.25"/>
    <row r="129848" customFormat="1" x14ac:dyDescent="0.25"/>
    <row r="129849" customFormat="1" x14ac:dyDescent="0.25"/>
    <row r="129850" customFormat="1" x14ac:dyDescent="0.25"/>
    <row r="129851" customFormat="1" x14ac:dyDescent="0.25"/>
    <row r="129852" customFormat="1" x14ac:dyDescent="0.25"/>
    <row r="129853" customFormat="1" x14ac:dyDescent="0.25"/>
    <row r="129854" customFormat="1" x14ac:dyDescent="0.25"/>
    <row r="129855" customFormat="1" x14ac:dyDescent="0.25"/>
    <row r="129856" customFormat="1" x14ac:dyDescent="0.25"/>
    <row r="129857" customFormat="1" x14ac:dyDescent="0.25"/>
    <row r="129858" customFormat="1" x14ac:dyDescent="0.25"/>
    <row r="129859" customFormat="1" x14ac:dyDescent="0.25"/>
    <row r="129860" customFormat="1" x14ac:dyDescent="0.25"/>
    <row r="129861" customFormat="1" x14ac:dyDescent="0.25"/>
    <row r="129862" customFormat="1" x14ac:dyDescent="0.25"/>
    <row r="129863" customFormat="1" x14ac:dyDescent="0.25"/>
    <row r="129864" customFormat="1" x14ac:dyDescent="0.25"/>
    <row r="129865" customFormat="1" x14ac:dyDescent="0.25"/>
    <row r="129866" customFormat="1" x14ac:dyDescent="0.25"/>
    <row r="129867" customFormat="1" x14ac:dyDescent="0.25"/>
    <row r="129868" customFormat="1" x14ac:dyDescent="0.25"/>
    <row r="129869" customFormat="1" x14ac:dyDescent="0.25"/>
    <row r="129870" customFormat="1" x14ac:dyDescent="0.25"/>
    <row r="129871" customFormat="1" x14ac:dyDescent="0.25"/>
    <row r="129872" customFormat="1" x14ac:dyDescent="0.25"/>
    <row r="129873" customFormat="1" x14ac:dyDescent="0.25"/>
    <row r="129874" customFormat="1" x14ac:dyDescent="0.25"/>
    <row r="129875" customFormat="1" x14ac:dyDescent="0.25"/>
    <row r="129876" customFormat="1" x14ac:dyDescent="0.25"/>
    <row r="129877" customFormat="1" x14ac:dyDescent="0.25"/>
    <row r="129878" customFormat="1" x14ac:dyDescent="0.25"/>
    <row r="129879" customFormat="1" x14ac:dyDescent="0.25"/>
    <row r="129880" customFormat="1" x14ac:dyDescent="0.25"/>
    <row r="129881" customFormat="1" x14ac:dyDescent="0.25"/>
    <row r="129882" customFormat="1" x14ac:dyDescent="0.25"/>
    <row r="129883" customFormat="1" x14ac:dyDescent="0.25"/>
    <row r="129884" customFormat="1" x14ac:dyDescent="0.25"/>
    <row r="129885" customFormat="1" x14ac:dyDescent="0.25"/>
    <row r="129886" customFormat="1" x14ac:dyDescent="0.25"/>
    <row r="129887" customFormat="1" x14ac:dyDescent="0.25"/>
    <row r="129888" customFormat="1" x14ac:dyDescent="0.25"/>
    <row r="129889" customFormat="1" x14ac:dyDescent="0.25"/>
    <row r="129890" customFormat="1" x14ac:dyDescent="0.25"/>
    <row r="129891" customFormat="1" x14ac:dyDescent="0.25"/>
    <row r="129892" customFormat="1" x14ac:dyDescent="0.25"/>
    <row r="129893" customFormat="1" x14ac:dyDescent="0.25"/>
    <row r="129894" customFormat="1" x14ac:dyDescent="0.25"/>
    <row r="129895" customFormat="1" x14ac:dyDescent="0.25"/>
    <row r="129896" customFormat="1" x14ac:dyDescent="0.25"/>
    <row r="129897" customFormat="1" x14ac:dyDescent="0.25"/>
    <row r="129898" customFormat="1" x14ac:dyDescent="0.25"/>
    <row r="129899" customFormat="1" x14ac:dyDescent="0.25"/>
    <row r="129900" customFormat="1" x14ac:dyDescent="0.25"/>
    <row r="129901" customFormat="1" x14ac:dyDescent="0.25"/>
    <row r="129902" customFormat="1" x14ac:dyDescent="0.25"/>
    <row r="129903" customFormat="1" x14ac:dyDescent="0.25"/>
    <row r="129904" customFormat="1" x14ac:dyDescent="0.25"/>
    <row r="129905" customFormat="1" x14ac:dyDescent="0.25"/>
    <row r="129906" customFormat="1" x14ac:dyDescent="0.25"/>
    <row r="129907" customFormat="1" x14ac:dyDescent="0.25"/>
    <row r="129908" customFormat="1" x14ac:dyDescent="0.25"/>
    <row r="129909" customFormat="1" x14ac:dyDescent="0.25"/>
    <row r="129910" customFormat="1" x14ac:dyDescent="0.25"/>
    <row r="129911" customFormat="1" x14ac:dyDescent="0.25"/>
    <row r="129912" customFormat="1" x14ac:dyDescent="0.25"/>
    <row r="129913" customFormat="1" x14ac:dyDescent="0.25"/>
    <row r="129914" customFormat="1" x14ac:dyDescent="0.25"/>
    <row r="129915" customFormat="1" x14ac:dyDescent="0.25"/>
    <row r="129916" customFormat="1" x14ac:dyDescent="0.25"/>
    <row r="129917" customFormat="1" x14ac:dyDescent="0.25"/>
    <row r="129918" customFormat="1" x14ac:dyDescent="0.25"/>
    <row r="129919" customFormat="1" x14ac:dyDescent="0.25"/>
    <row r="129920" customFormat="1" x14ac:dyDescent="0.25"/>
    <row r="129921" customFormat="1" x14ac:dyDescent="0.25"/>
    <row r="129922" customFormat="1" x14ac:dyDescent="0.25"/>
    <row r="129923" customFormat="1" x14ac:dyDescent="0.25"/>
    <row r="129924" customFormat="1" x14ac:dyDescent="0.25"/>
    <row r="129925" customFormat="1" x14ac:dyDescent="0.25"/>
    <row r="129926" customFormat="1" x14ac:dyDescent="0.25"/>
    <row r="129927" customFormat="1" x14ac:dyDescent="0.25"/>
    <row r="129928" customFormat="1" x14ac:dyDescent="0.25"/>
    <row r="129929" customFormat="1" x14ac:dyDescent="0.25"/>
    <row r="129930" customFormat="1" x14ac:dyDescent="0.25"/>
    <row r="129931" customFormat="1" x14ac:dyDescent="0.25"/>
    <row r="129932" customFormat="1" x14ac:dyDescent="0.25"/>
    <row r="129933" customFormat="1" x14ac:dyDescent="0.25"/>
    <row r="129934" customFormat="1" x14ac:dyDescent="0.25"/>
    <row r="129935" customFormat="1" x14ac:dyDescent="0.25"/>
    <row r="129936" customFormat="1" x14ac:dyDescent="0.25"/>
    <row r="129937" customFormat="1" x14ac:dyDescent="0.25"/>
    <row r="129938" customFormat="1" x14ac:dyDescent="0.25"/>
    <row r="129939" customFormat="1" x14ac:dyDescent="0.25"/>
    <row r="129940" customFormat="1" x14ac:dyDescent="0.25"/>
    <row r="129941" customFormat="1" x14ac:dyDescent="0.25"/>
    <row r="129942" customFormat="1" x14ac:dyDescent="0.25"/>
    <row r="129943" customFormat="1" x14ac:dyDescent="0.25"/>
    <row r="129944" customFormat="1" x14ac:dyDescent="0.25"/>
    <row r="129945" customFormat="1" x14ac:dyDescent="0.25"/>
    <row r="129946" customFormat="1" x14ac:dyDescent="0.25"/>
    <row r="129947" customFormat="1" x14ac:dyDescent="0.25"/>
    <row r="129948" customFormat="1" x14ac:dyDescent="0.25"/>
    <row r="129949" customFormat="1" x14ac:dyDescent="0.25"/>
    <row r="129950" customFormat="1" x14ac:dyDescent="0.25"/>
    <row r="129951" customFormat="1" x14ac:dyDescent="0.25"/>
    <row r="129952" customFormat="1" x14ac:dyDescent="0.25"/>
    <row r="129953" customFormat="1" x14ac:dyDescent="0.25"/>
    <row r="129954" customFormat="1" x14ac:dyDescent="0.25"/>
    <row r="129955" customFormat="1" x14ac:dyDescent="0.25"/>
    <row r="129956" customFormat="1" x14ac:dyDescent="0.25"/>
    <row r="129957" customFormat="1" x14ac:dyDescent="0.25"/>
    <row r="129958" customFormat="1" x14ac:dyDescent="0.25"/>
    <row r="129959" customFormat="1" x14ac:dyDescent="0.25"/>
    <row r="129960" customFormat="1" x14ac:dyDescent="0.25"/>
    <row r="129961" customFormat="1" x14ac:dyDescent="0.25"/>
    <row r="129962" customFormat="1" x14ac:dyDescent="0.25"/>
    <row r="129963" customFormat="1" x14ac:dyDescent="0.25"/>
    <row r="129964" customFormat="1" x14ac:dyDescent="0.25"/>
    <row r="129965" customFormat="1" x14ac:dyDescent="0.25"/>
    <row r="129966" customFormat="1" x14ac:dyDescent="0.25"/>
    <row r="129967" customFormat="1" x14ac:dyDescent="0.25"/>
    <row r="129968" customFormat="1" x14ac:dyDescent="0.25"/>
    <row r="129969" customFormat="1" x14ac:dyDescent="0.25"/>
    <row r="129970" customFormat="1" x14ac:dyDescent="0.25"/>
    <row r="129971" customFormat="1" x14ac:dyDescent="0.25"/>
    <row r="129972" customFormat="1" x14ac:dyDescent="0.25"/>
    <row r="129973" customFormat="1" x14ac:dyDescent="0.25"/>
    <row r="129974" customFormat="1" x14ac:dyDescent="0.25"/>
    <row r="129975" customFormat="1" x14ac:dyDescent="0.25"/>
    <row r="129976" customFormat="1" x14ac:dyDescent="0.25"/>
    <row r="129977" customFormat="1" x14ac:dyDescent="0.25"/>
    <row r="129978" customFormat="1" x14ac:dyDescent="0.25"/>
    <row r="129979" customFormat="1" x14ac:dyDescent="0.25"/>
    <row r="129980" customFormat="1" x14ac:dyDescent="0.25"/>
    <row r="129981" customFormat="1" x14ac:dyDescent="0.25"/>
    <row r="129982" customFormat="1" x14ac:dyDescent="0.25"/>
    <row r="129983" customFormat="1" x14ac:dyDescent="0.25"/>
    <row r="129984" customFormat="1" x14ac:dyDescent="0.25"/>
    <row r="129985" customFormat="1" x14ac:dyDescent="0.25"/>
    <row r="129986" customFormat="1" x14ac:dyDescent="0.25"/>
    <row r="129987" customFormat="1" x14ac:dyDescent="0.25"/>
    <row r="129988" customFormat="1" x14ac:dyDescent="0.25"/>
    <row r="129989" customFormat="1" x14ac:dyDescent="0.25"/>
    <row r="129990" customFormat="1" x14ac:dyDescent="0.25"/>
    <row r="129991" customFormat="1" x14ac:dyDescent="0.25"/>
    <row r="129992" customFormat="1" x14ac:dyDescent="0.25"/>
    <row r="129993" customFormat="1" x14ac:dyDescent="0.25"/>
    <row r="129994" customFormat="1" x14ac:dyDescent="0.25"/>
    <row r="129995" customFormat="1" x14ac:dyDescent="0.25"/>
    <row r="129996" customFormat="1" x14ac:dyDescent="0.25"/>
    <row r="129997" customFormat="1" x14ac:dyDescent="0.25"/>
    <row r="129998" customFormat="1" x14ac:dyDescent="0.25"/>
    <row r="129999" customFormat="1" x14ac:dyDescent="0.25"/>
    <row r="130000" customFormat="1" x14ac:dyDescent="0.25"/>
    <row r="130001" customFormat="1" x14ac:dyDescent="0.25"/>
    <row r="130002" customFormat="1" x14ac:dyDescent="0.25"/>
    <row r="130003" customFormat="1" x14ac:dyDescent="0.25"/>
    <row r="130004" customFormat="1" x14ac:dyDescent="0.25"/>
    <row r="130005" customFormat="1" x14ac:dyDescent="0.25"/>
    <row r="130006" customFormat="1" x14ac:dyDescent="0.25"/>
    <row r="130007" customFormat="1" x14ac:dyDescent="0.25"/>
    <row r="130008" customFormat="1" x14ac:dyDescent="0.25"/>
    <row r="130009" customFormat="1" x14ac:dyDescent="0.25"/>
    <row r="130010" customFormat="1" x14ac:dyDescent="0.25"/>
    <row r="130011" customFormat="1" x14ac:dyDescent="0.25"/>
    <row r="130012" customFormat="1" x14ac:dyDescent="0.25"/>
    <row r="130013" customFormat="1" x14ac:dyDescent="0.25"/>
    <row r="130014" customFormat="1" x14ac:dyDescent="0.25"/>
    <row r="130015" customFormat="1" x14ac:dyDescent="0.25"/>
    <row r="130016" customFormat="1" x14ac:dyDescent="0.25"/>
    <row r="130017" customFormat="1" x14ac:dyDescent="0.25"/>
    <row r="130018" customFormat="1" x14ac:dyDescent="0.25"/>
    <row r="130019" customFormat="1" x14ac:dyDescent="0.25"/>
    <row r="130020" customFormat="1" x14ac:dyDescent="0.25"/>
    <row r="130021" customFormat="1" x14ac:dyDescent="0.25"/>
    <row r="130022" customFormat="1" x14ac:dyDescent="0.25"/>
    <row r="130023" customFormat="1" x14ac:dyDescent="0.25"/>
    <row r="130024" customFormat="1" x14ac:dyDescent="0.25"/>
    <row r="130025" customFormat="1" x14ac:dyDescent="0.25"/>
    <row r="130026" customFormat="1" x14ac:dyDescent="0.25"/>
    <row r="130027" customFormat="1" x14ac:dyDescent="0.25"/>
    <row r="130028" customFormat="1" x14ac:dyDescent="0.25"/>
    <row r="130029" customFormat="1" x14ac:dyDescent="0.25"/>
    <row r="130030" customFormat="1" x14ac:dyDescent="0.25"/>
    <row r="130031" customFormat="1" x14ac:dyDescent="0.25"/>
    <row r="130032" customFormat="1" x14ac:dyDescent="0.25"/>
    <row r="130033" customFormat="1" x14ac:dyDescent="0.25"/>
    <row r="130034" customFormat="1" x14ac:dyDescent="0.25"/>
    <row r="130035" customFormat="1" x14ac:dyDescent="0.25"/>
    <row r="130036" customFormat="1" x14ac:dyDescent="0.25"/>
    <row r="130037" customFormat="1" x14ac:dyDescent="0.25"/>
    <row r="130038" customFormat="1" x14ac:dyDescent="0.25"/>
    <row r="130039" customFormat="1" x14ac:dyDescent="0.25"/>
    <row r="130040" customFormat="1" x14ac:dyDescent="0.25"/>
    <row r="130041" customFormat="1" x14ac:dyDescent="0.25"/>
    <row r="130042" customFormat="1" x14ac:dyDescent="0.25"/>
    <row r="130043" customFormat="1" x14ac:dyDescent="0.25"/>
    <row r="130044" customFormat="1" x14ac:dyDescent="0.25"/>
    <row r="130045" customFormat="1" x14ac:dyDescent="0.25"/>
    <row r="130046" customFormat="1" x14ac:dyDescent="0.25"/>
    <row r="130047" customFormat="1" x14ac:dyDescent="0.25"/>
    <row r="130048" customFormat="1" x14ac:dyDescent="0.25"/>
    <row r="130049" customFormat="1" x14ac:dyDescent="0.25"/>
    <row r="130050" customFormat="1" x14ac:dyDescent="0.25"/>
    <row r="130051" customFormat="1" x14ac:dyDescent="0.25"/>
    <row r="130052" customFormat="1" x14ac:dyDescent="0.25"/>
    <row r="130053" customFormat="1" x14ac:dyDescent="0.25"/>
    <row r="130054" customFormat="1" x14ac:dyDescent="0.25"/>
    <row r="130055" customFormat="1" x14ac:dyDescent="0.25"/>
    <row r="130056" customFormat="1" x14ac:dyDescent="0.25"/>
    <row r="130057" customFormat="1" x14ac:dyDescent="0.25"/>
    <row r="130058" customFormat="1" x14ac:dyDescent="0.25"/>
    <row r="130059" customFormat="1" x14ac:dyDescent="0.25"/>
    <row r="130060" customFormat="1" x14ac:dyDescent="0.25"/>
    <row r="130061" customFormat="1" x14ac:dyDescent="0.25"/>
    <row r="130062" customFormat="1" x14ac:dyDescent="0.25"/>
    <row r="130063" customFormat="1" x14ac:dyDescent="0.25"/>
    <row r="130064" customFormat="1" x14ac:dyDescent="0.25"/>
    <row r="130065" customFormat="1" x14ac:dyDescent="0.25"/>
    <row r="130066" customFormat="1" x14ac:dyDescent="0.25"/>
    <row r="130067" customFormat="1" x14ac:dyDescent="0.25"/>
    <row r="130068" customFormat="1" x14ac:dyDescent="0.25"/>
    <row r="130069" customFormat="1" x14ac:dyDescent="0.25"/>
    <row r="130070" customFormat="1" x14ac:dyDescent="0.25"/>
    <row r="130071" customFormat="1" x14ac:dyDescent="0.25"/>
    <row r="130072" customFormat="1" x14ac:dyDescent="0.25"/>
    <row r="130073" customFormat="1" x14ac:dyDescent="0.25"/>
    <row r="130074" customFormat="1" x14ac:dyDescent="0.25"/>
    <row r="130075" customFormat="1" x14ac:dyDescent="0.25"/>
    <row r="130076" customFormat="1" x14ac:dyDescent="0.25"/>
    <row r="130077" customFormat="1" x14ac:dyDescent="0.25"/>
    <row r="130078" customFormat="1" x14ac:dyDescent="0.25"/>
    <row r="130079" customFormat="1" x14ac:dyDescent="0.25"/>
    <row r="130080" customFormat="1" x14ac:dyDescent="0.25"/>
    <row r="130081" customFormat="1" x14ac:dyDescent="0.25"/>
    <row r="130082" customFormat="1" x14ac:dyDescent="0.25"/>
    <row r="130083" customFormat="1" x14ac:dyDescent="0.25"/>
    <row r="130084" customFormat="1" x14ac:dyDescent="0.25"/>
    <row r="130085" customFormat="1" x14ac:dyDescent="0.25"/>
    <row r="130086" customFormat="1" x14ac:dyDescent="0.25"/>
    <row r="130087" customFormat="1" x14ac:dyDescent="0.25"/>
    <row r="130088" customFormat="1" x14ac:dyDescent="0.25"/>
    <row r="130089" customFormat="1" x14ac:dyDescent="0.25"/>
    <row r="130090" customFormat="1" x14ac:dyDescent="0.25"/>
    <row r="130091" customFormat="1" x14ac:dyDescent="0.25"/>
    <row r="130092" customFormat="1" x14ac:dyDescent="0.25"/>
    <row r="130093" customFormat="1" x14ac:dyDescent="0.25"/>
    <row r="130094" customFormat="1" x14ac:dyDescent="0.25"/>
    <row r="130095" customFormat="1" x14ac:dyDescent="0.25"/>
    <row r="130096" customFormat="1" x14ac:dyDescent="0.25"/>
    <row r="130097" customFormat="1" x14ac:dyDescent="0.25"/>
    <row r="130098" customFormat="1" x14ac:dyDescent="0.25"/>
    <row r="130099" customFormat="1" x14ac:dyDescent="0.25"/>
    <row r="130100" customFormat="1" x14ac:dyDescent="0.25"/>
    <row r="130101" customFormat="1" x14ac:dyDescent="0.25"/>
    <row r="130102" customFormat="1" x14ac:dyDescent="0.25"/>
    <row r="130103" customFormat="1" x14ac:dyDescent="0.25"/>
    <row r="130104" customFormat="1" x14ac:dyDescent="0.25"/>
    <row r="130105" customFormat="1" x14ac:dyDescent="0.25"/>
    <row r="130106" customFormat="1" x14ac:dyDescent="0.25"/>
    <row r="130107" customFormat="1" x14ac:dyDescent="0.25"/>
    <row r="130108" customFormat="1" x14ac:dyDescent="0.25"/>
    <row r="130109" customFormat="1" x14ac:dyDescent="0.25"/>
    <row r="130110" customFormat="1" x14ac:dyDescent="0.25"/>
    <row r="130111" customFormat="1" x14ac:dyDescent="0.25"/>
    <row r="130112" customFormat="1" x14ac:dyDescent="0.25"/>
    <row r="130113" customFormat="1" x14ac:dyDescent="0.25"/>
    <row r="130114" customFormat="1" x14ac:dyDescent="0.25"/>
    <row r="130115" customFormat="1" x14ac:dyDescent="0.25"/>
    <row r="130116" customFormat="1" x14ac:dyDescent="0.25"/>
    <row r="130117" customFormat="1" x14ac:dyDescent="0.25"/>
    <row r="130118" customFormat="1" x14ac:dyDescent="0.25"/>
    <row r="130119" customFormat="1" x14ac:dyDescent="0.25"/>
    <row r="130120" customFormat="1" x14ac:dyDescent="0.25"/>
    <row r="130121" customFormat="1" x14ac:dyDescent="0.25"/>
    <row r="130122" customFormat="1" x14ac:dyDescent="0.25"/>
    <row r="130123" customFormat="1" x14ac:dyDescent="0.25"/>
    <row r="130124" customFormat="1" x14ac:dyDescent="0.25"/>
    <row r="130125" customFormat="1" x14ac:dyDescent="0.25"/>
    <row r="130126" customFormat="1" x14ac:dyDescent="0.25"/>
    <row r="130127" customFormat="1" x14ac:dyDescent="0.25"/>
    <row r="130128" customFormat="1" x14ac:dyDescent="0.25"/>
    <row r="130129" customFormat="1" x14ac:dyDescent="0.25"/>
    <row r="130130" customFormat="1" x14ac:dyDescent="0.25"/>
    <row r="130131" customFormat="1" x14ac:dyDescent="0.25"/>
    <row r="130132" customFormat="1" x14ac:dyDescent="0.25"/>
    <row r="130133" customFormat="1" x14ac:dyDescent="0.25"/>
    <row r="130134" customFormat="1" x14ac:dyDescent="0.25"/>
    <row r="130135" customFormat="1" x14ac:dyDescent="0.25"/>
    <row r="130136" customFormat="1" x14ac:dyDescent="0.25"/>
    <row r="130137" customFormat="1" x14ac:dyDescent="0.25"/>
    <row r="130138" customFormat="1" x14ac:dyDescent="0.25"/>
    <row r="130139" customFormat="1" x14ac:dyDescent="0.25"/>
    <row r="130140" customFormat="1" x14ac:dyDescent="0.25"/>
    <row r="130141" customFormat="1" x14ac:dyDescent="0.25"/>
    <row r="130142" customFormat="1" x14ac:dyDescent="0.25"/>
    <row r="130143" customFormat="1" x14ac:dyDescent="0.25"/>
    <row r="130144" customFormat="1" x14ac:dyDescent="0.25"/>
    <row r="130145" customFormat="1" x14ac:dyDescent="0.25"/>
    <row r="130146" customFormat="1" x14ac:dyDescent="0.25"/>
    <row r="130147" customFormat="1" x14ac:dyDescent="0.25"/>
    <row r="130148" customFormat="1" x14ac:dyDescent="0.25"/>
    <row r="130149" customFormat="1" x14ac:dyDescent="0.25"/>
    <row r="130150" customFormat="1" x14ac:dyDescent="0.25"/>
    <row r="130151" customFormat="1" x14ac:dyDescent="0.25"/>
    <row r="130152" customFormat="1" x14ac:dyDescent="0.25"/>
    <row r="130153" customFormat="1" x14ac:dyDescent="0.25"/>
    <row r="130154" customFormat="1" x14ac:dyDescent="0.25"/>
    <row r="130155" customFormat="1" x14ac:dyDescent="0.25"/>
    <row r="130156" customFormat="1" x14ac:dyDescent="0.25"/>
    <row r="130157" customFormat="1" x14ac:dyDescent="0.25"/>
    <row r="130158" customFormat="1" x14ac:dyDescent="0.25"/>
    <row r="130159" customFormat="1" x14ac:dyDescent="0.25"/>
    <row r="130160" customFormat="1" x14ac:dyDescent="0.25"/>
    <row r="130161" customFormat="1" x14ac:dyDescent="0.25"/>
    <row r="130162" customFormat="1" x14ac:dyDescent="0.25"/>
    <row r="130163" customFormat="1" x14ac:dyDescent="0.25"/>
    <row r="130164" customFormat="1" x14ac:dyDescent="0.25"/>
    <row r="130165" customFormat="1" x14ac:dyDescent="0.25"/>
    <row r="130166" customFormat="1" x14ac:dyDescent="0.25"/>
    <row r="130167" customFormat="1" x14ac:dyDescent="0.25"/>
    <row r="130168" customFormat="1" x14ac:dyDescent="0.25"/>
    <row r="130169" customFormat="1" x14ac:dyDescent="0.25"/>
    <row r="130170" customFormat="1" x14ac:dyDescent="0.25"/>
    <row r="130171" customFormat="1" x14ac:dyDescent="0.25"/>
    <row r="130172" customFormat="1" x14ac:dyDescent="0.25"/>
    <row r="130173" customFormat="1" x14ac:dyDescent="0.25"/>
    <row r="130174" customFormat="1" x14ac:dyDescent="0.25"/>
    <row r="130175" customFormat="1" x14ac:dyDescent="0.25"/>
    <row r="130176" customFormat="1" x14ac:dyDescent="0.25"/>
    <row r="130177" customFormat="1" x14ac:dyDescent="0.25"/>
    <row r="130178" customFormat="1" x14ac:dyDescent="0.25"/>
    <row r="130179" customFormat="1" x14ac:dyDescent="0.25"/>
    <row r="130180" customFormat="1" x14ac:dyDescent="0.25"/>
    <row r="130181" customFormat="1" x14ac:dyDescent="0.25"/>
    <row r="130182" customFormat="1" x14ac:dyDescent="0.25"/>
    <row r="130183" customFormat="1" x14ac:dyDescent="0.25"/>
    <row r="130184" customFormat="1" x14ac:dyDescent="0.25"/>
    <row r="130185" customFormat="1" x14ac:dyDescent="0.25"/>
    <row r="130186" customFormat="1" x14ac:dyDescent="0.25"/>
    <row r="130187" customFormat="1" x14ac:dyDescent="0.25"/>
    <row r="130188" customFormat="1" x14ac:dyDescent="0.25"/>
    <row r="130189" customFormat="1" x14ac:dyDescent="0.25"/>
    <row r="130190" customFormat="1" x14ac:dyDescent="0.25"/>
    <row r="130191" customFormat="1" x14ac:dyDescent="0.25"/>
    <row r="130192" customFormat="1" x14ac:dyDescent="0.25"/>
    <row r="130193" customFormat="1" x14ac:dyDescent="0.25"/>
    <row r="130194" customFormat="1" x14ac:dyDescent="0.25"/>
    <row r="130195" customFormat="1" x14ac:dyDescent="0.25"/>
    <row r="130196" customFormat="1" x14ac:dyDescent="0.25"/>
    <row r="130197" customFormat="1" x14ac:dyDescent="0.25"/>
    <row r="130198" customFormat="1" x14ac:dyDescent="0.25"/>
    <row r="130199" customFormat="1" x14ac:dyDescent="0.25"/>
    <row r="130200" customFormat="1" x14ac:dyDescent="0.25"/>
    <row r="130201" customFormat="1" x14ac:dyDescent="0.25"/>
    <row r="130202" customFormat="1" x14ac:dyDescent="0.25"/>
    <row r="130203" customFormat="1" x14ac:dyDescent="0.25"/>
    <row r="130204" customFormat="1" x14ac:dyDescent="0.25"/>
    <row r="130205" customFormat="1" x14ac:dyDescent="0.25"/>
    <row r="130206" customFormat="1" x14ac:dyDescent="0.25"/>
    <row r="130207" customFormat="1" x14ac:dyDescent="0.25"/>
    <row r="130208" customFormat="1" x14ac:dyDescent="0.25"/>
    <row r="130209" customFormat="1" x14ac:dyDescent="0.25"/>
    <row r="130210" customFormat="1" x14ac:dyDescent="0.25"/>
    <row r="130211" customFormat="1" x14ac:dyDescent="0.25"/>
    <row r="130212" customFormat="1" x14ac:dyDescent="0.25"/>
    <row r="130213" customFormat="1" x14ac:dyDescent="0.25"/>
    <row r="130214" customFormat="1" x14ac:dyDescent="0.25"/>
    <row r="130215" customFormat="1" x14ac:dyDescent="0.25"/>
    <row r="130216" customFormat="1" x14ac:dyDescent="0.25"/>
    <row r="130217" customFormat="1" x14ac:dyDescent="0.25"/>
    <row r="130218" customFormat="1" x14ac:dyDescent="0.25"/>
    <row r="130219" customFormat="1" x14ac:dyDescent="0.25"/>
    <row r="130220" customFormat="1" x14ac:dyDescent="0.25"/>
    <row r="130221" customFormat="1" x14ac:dyDescent="0.25"/>
    <row r="130222" customFormat="1" x14ac:dyDescent="0.25"/>
    <row r="130223" customFormat="1" x14ac:dyDescent="0.25"/>
    <row r="130224" customFormat="1" x14ac:dyDescent="0.25"/>
    <row r="130225" customFormat="1" x14ac:dyDescent="0.25"/>
    <row r="130226" customFormat="1" x14ac:dyDescent="0.25"/>
    <row r="130227" customFormat="1" x14ac:dyDescent="0.25"/>
    <row r="130228" customFormat="1" x14ac:dyDescent="0.25"/>
    <row r="130229" customFormat="1" x14ac:dyDescent="0.25"/>
    <row r="130230" customFormat="1" x14ac:dyDescent="0.25"/>
    <row r="130231" customFormat="1" x14ac:dyDescent="0.25"/>
    <row r="130232" customFormat="1" x14ac:dyDescent="0.25"/>
    <row r="130233" customFormat="1" x14ac:dyDescent="0.25"/>
    <row r="130234" customFormat="1" x14ac:dyDescent="0.25"/>
    <row r="130235" customFormat="1" x14ac:dyDescent="0.25"/>
    <row r="130236" customFormat="1" x14ac:dyDescent="0.25"/>
    <row r="130237" customFormat="1" x14ac:dyDescent="0.25"/>
    <row r="130238" customFormat="1" x14ac:dyDescent="0.25"/>
    <row r="130239" customFormat="1" x14ac:dyDescent="0.25"/>
    <row r="130240" customFormat="1" x14ac:dyDescent="0.25"/>
    <row r="130241" customFormat="1" x14ac:dyDescent="0.25"/>
    <row r="130242" customFormat="1" x14ac:dyDescent="0.25"/>
    <row r="130243" customFormat="1" x14ac:dyDescent="0.25"/>
    <row r="130244" customFormat="1" x14ac:dyDescent="0.25"/>
    <row r="130245" customFormat="1" x14ac:dyDescent="0.25"/>
    <row r="130246" customFormat="1" x14ac:dyDescent="0.25"/>
    <row r="130247" customFormat="1" x14ac:dyDescent="0.25"/>
    <row r="130248" customFormat="1" x14ac:dyDescent="0.25"/>
    <row r="130249" customFormat="1" x14ac:dyDescent="0.25"/>
    <row r="130250" customFormat="1" x14ac:dyDescent="0.25"/>
    <row r="130251" customFormat="1" x14ac:dyDescent="0.25"/>
    <row r="130252" customFormat="1" x14ac:dyDescent="0.25"/>
    <row r="130253" customFormat="1" x14ac:dyDescent="0.25"/>
    <row r="130254" customFormat="1" x14ac:dyDescent="0.25"/>
    <row r="130255" customFormat="1" x14ac:dyDescent="0.25"/>
    <row r="130256" customFormat="1" x14ac:dyDescent="0.25"/>
    <row r="130257" customFormat="1" x14ac:dyDescent="0.25"/>
    <row r="130258" customFormat="1" x14ac:dyDescent="0.25"/>
    <row r="130259" customFormat="1" x14ac:dyDescent="0.25"/>
    <row r="130260" customFormat="1" x14ac:dyDescent="0.25"/>
    <row r="130261" customFormat="1" x14ac:dyDescent="0.25"/>
    <row r="130262" customFormat="1" x14ac:dyDescent="0.25"/>
    <row r="130263" customFormat="1" x14ac:dyDescent="0.25"/>
    <row r="130264" customFormat="1" x14ac:dyDescent="0.25"/>
    <row r="130265" customFormat="1" x14ac:dyDescent="0.25"/>
    <row r="130266" customFormat="1" x14ac:dyDescent="0.25"/>
    <row r="130267" customFormat="1" x14ac:dyDescent="0.25"/>
    <row r="130268" customFormat="1" x14ac:dyDescent="0.25"/>
    <row r="130269" customFormat="1" x14ac:dyDescent="0.25"/>
    <row r="130270" customFormat="1" x14ac:dyDescent="0.25"/>
    <row r="130271" customFormat="1" x14ac:dyDescent="0.25"/>
    <row r="130272" customFormat="1" x14ac:dyDescent="0.25"/>
    <row r="130273" customFormat="1" x14ac:dyDescent="0.25"/>
    <row r="130274" customFormat="1" x14ac:dyDescent="0.25"/>
    <row r="130275" customFormat="1" x14ac:dyDescent="0.25"/>
    <row r="130276" customFormat="1" x14ac:dyDescent="0.25"/>
    <row r="130277" customFormat="1" x14ac:dyDescent="0.25"/>
    <row r="130278" customFormat="1" x14ac:dyDescent="0.25"/>
    <row r="130279" customFormat="1" x14ac:dyDescent="0.25"/>
    <row r="130280" customFormat="1" x14ac:dyDescent="0.25"/>
    <row r="130281" customFormat="1" x14ac:dyDescent="0.25"/>
    <row r="130282" customFormat="1" x14ac:dyDescent="0.25"/>
    <row r="130283" customFormat="1" x14ac:dyDescent="0.25"/>
    <row r="130284" customFormat="1" x14ac:dyDescent="0.25"/>
    <row r="130285" customFormat="1" x14ac:dyDescent="0.25"/>
    <row r="130286" customFormat="1" x14ac:dyDescent="0.25"/>
    <row r="130287" customFormat="1" x14ac:dyDescent="0.25"/>
    <row r="130288" customFormat="1" x14ac:dyDescent="0.25"/>
    <row r="130289" customFormat="1" x14ac:dyDescent="0.25"/>
    <row r="130290" customFormat="1" x14ac:dyDescent="0.25"/>
    <row r="130291" customFormat="1" x14ac:dyDescent="0.25"/>
    <row r="130292" customFormat="1" x14ac:dyDescent="0.25"/>
    <row r="130293" customFormat="1" x14ac:dyDescent="0.25"/>
    <row r="130294" customFormat="1" x14ac:dyDescent="0.25"/>
    <row r="130295" customFormat="1" x14ac:dyDescent="0.25"/>
    <row r="130296" customFormat="1" x14ac:dyDescent="0.25"/>
    <row r="130297" customFormat="1" x14ac:dyDescent="0.25"/>
    <row r="130298" customFormat="1" x14ac:dyDescent="0.25"/>
    <row r="130299" customFormat="1" x14ac:dyDescent="0.25"/>
    <row r="130300" customFormat="1" x14ac:dyDescent="0.25"/>
    <row r="130301" customFormat="1" x14ac:dyDescent="0.25"/>
    <row r="130302" customFormat="1" x14ac:dyDescent="0.25"/>
    <row r="130303" customFormat="1" x14ac:dyDescent="0.25"/>
    <row r="130304" customFormat="1" x14ac:dyDescent="0.25"/>
    <row r="130305" customFormat="1" x14ac:dyDescent="0.25"/>
    <row r="130306" customFormat="1" x14ac:dyDescent="0.25"/>
    <row r="130307" customFormat="1" x14ac:dyDescent="0.25"/>
    <row r="130308" customFormat="1" x14ac:dyDescent="0.25"/>
    <row r="130309" customFormat="1" x14ac:dyDescent="0.25"/>
    <row r="130310" customFormat="1" x14ac:dyDescent="0.25"/>
    <row r="130311" customFormat="1" x14ac:dyDescent="0.25"/>
    <row r="130312" customFormat="1" x14ac:dyDescent="0.25"/>
    <row r="130313" customFormat="1" x14ac:dyDescent="0.25"/>
    <row r="130314" customFormat="1" x14ac:dyDescent="0.25"/>
    <row r="130315" customFormat="1" x14ac:dyDescent="0.25"/>
    <row r="130316" customFormat="1" x14ac:dyDescent="0.25"/>
    <row r="130317" customFormat="1" x14ac:dyDescent="0.25"/>
    <row r="130318" customFormat="1" x14ac:dyDescent="0.25"/>
    <row r="130319" customFormat="1" x14ac:dyDescent="0.25"/>
    <row r="130320" customFormat="1" x14ac:dyDescent="0.25"/>
    <row r="130321" customFormat="1" x14ac:dyDescent="0.25"/>
    <row r="130322" customFormat="1" x14ac:dyDescent="0.25"/>
    <row r="130323" customFormat="1" x14ac:dyDescent="0.25"/>
    <row r="130324" customFormat="1" x14ac:dyDescent="0.25"/>
    <row r="130325" customFormat="1" x14ac:dyDescent="0.25"/>
    <row r="130326" customFormat="1" x14ac:dyDescent="0.25"/>
    <row r="130327" customFormat="1" x14ac:dyDescent="0.25"/>
    <row r="130328" customFormat="1" x14ac:dyDescent="0.25"/>
    <row r="130329" customFormat="1" x14ac:dyDescent="0.25"/>
    <row r="130330" customFormat="1" x14ac:dyDescent="0.25"/>
    <row r="130331" customFormat="1" x14ac:dyDescent="0.25"/>
    <row r="130332" customFormat="1" x14ac:dyDescent="0.25"/>
    <row r="130333" customFormat="1" x14ac:dyDescent="0.25"/>
    <row r="130334" customFormat="1" x14ac:dyDescent="0.25"/>
    <row r="130335" customFormat="1" x14ac:dyDescent="0.25"/>
    <row r="130336" customFormat="1" x14ac:dyDescent="0.25"/>
    <row r="130337" customFormat="1" x14ac:dyDescent="0.25"/>
    <row r="130338" customFormat="1" x14ac:dyDescent="0.25"/>
    <row r="130339" customFormat="1" x14ac:dyDescent="0.25"/>
    <row r="130340" customFormat="1" x14ac:dyDescent="0.25"/>
    <row r="130341" customFormat="1" x14ac:dyDescent="0.25"/>
    <row r="130342" customFormat="1" x14ac:dyDescent="0.25"/>
    <row r="130343" customFormat="1" x14ac:dyDescent="0.25"/>
    <row r="130344" customFormat="1" x14ac:dyDescent="0.25"/>
    <row r="130345" customFormat="1" x14ac:dyDescent="0.25"/>
    <row r="130346" customFormat="1" x14ac:dyDescent="0.25"/>
    <row r="130347" customFormat="1" x14ac:dyDescent="0.25"/>
    <row r="130348" customFormat="1" x14ac:dyDescent="0.25"/>
    <row r="130349" customFormat="1" x14ac:dyDescent="0.25"/>
    <row r="130350" customFormat="1" x14ac:dyDescent="0.25"/>
    <row r="130351" customFormat="1" x14ac:dyDescent="0.25"/>
    <row r="130352" customFormat="1" x14ac:dyDescent="0.25"/>
    <row r="130353" customFormat="1" x14ac:dyDescent="0.25"/>
    <row r="130354" customFormat="1" x14ac:dyDescent="0.25"/>
    <row r="130355" customFormat="1" x14ac:dyDescent="0.25"/>
    <row r="130356" customFormat="1" x14ac:dyDescent="0.25"/>
    <row r="130357" customFormat="1" x14ac:dyDescent="0.25"/>
    <row r="130358" customFormat="1" x14ac:dyDescent="0.25"/>
    <row r="130359" customFormat="1" x14ac:dyDescent="0.25"/>
    <row r="130360" customFormat="1" x14ac:dyDescent="0.25"/>
    <row r="130361" customFormat="1" x14ac:dyDescent="0.25"/>
    <row r="130362" customFormat="1" x14ac:dyDescent="0.25"/>
    <row r="130363" customFormat="1" x14ac:dyDescent="0.25"/>
    <row r="130364" customFormat="1" x14ac:dyDescent="0.25"/>
    <row r="130365" customFormat="1" x14ac:dyDescent="0.25"/>
    <row r="130366" customFormat="1" x14ac:dyDescent="0.25"/>
    <row r="130367" customFormat="1" x14ac:dyDescent="0.25"/>
    <row r="130368" customFormat="1" x14ac:dyDescent="0.25"/>
    <row r="130369" customFormat="1" x14ac:dyDescent="0.25"/>
    <row r="130370" customFormat="1" x14ac:dyDescent="0.25"/>
    <row r="130371" customFormat="1" x14ac:dyDescent="0.25"/>
    <row r="130372" customFormat="1" x14ac:dyDescent="0.25"/>
    <row r="130373" customFormat="1" x14ac:dyDescent="0.25"/>
    <row r="130374" customFormat="1" x14ac:dyDescent="0.25"/>
    <row r="130375" customFormat="1" x14ac:dyDescent="0.25"/>
    <row r="130376" customFormat="1" x14ac:dyDescent="0.25"/>
    <row r="130377" customFormat="1" x14ac:dyDescent="0.25"/>
    <row r="130378" customFormat="1" x14ac:dyDescent="0.25"/>
    <row r="130379" customFormat="1" x14ac:dyDescent="0.25"/>
    <row r="130380" customFormat="1" x14ac:dyDescent="0.25"/>
    <row r="130381" customFormat="1" x14ac:dyDescent="0.25"/>
    <row r="130382" customFormat="1" x14ac:dyDescent="0.25"/>
    <row r="130383" customFormat="1" x14ac:dyDescent="0.25"/>
    <row r="130384" customFormat="1" x14ac:dyDescent="0.25"/>
    <row r="130385" customFormat="1" x14ac:dyDescent="0.25"/>
    <row r="130386" customFormat="1" x14ac:dyDescent="0.25"/>
    <row r="130387" customFormat="1" x14ac:dyDescent="0.25"/>
    <row r="130388" customFormat="1" x14ac:dyDescent="0.25"/>
    <row r="130389" customFormat="1" x14ac:dyDescent="0.25"/>
    <row r="130390" customFormat="1" x14ac:dyDescent="0.25"/>
    <row r="130391" customFormat="1" x14ac:dyDescent="0.25"/>
    <row r="130392" customFormat="1" x14ac:dyDescent="0.25"/>
    <row r="130393" customFormat="1" x14ac:dyDescent="0.25"/>
    <row r="130394" customFormat="1" x14ac:dyDescent="0.25"/>
    <row r="130395" customFormat="1" x14ac:dyDescent="0.25"/>
    <row r="130396" customFormat="1" x14ac:dyDescent="0.25"/>
    <row r="130397" customFormat="1" x14ac:dyDescent="0.25"/>
    <row r="130398" customFormat="1" x14ac:dyDescent="0.25"/>
    <row r="130399" customFormat="1" x14ac:dyDescent="0.25"/>
    <row r="130400" customFormat="1" x14ac:dyDescent="0.25"/>
    <row r="130401" customFormat="1" x14ac:dyDescent="0.25"/>
    <row r="130402" customFormat="1" x14ac:dyDescent="0.25"/>
    <row r="130403" customFormat="1" x14ac:dyDescent="0.25"/>
    <row r="130404" customFormat="1" x14ac:dyDescent="0.25"/>
    <row r="130405" customFormat="1" x14ac:dyDescent="0.25"/>
    <row r="130406" customFormat="1" x14ac:dyDescent="0.25"/>
    <row r="130407" customFormat="1" x14ac:dyDescent="0.25"/>
    <row r="130408" customFormat="1" x14ac:dyDescent="0.25"/>
    <row r="130409" customFormat="1" x14ac:dyDescent="0.25"/>
    <row r="130410" customFormat="1" x14ac:dyDescent="0.25"/>
    <row r="130411" customFormat="1" x14ac:dyDescent="0.25"/>
    <row r="130412" customFormat="1" x14ac:dyDescent="0.25"/>
    <row r="130413" customFormat="1" x14ac:dyDescent="0.25"/>
    <row r="130414" customFormat="1" x14ac:dyDescent="0.25"/>
    <row r="130415" customFormat="1" x14ac:dyDescent="0.25"/>
    <row r="130416" customFormat="1" x14ac:dyDescent="0.25"/>
    <row r="130417" customFormat="1" x14ac:dyDescent="0.25"/>
    <row r="130418" customFormat="1" x14ac:dyDescent="0.25"/>
    <row r="130419" customFormat="1" x14ac:dyDescent="0.25"/>
    <row r="130420" customFormat="1" x14ac:dyDescent="0.25"/>
    <row r="130421" customFormat="1" x14ac:dyDescent="0.25"/>
    <row r="130422" customFormat="1" x14ac:dyDescent="0.25"/>
    <row r="130423" customFormat="1" x14ac:dyDescent="0.25"/>
    <row r="130424" customFormat="1" x14ac:dyDescent="0.25"/>
    <row r="130425" customFormat="1" x14ac:dyDescent="0.25"/>
    <row r="130426" customFormat="1" x14ac:dyDescent="0.25"/>
    <row r="130427" customFormat="1" x14ac:dyDescent="0.25"/>
    <row r="130428" customFormat="1" x14ac:dyDescent="0.25"/>
    <row r="130429" customFormat="1" x14ac:dyDescent="0.25"/>
    <row r="130430" customFormat="1" x14ac:dyDescent="0.25"/>
    <row r="130431" customFormat="1" x14ac:dyDescent="0.25"/>
    <row r="130432" customFormat="1" x14ac:dyDescent="0.25"/>
    <row r="130433" customFormat="1" x14ac:dyDescent="0.25"/>
    <row r="130434" customFormat="1" x14ac:dyDescent="0.25"/>
    <row r="130435" customFormat="1" x14ac:dyDescent="0.25"/>
    <row r="130436" customFormat="1" x14ac:dyDescent="0.25"/>
    <row r="130437" customFormat="1" x14ac:dyDescent="0.25"/>
    <row r="130438" customFormat="1" x14ac:dyDescent="0.25"/>
    <row r="130439" customFormat="1" x14ac:dyDescent="0.25"/>
    <row r="130440" customFormat="1" x14ac:dyDescent="0.25"/>
    <row r="130441" customFormat="1" x14ac:dyDescent="0.25"/>
    <row r="130442" customFormat="1" x14ac:dyDescent="0.25"/>
    <row r="130443" customFormat="1" x14ac:dyDescent="0.25"/>
    <row r="130444" customFormat="1" x14ac:dyDescent="0.25"/>
    <row r="130445" customFormat="1" x14ac:dyDescent="0.25"/>
    <row r="130446" customFormat="1" x14ac:dyDescent="0.25"/>
    <row r="130447" customFormat="1" x14ac:dyDescent="0.25"/>
    <row r="130448" customFormat="1" x14ac:dyDescent="0.25"/>
    <row r="130449" customFormat="1" x14ac:dyDescent="0.25"/>
    <row r="130450" customFormat="1" x14ac:dyDescent="0.25"/>
    <row r="130451" customFormat="1" x14ac:dyDescent="0.25"/>
    <row r="130452" customFormat="1" x14ac:dyDescent="0.25"/>
    <row r="130453" customFormat="1" x14ac:dyDescent="0.25"/>
    <row r="130454" customFormat="1" x14ac:dyDescent="0.25"/>
    <row r="130455" customFormat="1" x14ac:dyDescent="0.25"/>
    <row r="130456" customFormat="1" x14ac:dyDescent="0.25"/>
    <row r="130457" customFormat="1" x14ac:dyDescent="0.25"/>
    <row r="130458" customFormat="1" x14ac:dyDescent="0.25"/>
    <row r="130459" customFormat="1" x14ac:dyDescent="0.25"/>
    <row r="130460" customFormat="1" x14ac:dyDescent="0.25"/>
    <row r="130461" customFormat="1" x14ac:dyDescent="0.25"/>
    <row r="130462" customFormat="1" x14ac:dyDescent="0.25"/>
    <row r="130463" customFormat="1" x14ac:dyDescent="0.25"/>
    <row r="130464" customFormat="1" x14ac:dyDescent="0.25"/>
    <row r="130465" customFormat="1" x14ac:dyDescent="0.25"/>
    <row r="130466" customFormat="1" x14ac:dyDescent="0.25"/>
    <row r="130467" customFormat="1" x14ac:dyDescent="0.25"/>
    <row r="130468" customFormat="1" x14ac:dyDescent="0.25"/>
    <row r="130469" customFormat="1" x14ac:dyDescent="0.25"/>
    <row r="130470" customFormat="1" x14ac:dyDescent="0.25"/>
    <row r="130471" customFormat="1" x14ac:dyDescent="0.25"/>
    <row r="130472" customFormat="1" x14ac:dyDescent="0.25"/>
    <row r="130473" customFormat="1" x14ac:dyDescent="0.25"/>
    <row r="130474" customFormat="1" x14ac:dyDescent="0.25"/>
    <row r="130475" customFormat="1" x14ac:dyDescent="0.25"/>
    <row r="130476" customFormat="1" x14ac:dyDescent="0.25"/>
    <row r="130477" customFormat="1" x14ac:dyDescent="0.25"/>
    <row r="130478" customFormat="1" x14ac:dyDescent="0.25"/>
    <row r="130479" customFormat="1" x14ac:dyDescent="0.25"/>
    <row r="130480" customFormat="1" x14ac:dyDescent="0.25"/>
    <row r="130481" customFormat="1" x14ac:dyDescent="0.25"/>
    <row r="130482" customFormat="1" x14ac:dyDescent="0.25"/>
    <row r="130483" customFormat="1" x14ac:dyDescent="0.25"/>
    <row r="130484" customFormat="1" x14ac:dyDescent="0.25"/>
    <row r="130485" customFormat="1" x14ac:dyDescent="0.25"/>
    <row r="130486" customFormat="1" x14ac:dyDescent="0.25"/>
    <row r="130487" customFormat="1" x14ac:dyDescent="0.25"/>
    <row r="130488" customFormat="1" x14ac:dyDescent="0.25"/>
    <row r="130489" customFormat="1" x14ac:dyDescent="0.25"/>
    <row r="130490" customFormat="1" x14ac:dyDescent="0.25"/>
    <row r="130491" customFormat="1" x14ac:dyDescent="0.25"/>
    <row r="130492" customFormat="1" x14ac:dyDescent="0.25"/>
    <row r="130493" customFormat="1" x14ac:dyDescent="0.25"/>
    <row r="130494" customFormat="1" x14ac:dyDescent="0.25"/>
    <row r="130495" customFormat="1" x14ac:dyDescent="0.25"/>
    <row r="130496" customFormat="1" x14ac:dyDescent="0.25"/>
    <row r="130497" customFormat="1" x14ac:dyDescent="0.25"/>
    <row r="130498" customFormat="1" x14ac:dyDescent="0.25"/>
    <row r="130499" customFormat="1" x14ac:dyDescent="0.25"/>
    <row r="130500" customFormat="1" x14ac:dyDescent="0.25"/>
    <row r="130501" customFormat="1" x14ac:dyDescent="0.25"/>
    <row r="130502" customFormat="1" x14ac:dyDescent="0.25"/>
    <row r="130503" customFormat="1" x14ac:dyDescent="0.25"/>
    <row r="130504" customFormat="1" x14ac:dyDescent="0.25"/>
    <row r="130505" customFormat="1" x14ac:dyDescent="0.25"/>
    <row r="130506" customFormat="1" x14ac:dyDescent="0.25"/>
    <row r="130507" customFormat="1" x14ac:dyDescent="0.25"/>
    <row r="130508" customFormat="1" x14ac:dyDescent="0.25"/>
    <row r="130509" customFormat="1" x14ac:dyDescent="0.25"/>
    <row r="130510" customFormat="1" x14ac:dyDescent="0.25"/>
    <row r="130511" customFormat="1" x14ac:dyDescent="0.25"/>
    <row r="130512" customFormat="1" x14ac:dyDescent="0.25"/>
    <row r="130513" customFormat="1" x14ac:dyDescent="0.25"/>
    <row r="130514" customFormat="1" x14ac:dyDescent="0.25"/>
    <row r="130515" customFormat="1" x14ac:dyDescent="0.25"/>
    <row r="130516" customFormat="1" x14ac:dyDescent="0.25"/>
    <row r="130517" customFormat="1" x14ac:dyDescent="0.25"/>
    <row r="130518" customFormat="1" x14ac:dyDescent="0.25"/>
    <row r="130519" customFormat="1" x14ac:dyDescent="0.25"/>
    <row r="130520" customFormat="1" x14ac:dyDescent="0.25"/>
    <row r="130521" customFormat="1" x14ac:dyDescent="0.25"/>
    <row r="130522" customFormat="1" x14ac:dyDescent="0.25"/>
    <row r="130523" customFormat="1" x14ac:dyDescent="0.25"/>
    <row r="130524" customFormat="1" x14ac:dyDescent="0.25"/>
    <row r="130525" customFormat="1" x14ac:dyDescent="0.25"/>
    <row r="130526" customFormat="1" x14ac:dyDescent="0.25"/>
    <row r="130527" customFormat="1" x14ac:dyDescent="0.25"/>
    <row r="130528" customFormat="1" x14ac:dyDescent="0.25"/>
    <row r="130529" customFormat="1" x14ac:dyDescent="0.25"/>
    <row r="130530" customFormat="1" x14ac:dyDescent="0.25"/>
    <row r="130531" customFormat="1" x14ac:dyDescent="0.25"/>
    <row r="130532" customFormat="1" x14ac:dyDescent="0.25"/>
    <row r="130533" customFormat="1" x14ac:dyDescent="0.25"/>
    <row r="130534" customFormat="1" x14ac:dyDescent="0.25"/>
    <row r="130535" customFormat="1" x14ac:dyDescent="0.25"/>
    <row r="130536" customFormat="1" x14ac:dyDescent="0.25"/>
    <row r="130537" customFormat="1" x14ac:dyDescent="0.25"/>
    <row r="130538" customFormat="1" x14ac:dyDescent="0.25"/>
    <row r="130539" customFormat="1" x14ac:dyDescent="0.25"/>
    <row r="130540" customFormat="1" x14ac:dyDescent="0.25"/>
    <row r="130541" customFormat="1" x14ac:dyDescent="0.25"/>
    <row r="130542" customFormat="1" x14ac:dyDescent="0.25"/>
    <row r="130543" customFormat="1" x14ac:dyDescent="0.25"/>
    <row r="130544" customFormat="1" x14ac:dyDescent="0.25"/>
    <row r="130545" customFormat="1" x14ac:dyDescent="0.25"/>
    <row r="130546" customFormat="1" x14ac:dyDescent="0.25"/>
    <row r="130547" customFormat="1" x14ac:dyDescent="0.25"/>
    <row r="130548" customFormat="1" x14ac:dyDescent="0.25"/>
    <row r="130549" customFormat="1" x14ac:dyDescent="0.25"/>
    <row r="130550" customFormat="1" x14ac:dyDescent="0.25"/>
    <row r="130551" customFormat="1" x14ac:dyDescent="0.25"/>
    <row r="130552" customFormat="1" x14ac:dyDescent="0.25"/>
    <row r="130553" customFormat="1" x14ac:dyDescent="0.25"/>
    <row r="130554" customFormat="1" x14ac:dyDescent="0.25"/>
    <row r="130555" customFormat="1" x14ac:dyDescent="0.25"/>
    <row r="130556" customFormat="1" x14ac:dyDescent="0.25"/>
    <row r="130557" customFormat="1" x14ac:dyDescent="0.25"/>
    <row r="130558" customFormat="1" x14ac:dyDescent="0.25"/>
    <row r="130559" customFormat="1" x14ac:dyDescent="0.25"/>
    <row r="130560" customFormat="1" x14ac:dyDescent="0.25"/>
    <row r="130561" customFormat="1" x14ac:dyDescent="0.25"/>
    <row r="130562" customFormat="1" x14ac:dyDescent="0.25"/>
    <row r="130563" customFormat="1" x14ac:dyDescent="0.25"/>
    <row r="130564" customFormat="1" x14ac:dyDescent="0.25"/>
    <row r="130565" customFormat="1" x14ac:dyDescent="0.25"/>
    <row r="130566" customFormat="1" x14ac:dyDescent="0.25"/>
    <row r="130567" customFormat="1" x14ac:dyDescent="0.25"/>
    <row r="130568" customFormat="1" x14ac:dyDescent="0.25"/>
    <row r="130569" customFormat="1" x14ac:dyDescent="0.25"/>
    <row r="130570" customFormat="1" x14ac:dyDescent="0.25"/>
    <row r="130571" customFormat="1" x14ac:dyDescent="0.25"/>
    <row r="130572" customFormat="1" x14ac:dyDescent="0.25"/>
    <row r="130573" customFormat="1" x14ac:dyDescent="0.25"/>
    <row r="130574" customFormat="1" x14ac:dyDescent="0.25"/>
    <row r="130575" customFormat="1" x14ac:dyDescent="0.25"/>
    <row r="130576" customFormat="1" x14ac:dyDescent="0.25"/>
    <row r="130577" customFormat="1" x14ac:dyDescent="0.25"/>
    <row r="130578" customFormat="1" x14ac:dyDescent="0.25"/>
    <row r="130579" customFormat="1" x14ac:dyDescent="0.25"/>
    <row r="130580" customFormat="1" x14ac:dyDescent="0.25"/>
    <row r="130581" customFormat="1" x14ac:dyDescent="0.25"/>
    <row r="130582" customFormat="1" x14ac:dyDescent="0.25"/>
    <row r="130583" customFormat="1" x14ac:dyDescent="0.25"/>
    <row r="130584" customFormat="1" x14ac:dyDescent="0.25"/>
    <row r="130585" customFormat="1" x14ac:dyDescent="0.25"/>
    <row r="130586" customFormat="1" x14ac:dyDescent="0.25"/>
    <row r="130587" customFormat="1" x14ac:dyDescent="0.25"/>
    <row r="130588" customFormat="1" x14ac:dyDescent="0.25"/>
    <row r="130589" customFormat="1" x14ac:dyDescent="0.25"/>
    <row r="130590" customFormat="1" x14ac:dyDescent="0.25"/>
    <row r="130591" customFormat="1" x14ac:dyDescent="0.25"/>
    <row r="130592" customFormat="1" x14ac:dyDescent="0.25"/>
    <row r="130593" customFormat="1" x14ac:dyDescent="0.25"/>
    <row r="130594" customFormat="1" x14ac:dyDescent="0.25"/>
    <row r="130595" customFormat="1" x14ac:dyDescent="0.25"/>
    <row r="130596" customFormat="1" x14ac:dyDescent="0.25"/>
    <row r="130597" customFormat="1" x14ac:dyDescent="0.25"/>
    <row r="130598" customFormat="1" x14ac:dyDescent="0.25"/>
    <row r="130599" customFormat="1" x14ac:dyDescent="0.25"/>
    <row r="130600" customFormat="1" x14ac:dyDescent="0.25"/>
    <row r="130601" customFormat="1" x14ac:dyDescent="0.25"/>
    <row r="130602" customFormat="1" x14ac:dyDescent="0.25"/>
    <row r="130603" customFormat="1" x14ac:dyDescent="0.25"/>
    <row r="130604" customFormat="1" x14ac:dyDescent="0.25"/>
    <row r="130605" customFormat="1" x14ac:dyDescent="0.25"/>
    <row r="130606" customFormat="1" x14ac:dyDescent="0.25"/>
    <row r="130607" customFormat="1" x14ac:dyDescent="0.25"/>
    <row r="130608" customFormat="1" x14ac:dyDescent="0.25"/>
    <row r="130609" customFormat="1" x14ac:dyDescent="0.25"/>
    <row r="130610" customFormat="1" x14ac:dyDescent="0.25"/>
    <row r="130611" customFormat="1" x14ac:dyDescent="0.25"/>
    <row r="130612" customFormat="1" x14ac:dyDescent="0.25"/>
    <row r="130613" customFormat="1" x14ac:dyDescent="0.25"/>
    <row r="130614" customFormat="1" x14ac:dyDescent="0.25"/>
    <row r="130615" customFormat="1" x14ac:dyDescent="0.25"/>
    <row r="130616" customFormat="1" x14ac:dyDescent="0.25"/>
    <row r="130617" customFormat="1" x14ac:dyDescent="0.25"/>
    <row r="130618" customFormat="1" x14ac:dyDescent="0.25"/>
    <row r="130619" customFormat="1" x14ac:dyDescent="0.25"/>
    <row r="130620" customFormat="1" x14ac:dyDescent="0.25"/>
    <row r="130621" customFormat="1" x14ac:dyDescent="0.25"/>
    <row r="130622" customFormat="1" x14ac:dyDescent="0.25"/>
    <row r="130623" customFormat="1" x14ac:dyDescent="0.25"/>
    <row r="130624" customFormat="1" x14ac:dyDescent="0.25"/>
    <row r="130625" customFormat="1" x14ac:dyDescent="0.25"/>
    <row r="130626" customFormat="1" x14ac:dyDescent="0.25"/>
    <row r="130627" customFormat="1" x14ac:dyDescent="0.25"/>
    <row r="130628" customFormat="1" x14ac:dyDescent="0.25"/>
    <row r="130629" customFormat="1" x14ac:dyDescent="0.25"/>
    <row r="130630" customFormat="1" x14ac:dyDescent="0.25"/>
    <row r="130631" customFormat="1" x14ac:dyDescent="0.25"/>
    <row r="130632" customFormat="1" x14ac:dyDescent="0.25"/>
    <row r="130633" customFormat="1" x14ac:dyDescent="0.25"/>
    <row r="130634" customFormat="1" x14ac:dyDescent="0.25"/>
    <row r="130635" customFormat="1" x14ac:dyDescent="0.25"/>
    <row r="130636" customFormat="1" x14ac:dyDescent="0.25"/>
    <row r="130637" customFormat="1" x14ac:dyDescent="0.25"/>
    <row r="130638" customFormat="1" x14ac:dyDescent="0.25"/>
    <row r="130639" customFormat="1" x14ac:dyDescent="0.25"/>
    <row r="130640" customFormat="1" x14ac:dyDescent="0.25"/>
    <row r="130641" customFormat="1" x14ac:dyDescent="0.25"/>
    <row r="130642" customFormat="1" x14ac:dyDescent="0.25"/>
    <row r="130643" customFormat="1" x14ac:dyDescent="0.25"/>
    <row r="130644" customFormat="1" x14ac:dyDescent="0.25"/>
    <row r="130645" customFormat="1" x14ac:dyDescent="0.25"/>
    <row r="130646" customFormat="1" x14ac:dyDescent="0.25"/>
    <row r="130647" customFormat="1" x14ac:dyDescent="0.25"/>
    <row r="130648" customFormat="1" x14ac:dyDescent="0.25"/>
    <row r="130649" customFormat="1" x14ac:dyDescent="0.25"/>
    <row r="130650" customFormat="1" x14ac:dyDescent="0.25"/>
    <row r="130651" customFormat="1" x14ac:dyDescent="0.25"/>
    <row r="130652" customFormat="1" x14ac:dyDescent="0.25"/>
    <row r="130653" customFormat="1" x14ac:dyDescent="0.25"/>
    <row r="130654" customFormat="1" x14ac:dyDescent="0.25"/>
    <row r="130655" customFormat="1" x14ac:dyDescent="0.25"/>
    <row r="130656" customFormat="1" x14ac:dyDescent="0.25"/>
    <row r="130657" customFormat="1" x14ac:dyDescent="0.25"/>
    <row r="130658" customFormat="1" x14ac:dyDescent="0.25"/>
    <row r="130659" customFormat="1" x14ac:dyDescent="0.25"/>
    <row r="130660" customFormat="1" x14ac:dyDescent="0.25"/>
    <row r="130661" customFormat="1" x14ac:dyDescent="0.25"/>
    <row r="130662" customFormat="1" x14ac:dyDescent="0.25"/>
    <row r="130663" customFormat="1" x14ac:dyDescent="0.25"/>
    <row r="130664" customFormat="1" x14ac:dyDescent="0.25"/>
    <row r="130665" customFormat="1" x14ac:dyDescent="0.25"/>
    <row r="130666" customFormat="1" x14ac:dyDescent="0.25"/>
    <row r="130667" customFormat="1" x14ac:dyDescent="0.25"/>
    <row r="130668" customFormat="1" x14ac:dyDescent="0.25"/>
    <row r="130669" customFormat="1" x14ac:dyDescent="0.25"/>
    <row r="130670" customFormat="1" x14ac:dyDescent="0.25"/>
    <row r="130671" customFormat="1" x14ac:dyDescent="0.25"/>
    <row r="130672" customFormat="1" x14ac:dyDescent="0.25"/>
    <row r="130673" customFormat="1" x14ac:dyDescent="0.25"/>
    <row r="130674" customFormat="1" x14ac:dyDescent="0.25"/>
    <row r="130675" customFormat="1" x14ac:dyDescent="0.25"/>
    <row r="130676" customFormat="1" x14ac:dyDescent="0.25"/>
    <row r="130677" customFormat="1" x14ac:dyDescent="0.25"/>
    <row r="130678" customFormat="1" x14ac:dyDescent="0.25"/>
    <row r="130679" customFormat="1" x14ac:dyDescent="0.25"/>
    <row r="130680" customFormat="1" x14ac:dyDescent="0.25"/>
    <row r="130681" customFormat="1" x14ac:dyDescent="0.25"/>
    <row r="130682" customFormat="1" x14ac:dyDescent="0.25"/>
    <row r="130683" customFormat="1" x14ac:dyDescent="0.25"/>
    <row r="130684" customFormat="1" x14ac:dyDescent="0.25"/>
    <row r="130685" customFormat="1" x14ac:dyDescent="0.25"/>
    <row r="130686" customFormat="1" x14ac:dyDescent="0.25"/>
    <row r="130687" customFormat="1" x14ac:dyDescent="0.25"/>
    <row r="130688" customFormat="1" x14ac:dyDescent="0.25"/>
    <row r="130689" customFormat="1" x14ac:dyDescent="0.25"/>
    <row r="130690" customFormat="1" x14ac:dyDescent="0.25"/>
    <row r="130691" customFormat="1" x14ac:dyDescent="0.25"/>
    <row r="130692" customFormat="1" x14ac:dyDescent="0.25"/>
    <row r="130693" customFormat="1" x14ac:dyDescent="0.25"/>
    <row r="130694" customFormat="1" x14ac:dyDescent="0.25"/>
    <row r="130695" customFormat="1" x14ac:dyDescent="0.25"/>
    <row r="130696" customFormat="1" x14ac:dyDescent="0.25"/>
    <row r="130697" customFormat="1" x14ac:dyDescent="0.25"/>
    <row r="130698" customFormat="1" x14ac:dyDescent="0.25"/>
    <row r="130699" customFormat="1" x14ac:dyDescent="0.25"/>
    <row r="130700" customFormat="1" x14ac:dyDescent="0.25"/>
    <row r="130701" customFormat="1" x14ac:dyDescent="0.25"/>
    <row r="130702" customFormat="1" x14ac:dyDescent="0.25"/>
    <row r="130703" customFormat="1" x14ac:dyDescent="0.25"/>
    <row r="130704" customFormat="1" x14ac:dyDescent="0.25"/>
    <row r="130705" customFormat="1" x14ac:dyDescent="0.25"/>
    <row r="130706" customFormat="1" x14ac:dyDescent="0.25"/>
    <row r="130707" customFormat="1" x14ac:dyDescent="0.25"/>
    <row r="130708" customFormat="1" x14ac:dyDescent="0.25"/>
    <row r="130709" customFormat="1" x14ac:dyDescent="0.25"/>
    <row r="130710" customFormat="1" x14ac:dyDescent="0.25"/>
    <row r="130711" customFormat="1" x14ac:dyDescent="0.25"/>
    <row r="130712" customFormat="1" x14ac:dyDescent="0.25"/>
    <row r="130713" customFormat="1" x14ac:dyDescent="0.25"/>
    <row r="130714" customFormat="1" x14ac:dyDescent="0.25"/>
    <row r="130715" customFormat="1" x14ac:dyDescent="0.25"/>
    <row r="130716" customFormat="1" x14ac:dyDescent="0.25"/>
    <row r="130717" customFormat="1" x14ac:dyDescent="0.25"/>
    <row r="130718" customFormat="1" x14ac:dyDescent="0.25"/>
    <row r="130719" customFormat="1" x14ac:dyDescent="0.25"/>
    <row r="130720" customFormat="1" x14ac:dyDescent="0.25"/>
    <row r="130721" customFormat="1" x14ac:dyDescent="0.25"/>
    <row r="130722" customFormat="1" x14ac:dyDescent="0.25"/>
    <row r="130723" customFormat="1" x14ac:dyDescent="0.25"/>
    <row r="130724" customFormat="1" x14ac:dyDescent="0.25"/>
    <row r="130725" customFormat="1" x14ac:dyDescent="0.25"/>
    <row r="130726" customFormat="1" x14ac:dyDescent="0.25"/>
    <row r="130727" customFormat="1" x14ac:dyDescent="0.25"/>
    <row r="130728" customFormat="1" x14ac:dyDescent="0.25"/>
    <row r="130729" customFormat="1" x14ac:dyDescent="0.25"/>
    <row r="130730" customFormat="1" x14ac:dyDescent="0.25"/>
    <row r="130731" customFormat="1" x14ac:dyDescent="0.25"/>
    <row r="130732" customFormat="1" x14ac:dyDescent="0.25"/>
    <row r="130733" customFormat="1" x14ac:dyDescent="0.25"/>
    <row r="130734" customFormat="1" x14ac:dyDescent="0.25"/>
    <row r="130735" customFormat="1" x14ac:dyDescent="0.25"/>
    <row r="130736" customFormat="1" x14ac:dyDescent="0.25"/>
    <row r="130737" customFormat="1" x14ac:dyDescent="0.25"/>
    <row r="130738" customFormat="1" x14ac:dyDescent="0.25"/>
    <row r="130739" customFormat="1" x14ac:dyDescent="0.25"/>
    <row r="130740" customFormat="1" x14ac:dyDescent="0.25"/>
    <row r="130741" customFormat="1" x14ac:dyDescent="0.25"/>
    <row r="130742" customFormat="1" x14ac:dyDescent="0.25"/>
    <row r="130743" customFormat="1" x14ac:dyDescent="0.25"/>
    <row r="130744" customFormat="1" x14ac:dyDescent="0.25"/>
    <row r="130745" customFormat="1" x14ac:dyDescent="0.25"/>
    <row r="130746" customFormat="1" x14ac:dyDescent="0.25"/>
    <row r="130747" customFormat="1" x14ac:dyDescent="0.25"/>
    <row r="130748" customFormat="1" x14ac:dyDescent="0.25"/>
    <row r="130749" customFormat="1" x14ac:dyDescent="0.25"/>
    <row r="130750" customFormat="1" x14ac:dyDescent="0.25"/>
    <row r="130751" customFormat="1" x14ac:dyDescent="0.25"/>
    <row r="130752" customFormat="1" x14ac:dyDescent="0.25"/>
    <row r="130753" customFormat="1" x14ac:dyDescent="0.25"/>
    <row r="130754" customFormat="1" x14ac:dyDescent="0.25"/>
    <row r="130755" customFormat="1" x14ac:dyDescent="0.25"/>
    <row r="130756" customFormat="1" x14ac:dyDescent="0.25"/>
    <row r="130757" customFormat="1" x14ac:dyDescent="0.25"/>
    <row r="130758" customFormat="1" x14ac:dyDescent="0.25"/>
    <row r="130759" customFormat="1" x14ac:dyDescent="0.25"/>
    <row r="130760" customFormat="1" x14ac:dyDescent="0.25"/>
    <row r="130761" customFormat="1" x14ac:dyDescent="0.25"/>
    <row r="130762" customFormat="1" x14ac:dyDescent="0.25"/>
    <row r="130763" customFormat="1" x14ac:dyDescent="0.25"/>
    <row r="130764" customFormat="1" x14ac:dyDescent="0.25"/>
    <row r="130765" customFormat="1" x14ac:dyDescent="0.25"/>
    <row r="130766" customFormat="1" x14ac:dyDescent="0.25"/>
    <row r="130767" customFormat="1" x14ac:dyDescent="0.25"/>
    <row r="130768" customFormat="1" x14ac:dyDescent="0.25"/>
    <row r="130769" customFormat="1" x14ac:dyDescent="0.25"/>
    <row r="130770" customFormat="1" x14ac:dyDescent="0.25"/>
    <row r="130771" customFormat="1" x14ac:dyDescent="0.25"/>
    <row r="130772" customFormat="1" x14ac:dyDescent="0.25"/>
    <row r="130773" customFormat="1" x14ac:dyDescent="0.25"/>
    <row r="130774" customFormat="1" x14ac:dyDescent="0.25"/>
    <row r="130775" customFormat="1" x14ac:dyDescent="0.25"/>
    <row r="130776" customFormat="1" x14ac:dyDescent="0.25"/>
    <row r="130777" customFormat="1" x14ac:dyDescent="0.25"/>
    <row r="130778" customFormat="1" x14ac:dyDescent="0.25"/>
    <row r="130779" customFormat="1" x14ac:dyDescent="0.25"/>
    <row r="130780" customFormat="1" x14ac:dyDescent="0.25"/>
    <row r="130781" customFormat="1" x14ac:dyDescent="0.25"/>
    <row r="130782" customFormat="1" x14ac:dyDescent="0.25"/>
    <row r="130783" customFormat="1" x14ac:dyDescent="0.25"/>
    <row r="130784" customFormat="1" x14ac:dyDescent="0.25"/>
    <row r="130785" customFormat="1" x14ac:dyDescent="0.25"/>
    <row r="130786" customFormat="1" x14ac:dyDescent="0.25"/>
    <row r="130787" customFormat="1" x14ac:dyDescent="0.25"/>
    <row r="130788" customFormat="1" x14ac:dyDescent="0.25"/>
    <row r="130789" customFormat="1" x14ac:dyDescent="0.25"/>
    <row r="130790" customFormat="1" x14ac:dyDescent="0.25"/>
    <row r="130791" customFormat="1" x14ac:dyDescent="0.25"/>
    <row r="130792" customFormat="1" x14ac:dyDescent="0.25"/>
    <row r="130793" customFormat="1" x14ac:dyDescent="0.25"/>
    <row r="130794" customFormat="1" x14ac:dyDescent="0.25"/>
    <row r="130795" customFormat="1" x14ac:dyDescent="0.25"/>
    <row r="130796" customFormat="1" x14ac:dyDescent="0.25"/>
    <row r="130797" customFormat="1" x14ac:dyDescent="0.25"/>
    <row r="130798" customFormat="1" x14ac:dyDescent="0.25"/>
    <row r="130799" customFormat="1" x14ac:dyDescent="0.25"/>
    <row r="130800" customFormat="1" x14ac:dyDescent="0.25"/>
    <row r="130801" customFormat="1" x14ac:dyDescent="0.25"/>
    <row r="130802" customFormat="1" x14ac:dyDescent="0.25"/>
    <row r="130803" customFormat="1" x14ac:dyDescent="0.25"/>
    <row r="130804" customFormat="1" x14ac:dyDescent="0.25"/>
    <row r="130805" customFormat="1" x14ac:dyDescent="0.25"/>
    <row r="130806" customFormat="1" x14ac:dyDescent="0.25"/>
    <row r="130807" customFormat="1" x14ac:dyDescent="0.25"/>
    <row r="130808" customFormat="1" x14ac:dyDescent="0.25"/>
    <row r="130809" customFormat="1" x14ac:dyDescent="0.25"/>
    <row r="130810" customFormat="1" x14ac:dyDescent="0.25"/>
    <row r="130811" customFormat="1" x14ac:dyDescent="0.25"/>
    <row r="130812" customFormat="1" x14ac:dyDescent="0.25"/>
    <row r="130813" customFormat="1" x14ac:dyDescent="0.25"/>
    <row r="130814" customFormat="1" x14ac:dyDescent="0.25"/>
    <row r="130815" customFormat="1" x14ac:dyDescent="0.25"/>
    <row r="130816" customFormat="1" x14ac:dyDescent="0.25"/>
    <row r="130817" customFormat="1" x14ac:dyDescent="0.25"/>
    <row r="130818" customFormat="1" x14ac:dyDescent="0.25"/>
    <row r="130819" customFormat="1" x14ac:dyDescent="0.25"/>
    <row r="130820" customFormat="1" x14ac:dyDescent="0.25"/>
    <row r="130821" customFormat="1" x14ac:dyDescent="0.25"/>
    <row r="130822" customFormat="1" x14ac:dyDescent="0.25"/>
    <row r="130823" customFormat="1" x14ac:dyDescent="0.25"/>
    <row r="130824" customFormat="1" x14ac:dyDescent="0.25"/>
    <row r="130825" customFormat="1" x14ac:dyDescent="0.25"/>
    <row r="130826" customFormat="1" x14ac:dyDescent="0.25"/>
    <row r="130827" customFormat="1" x14ac:dyDescent="0.25"/>
    <row r="130828" customFormat="1" x14ac:dyDescent="0.25"/>
    <row r="130829" customFormat="1" x14ac:dyDescent="0.25"/>
    <row r="130830" customFormat="1" x14ac:dyDescent="0.25"/>
    <row r="130831" customFormat="1" x14ac:dyDescent="0.25"/>
    <row r="130832" customFormat="1" x14ac:dyDescent="0.25"/>
    <row r="130833" customFormat="1" x14ac:dyDescent="0.25"/>
    <row r="130834" customFormat="1" x14ac:dyDescent="0.25"/>
    <row r="130835" customFormat="1" x14ac:dyDescent="0.25"/>
    <row r="130836" customFormat="1" x14ac:dyDescent="0.25"/>
    <row r="130837" customFormat="1" x14ac:dyDescent="0.25"/>
    <row r="130838" customFormat="1" x14ac:dyDescent="0.25"/>
    <row r="130839" customFormat="1" x14ac:dyDescent="0.25"/>
    <row r="130840" customFormat="1" x14ac:dyDescent="0.25"/>
    <row r="130841" customFormat="1" x14ac:dyDescent="0.25"/>
    <row r="130842" customFormat="1" x14ac:dyDescent="0.25"/>
    <row r="130843" customFormat="1" x14ac:dyDescent="0.25"/>
    <row r="130844" customFormat="1" x14ac:dyDescent="0.25"/>
    <row r="130845" customFormat="1" x14ac:dyDescent="0.25"/>
    <row r="130846" customFormat="1" x14ac:dyDescent="0.25"/>
    <row r="130847" customFormat="1" x14ac:dyDescent="0.25"/>
    <row r="130848" customFormat="1" x14ac:dyDescent="0.25"/>
    <row r="130849" customFormat="1" x14ac:dyDescent="0.25"/>
    <row r="130850" customFormat="1" x14ac:dyDescent="0.25"/>
    <row r="130851" customFormat="1" x14ac:dyDescent="0.25"/>
    <row r="130852" customFormat="1" x14ac:dyDescent="0.25"/>
    <row r="130853" customFormat="1" x14ac:dyDescent="0.25"/>
    <row r="130854" customFormat="1" x14ac:dyDescent="0.25"/>
    <row r="130855" customFormat="1" x14ac:dyDescent="0.25"/>
    <row r="130856" customFormat="1" x14ac:dyDescent="0.25"/>
    <row r="130857" customFormat="1" x14ac:dyDescent="0.25"/>
    <row r="130858" customFormat="1" x14ac:dyDescent="0.25"/>
    <row r="130859" customFormat="1" x14ac:dyDescent="0.25"/>
    <row r="130860" customFormat="1" x14ac:dyDescent="0.25"/>
    <row r="130861" customFormat="1" x14ac:dyDescent="0.25"/>
    <row r="130862" customFormat="1" x14ac:dyDescent="0.25"/>
    <row r="130863" customFormat="1" x14ac:dyDescent="0.25"/>
    <row r="130864" customFormat="1" x14ac:dyDescent="0.25"/>
    <row r="130865" customFormat="1" x14ac:dyDescent="0.25"/>
    <row r="130866" customFormat="1" x14ac:dyDescent="0.25"/>
    <row r="130867" customFormat="1" x14ac:dyDescent="0.25"/>
    <row r="130868" customFormat="1" x14ac:dyDescent="0.25"/>
    <row r="130869" customFormat="1" x14ac:dyDescent="0.25"/>
    <row r="130870" customFormat="1" x14ac:dyDescent="0.25"/>
    <row r="130871" customFormat="1" x14ac:dyDescent="0.25"/>
    <row r="130872" customFormat="1" x14ac:dyDescent="0.25"/>
    <row r="130873" customFormat="1" x14ac:dyDescent="0.25"/>
    <row r="130874" customFormat="1" x14ac:dyDescent="0.25"/>
    <row r="130875" customFormat="1" x14ac:dyDescent="0.25"/>
    <row r="130876" customFormat="1" x14ac:dyDescent="0.25"/>
    <row r="130877" customFormat="1" x14ac:dyDescent="0.25"/>
    <row r="130878" customFormat="1" x14ac:dyDescent="0.25"/>
    <row r="130879" customFormat="1" x14ac:dyDescent="0.25"/>
    <row r="130880" customFormat="1" x14ac:dyDescent="0.25"/>
    <row r="130881" customFormat="1" x14ac:dyDescent="0.25"/>
    <row r="130882" customFormat="1" x14ac:dyDescent="0.25"/>
    <row r="130883" customFormat="1" x14ac:dyDescent="0.25"/>
    <row r="130884" customFormat="1" x14ac:dyDescent="0.25"/>
    <row r="130885" customFormat="1" x14ac:dyDescent="0.25"/>
    <row r="130886" customFormat="1" x14ac:dyDescent="0.25"/>
    <row r="130887" customFormat="1" x14ac:dyDescent="0.25"/>
    <row r="130888" customFormat="1" x14ac:dyDescent="0.25"/>
    <row r="130889" customFormat="1" x14ac:dyDescent="0.25"/>
    <row r="130890" customFormat="1" x14ac:dyDescent="0.25"/>
    <row r="130891" customFormat="1" x14ac:dyDescent="0.25"/>
    <row r="130892" customFormat="1" x14ac:dyDescent="0.25"/>
    <row r="130893" customFormat="1" x14ac:dyDescent="0.25"/>
    <row r="130894" customFormat="1" x14ac:dyDescent="0.25"/>
    <row r="130895" customFormat="1" x14ac:dyDescent="0.25"/>
    <row r="130896" customFormat="1" x14ac:dyDescent="0.25"/>
    <row r="130897" customFormat="1" x14ac:dyDescent="0.25"/>
    <row r="130898" customFormat="1" x14ac:dyDescent="0.25"/>
    <row r="130899" customFormat="1" x14ac:dyDescent="0.25"/>
    <row r="130900" customFormat="1" x14ac:dyDescent="0.25"/>
    <row r="130901" customFormat="1" x14ac:dyDescent="0.25"/>
    <row r="130902" customFormat="1" x14ac:dyDescent="0.25"/>
    <row r="130903" customFormat="1" x14ac:dyDescent="0.25"/>
    <row r="130904" customFormat="1" x14ac:dyDescent="0.25"/>
    <row r="130905" customFormat="1" x14ac:dyDescent="0.25"/>
    <row r="130906" customFormat="1" x14ac:dyDescent="0.25"/>
    <row r="130907" customFormat="1" x14ac:dyDescent="0.25"/>
    <row r="130908" customFormat="1" x14ac:dyDescent="0.25"/>
    <row r="130909" customFormat="1" x14ac:dyDescent="0.25"/>
    <row r="130910" customFormat="1" x14ac:dyDescent="0.25"/>
    <row r="130911" customFormat="1" x14ac:dyDescent="0.25"/>
    <row r="130912" customFormat="1" x14ac:dyDescent="0.25"/>
    <row r="130913" customFormat="1" x14ac:dyDescent="0.25"/>
    <row r="130914" customFormat="1" x14ac:dyDescent="0.25"/>
    <row r="130915" customFormat="1" x14ac:dyDescent="0.25"/>
    <row r="130916" customFormat="1" x14ac:dyDescent="0.25"/>
    <row r="130917" customFormat="1" x14ac:dyDescent="0.25"/>
    <row r="130918" customFormat="1" x14ac:dyDescent="0.25"/>
    <row r="130919" customFormat="1" x14ac:dyDescent="0.25"/>
    <row r="130920" customFormat="1" x14ac:dyDescent="0.25"/>
    <row r="130921" customFormat="1" x14ac:dyDescent="0.25"/>
    <row r="130922" customFormat="1" x14ac:dyDescent="0.25"/>
    <row r="130923" customFormat="1" x14ac:dyDescent="0.25"/>
    <row r="130924" customFormat="1" x14ac:dyDescent="0.25"/>
    <row r="130925" customFormat="1" x14ac:dyDescent="0.25"/>
    <row r="130926" customFormat="1" x14ac:dyDescent="0.25"/>
    <row r="130927" customFormat="1" x14ac:dyDescent="0.25"/>
    <row r="130928" customFormat="1" x14ac:dyDescent="0.25"/>
    <row r="130929" customFormat="1" x14ac:dyDescent="0.25"/>
    <row r="130930" customFormat="1" x14ac:dyDescent="0.25"/>
    <row r="130931" customFormat="1" x14ac:dyDescent="0.25"/>
    <row r="130932" customFormat="1" x14ac:dyDescent="0.25"/>
    <row r="130933" customFormat="1" x14ac:dyDescent="0.25"/>
    <row r="130934" customFormat="1" x14ac:dyDescent="0.25"/>
    <row r="130935" customFormat="1" x14ac:dyDescent="0.25"/>
    <row r="130936" customFormat="1" x14ac:dyDescent="0.25"/>
    <row r="130937" customFormat="1" x14ac:dyDescent="0.25"/>
    <row r="130938" customFormat="1" x14ac:dyDescent="0.25"/>
    <row r="130939" customFormat="1" x14ac:dyDescent="0.25"/>
    <row r="130940" customFormat="1" x14ac:dyDescent="0.25"/>
    <row r="130941" customFormat="1" x14ac:dyDescent="0.25"/>
    <row r="130942" customFormat="1" x14ac:dyDescent="0.25"/>
    <row r="130943" customFormat="1" x14ac:dyDescent="0.25"/>
    <row r="130944" customFormat="1" x14ac:dyDescent="0.25"/>
    <row r="130945" customFormat="1" x14ac:dyDescent="0.25"/>
    <row r="130946" customFormat="1" x14ac:dyDescent="0.25"/>
    <row r="130947" customFormat="1" x14ac:dyDescent="0.25"/>
    <row r="130948" customFormat="1" x14ac:dyDescent="0.25"/>
    <row r="130949" customFormat="1" x14ac:dyDescent="0.25"/>
    <row r="130950" customFormat="1" x14ac:dyDescent="0.25"/>
    <row r="130951" customFormat="1" x14ac:dyDescent="0.25"/>
    <row r="130952" customFormat="1" x14ac:dyDescent="0.25"/>
    <row r="130953" customFormat="1" x14ac:dyDescent="0.25"/>
    <row r="130954" customFormat="1" x14ac:dyDescent="0.25"/>
    <row r="130955" customFormat="1" x14ac:dyDescent="0.25"/>
    <row r="130956" customFormat="1" x14ac:dyDescent="0.25"/>
    <row r="130957" customFormat="1" x14ac:dyDescent="0.25"/>
    <row r="130958" customFormat="1" x14ac:dyDescent="0.25"/>
    <row r="130959" customFormat="1" x14ac:dyDescent="0.25"/>
    <row r="130960" customFormat="1" x14ac:dyDescent="0.25"/>
    <row r="130961" customFormat="1" x14ac:dyDescent="0.25"/>
    <row r="130962" customFormat="1" x14ac:dyDescent="0.25"/>
    <row r="130963" customFormat="1" x14ac:dyDescent="0.25"/>
    <row r="130964" customFormat="1" x14ac:dyDescent="0.25"/>
    <row r="130965" customFormat="1" x14ac:dyDescent="0.25"/>
    <row r="130966" customFormat="1" x14ac:dyDescent="0.25"/>
    <row r="130967" customFormat="1" x14ac:dyDescent="0.25"/>
    <row r="130968" customFormat="1" x14ac:dyDescent="0.25"/>
    <row r="130969" customFormat="1" x14ac:dyDescent="0.25"/>
    <row r="130970" customFormat="1" x14ac:dyDescent="0.25"/>
    <row r="130971" customFormat="1" x14ac:dyDescent="0.25"/>
    <row r="130972" customFormat="1" x14ac:dyDescent="0.25"/>
    <row r="130973" customFormat="1" x14ac:dyDescent="0.25"/>
    <row r="130974" customFormat="1" x14ac:dyDescent="0.25"/>
    <row r="130975" customFormat="1" x14ac:dyDescent="0.25"/>
    <row r="130976" customFormat="1" x14ac:dyDescent="0.25"/>
    <row r="130977" customFormat="1" x14ac:dyDescent="0.25"/>
    <row r="130978" customFormat="1" x14ac:dyDescent="0.25"/>
    <row r="130979" customFormat="1" x14ac:dyDescent="0.25"/>
    <row r="130980" customFormat="1" x14ac:dyDescent="0.25"/>
    <row r="130981" customFormat="1" x14ac:dyDescent="0.25"/>
    <row r="130982" customFormat="1" x14ac:dyDescent="0.25"/>
    <row r="130983" customFormat="1" x14ac:dyDescent="0.25"/>
    <row r="130984" customFormat="1" x14ac:dyDescent="0.25"/>
    <row r="130985" customFormat="1" x14ac:dyDescent="0.25"/>
    <row r="130986" customFormat="1" x14ac:dyDescent="0.25"/>
    <row r="130987" customFormat="1" x14ac:dyDescent="0.25"/>
    <row r="130988" customFormat="1" x14ac:dyDescent="0.25"/>
    <row r="130989" customFormat="1" x14ac:dyDescent="0.25"/>
    <row r="130990" customFormat="1" x14ac:dyDescent="0.25"/>
    <row r="130991" customFormat="1" x14ac:dyDescent="0.25"/>
    <row r="130992" customFormat="1" x14ac:dyDescent="0.25"/>
    <row r="130993" customFormat="1" x14ac:dyDescent="0.25"/>
    <row r="130994" customFormat="1" x14ac:dyDescent="0.25"/>
    <row r="130995" customFormat="1" x14ac:dyDescent="0.25"/>
    <row r="130996" customFormat="1" x14ac:dyDescent="0.25"/>
    <row r="130997" customFormat="1" x14ac:dyDescent="0.25"/>
    <row r="130998" customFormat="1" x14ac:dyDescent="0.25"/>
    <row r="130999" customFormat="1" x14ac:dyDescent="0.25"/>
    <row r="131000" customFormat="1" x14ac:dyDescent="0.25"/>
    <row r="131001" customFormat="1" x14ac:dyDescent="0.25"/>
    <row r="131002" customFormat="1" x14ac:dyDescent="0.25"/>
    <row r="131003" customFormat="1" x14ac:dyDescent="0.25"/>
    <row r="131004" customFormat="1" x14ac:dyDescent="0.25"/>
    <row r="131005" customFormat="1" x14ac:dyDescent="0.25"/>
    <row r="131006" customFormat="1" x14ac:dyDescent="0.25"/>
    <row r="131007" customFormat="1" x14ac:dyDescent="0.25"/>
    <row r="131008" customFormat="1" x14ac:dyDescent="0.25"/>
    <row r="131009" customFormat="1" x14ac:dyDescent="0.25"/>
    <row r="131010" customFormat="1" x14ac:dyDescent="0.25"/>
    <row r="131011" customFormat="1" x14ac:dyDescent="0.25"/>
    <row r="131012" customFormat="1" x14ac:dyDescent="0.25"/>
    <row r="131013" customFormat="1" x14ac:dyDescent="0.25"/>
    <row r="131014" customFormat="1" x14ac:dyDescent="0.25"/>
    <row r="131015" customFormat="1" x14ac:dyDescent="0.25"/>
    <row r="131016" customFormat="1" x14ac:dyDescent="0.25"/>
    <row r="131017" customFormat="1" x14ac:dyDescent="0.25"/>
    <row r="131018" customFormat="1" x14ac:dyDescent="0.25"/>
    <row r="131019" customFormat="1" x14ac:dyDescent="0.25"/>
    <row r="131020" customFormat="1" x14ac:dyDescent="0.25"/>
    <row r="131021" customFormat="1" x14ac:dyDescent="0.25"/>
    <row r="131022" customFormat="1" x14ac:dyDescent="0.25"/>
    <row r="131023" customFormat="1" x14ac:dyDescent="0.25"/>
    <row r="131024" customFormat="1" x14ac:dyDescent="0.25"/>
    <row r="131025" customFormat="1" x14ac:dyDescent="0.25"/>
    <row r="131026" customFormat="1" x14ac:dyDescent="0.25"/>
    <row r="131027" customFormat="1" x14ac:dyDescent="0.25"/>
    <row r="131028" customFormat="1" x14ac:dyDescent="0.25"/>
    <row r="131029" customFormat="1" x14ac:dyDescent="0.25"/>
    <row r="131030" customFormat="1" x14ac:dyDescent="0.25"/>
    <row r="131031" customFormat="1" x14ac:dyDescent="0.25"/>
    <row r="131032" customFormat="1" x14ac:dyDescent="0.25"/>
    <row r="131033" customFormat="1" x14ac:dyDescent="0.25"/>
    <row r="131034" customFormat="1" x14ac:dyDescent="0.25"/>
    <row r="131035" customFormat="1" x14ac:dyDescent="0.25"/>
    <row r="131036" customFormat="1" x14ac:dyDescent="0.25"/>
    <row r="131037" customFormat="1" x14ac:dyDescent="0.25"/>
    <row r="131038" customFormat="1" x14ac:dyDescent="0.25"/>
    <row r="131039" customFormat="1" x14ac:dyDescent="0.25"/>
    <row r="131040" customFormat="1" x14ac:dyDescent="0.25"/>
    <row r="131041" customFormat="1" x14ac:dyDescent="0.25"/>
    <row r="131042" customFormat="1" x14ac:dyDescent="0.25"/>
    <row r="131043" customFormat="1" x14ac:dyDescent="0.25"/>
    <row r="131044" customFormat="1" x14ac:dyDescent="0.25"/>
    <row r="131045" customFormat="1" x14ac:dyDescent="0.25"/>
    <row r="131046" customFormat="1" x14ac:dyDescent="0.25"/>
    <row r="131047" customFormat="1" x14ac:dyDescent="0.25"/>
    <row r="131048" customFormat="1" x14ac:dyDescent="0.25"/>
    <row r="131049" customFormat="1" x14ac:dyDescent="0.25"/>
    <row r="131050" customFormat="1" x14ac:dyDescent="0.25"/>
    <row r="131051" customFormat="1" x14ac:dyDescent="0.25"/>
    <row r="131052" customFormat="1" x14ac:dyDescent="0.25"/>
    <row r="131053" customFormat="1" x14ac:dyDescent="0.25"/>
    <row r="131054" customFormat="1" x14ac:dyDescent="0.25"/>
    <row r="131055" customFormat="1" x14ac:dyDescent="0.25"/>
    <row r="131056" customFormat="1" x14ac:dyDescent="0.25"/>
    <row r="131057" customFormat="1" x14ac:dyDescent="0.25"/>
    <row r="131058" customFormat="1" x14ac:dyDescent="0.25"/>
    <row r="131059" customFormat="1" x14ac:dyDescent="0.25"/>
    <row r="131060" customFormat="1" x14ac:dyDescent="0.25"/>
    <row r="131061" customFormat="1" x14ac:dyDescent="0.25"/>
    <row r="131062" customFormat="1" x14ac:dyDescent="0.25"/>
    <row r="131063" customFormat="1" x14ac:dyDescent="0.25"/>
    <row r="131064" customFormat="1" x14ac:dyDescent="0.25"/>
    <row r="131065" customFormat="1" x14ac:dyDescent="0.25"/>
    <row r="131066" customFormat="1" x14ac:dyDescent="0.25"/>
    <row r="131067" customFormat="1" x14ac:dyDescent="0.25"/>
    <row r="131068" customFormat="1" x14ac:dyDescent="0.25"/>
    <row r="131069" customFormat="1" x14ac:dyDescent="0.25"/>
    <row r="131070" customFormat="1" x14ac:dyDescent="0.25"/>
    <row r="131071" customFormat="1" x14ac:dyDescent="0.25"/>
    <row r="131072" customFormat="1" x14ac:dyDescent="0.25"/>
    <row r="131073" customFormat="1" x14ac:dyDescent="0.25"/>
    <row r="131074" customFormat="1" x14ac:dyDescent="0.25"/>
    <row r="131075" customFormat="1" x14ac:dyDescent="0.25"/>
    <row r="131076" customFormat="1" x14ac:dyDescent="0.25"/>
    <row r="131077" customFormat="1" x14ac:dyDescent="0.25"/>
    <row r="131078" customFormat="1" x14ac:dyDescent="0.25"/>
    <row r="131079" customFormat="1" x14ac:dyDescent="0.25"/>
    <row r="131080" customFormat="1" x14ac:dyDescent="0.25"/>
    <row r="131081" customFormat="1" x14ac:dyDescent="0.25"/>
    <row r="131082" customFormat="1" x14ac:dyDescent="0.25"/>
    <row r="131083" customFormat="1" x14ac:dyDescent="0.25"/>
    <row r="131084" customFormat="1" x14ac:dyDescent="0.25"/>
    <row r="131085" customFormat="1" x14ac:dyDescent="0.25"/>
    <row r="131086" customFormat="1" x14ac:dyDescent="0.25"/>
    <row r="131087" customFormat="1" x14ac:dyDescent="0.25"/>
    <row r="131088" customFormat="1" x14ac:dyDescent="0.25"/>
    <row r="131089" customFormat="1" x14ac:dyDescent="0.25"/>
    <row r="131090" customFormat="1" x14ac:dyDescent="0.25"/>
    <row r="131091" customFormat="1" x14ac:dyDescent="0.25"/>
    <row r="131092" customFormat="1" x14ac:dyDescent="0.25"/>
    <row r="131093" customFormat="1" x14ac:dyDescent="0.25"/>
    <row r="131094" customFormat="1" x14ac:dyDescent="0.25"/>
    <row r="131095" customFormat="1" x14ac:dyDescent="0.25"/>
    <row r="131096" customFormat="1" x14ac:dyDescent="0.25"/>
    <row r="131097" customFormat="1" x14ac:dyDescent="0.25"/>
    <row r="131098" customFormat="1" x14ac:dyDescent="0.25"/>
    <row r="131099" customFormat="1" x14ac:dyDescent="0.25"/>
    <row r="131100" customFormat="1" x14ac:dyDescent="0.25"/>
    <row r="131101" customFormat="1" x14ac:dyDescent="0.25"/>
    <row r="131102" customFormat="1" x14ac:dyDescent="0.25"/>
    <row r="131103" customFormat="1" x14ac:dyDescent="0.25"/>
    <row r="131104" customFormat="1" x14ac:dyDescent="0.25"/>
    <row r="131105" customFormat="1" x14ac:dyDescent="0.25"/>
    <row r="131106" customFormat="1" x14ac:dyDescent="0.25"/>
    <row r="131107" customFormat="1" x14ac:dyDescent="0.25"/>
    <row r="131108" customFormat="1" x14ac:dyDescent="0.25"/>
    <row r="131109" customFormat="1" x14ac:dyDescent="0.25"/>
    <row r="131110" customFormat="1" x14ac:dyDescent="0.25"/>
    <row r="131111" customFormat="1" x14ac:dyDescent="0.25"/>
    <row r="131112" customFormat="1" x14ac:dyDescent="0.25"/>
    <row r="131113" customFormat="1" x14ac:dyDescent="0.25"/>
    <row r="131114" customFormat="1" x14ac:dyDescent="0.25"/>
    <row r="131115" customFormat="1" x14ac:dyDescent="0.25"/>
    <row r="131116" customFormat="1" x14ac:dyDescent="0.25"/>
    <row r="131117" customFormat="1" x14ac:dyDescent="0.25"/>
    <row r="131118" customFormat="1" x14ac:dyDescent="0.25"/>
    <row r="131119" customFormat="1" x14ac:dyDescent="0.25"/>
    <row r="131120" customFormat="1" x14ac:dyDescent="0.25"/>
    <row r="131121" customFormat="1" x14ac:dyDescent="0.25"/>
    <row r="131122" customFormat="1" x14ac:dyDescent="0.25"/>
    <row r="131123" customFormat="1" x14ac:dyDescent="0.25"/>
    <row r="131124" customFormat="1" x14ac:dyDescent="0.25"/>
    <row r="131125" customFormat="1" x14ac:dyDescent="0.25"/>
    <row r="131126" customFormat="1" x14ac:dyDescent="0.25"/>
    <row r="131127" customFormat="1" x14ac:dyDescent="0.25"/>
    <row r="131128" customFormat="1" x14ac:dyDescent="0.25"/>
    <row r="131129" customFormat="1" x14ac:dyDescent="0.25"/>
    <row r="131130" customFormat="1" x14ac:dyDescent="0.25"/>
    <row r="131131" customFormat="1" x14ac:dyDescent="0.25"/>
    <row r="131132" customFormat="1" x14ac:dyDescent="0.25"/>
    <row r="131133" customFormat="1" x14ac:dyDescent="0.25"/>
    <row r="131134" customFormat="1" x14ac:dyDescent="0.25"/>
    <row r="131135" customFormat="1" x14ac:dyDescent="0.25"/>
    <row r="131136" customFormat="1" x14ac:dyDescent="0.25"/>
    <row r="131137" customFormat="1" x14ac:dyDescent="0.25"/>
    <row r="131138" customFormat="1" x14ac:dyDescent="0.25"/>
    <row r="131139" customFormat="1" x14ac:dyDescent="0.25"/>
    <row r="131140" customFormat="1" x14ac:dyDescent="0.25"/>
    <row r="131141" customFormat="1" x14ac:dyDescent="0.25"/>
    <row r="131142" customFormat="1" x14ac:dyDescent="0.25"/>
    <row r="131143" customFormat="1" x14ac:dyDescent="0.25"/>
    <row r="131144" customFormat="1" x14ac:dyDescent="0.25"/>
    <row r="131145" customFormat="1" x14ac:dyDescent="0.25"/>
    <row r="131146" customFormat="1" x14ac:dyDescent="0.25"/>
    <row r="131147" customFormat="1" x14ac:dyDescent="0.25"/>
    <row r="131148" customFormat="1" x14ac:dyDescent="0.25"/>
    <row r="131149" customFormat="1" x14ac:dyDescent="0.25"/>
    <row r="131150" customFormat="1" x14ac:dyDescent="0.25"/>
    <row r="131151" customFormat="1" x14ac:dyDescent="0.25"/>
    <row r="131152" customFormat="1" x14ac:dyDescent="0.25"/>
    <row r="131153" customFormat="1" x14ac:dyDescent="0.25"/>
    <row r="131154" customFormat="1" x14ac:dyDescent="0.25"/>
    <row r="131155" customFormat="1" x14ac:dyDescent="0.25"/>
    <row r="131156" customFormat="1" x14ac:dyDescent="0.25"/>
    <row r="131157" customFormat="1" x14ac:dyDescent="0.25"/>
    <row r="131158" customFormat="1" x14ac:dyDescent="0.25"/>
    <row r="131159" customFormat="1" x14ac:dyDescent="0.25"/>
    <row r="131160" customFormat="1" x14ac:dyDescent="0.25"/>
    <row r="131161" customFormat="1" x14ac:dyDescent="0.25"/>
    <row r="131162" customFormat="1" x14ac:dyDescent="0.25"/>
    <row r="131163" customFormat="1" x14ac:dyDescent="0.25"/>
    <row r="131164" customFormat="1" x14ac:dyDescent="0.25"/>
    <row r="131165" customFormat="1" x14ac:dyDescent="0.25"/>
    <row r="131166" customFormat="1" x14ac:dyDescent="0.25"/>
    <row r="131167" customFormat="1" x14ac:dyDescent="0.25"/>
    <row r="131168" customFormat="1" x14ac:dyDescent="0.25"/>
    <row r="131169" customFormat="1" x14ac:dyDescent="0.25"/>
    <row r="131170" customFormat="1" x14ac:dyDescent="0.25"/>
    <row r="131171" customFormat="1" x14ac:dyDescent="0.25"/>
    <row r="131172" customFormat="1" x14ac:dyDescent="0.25"/>
    <row r="131173" customFormat="1" x14ac:dyDescent="0.25"/>
    <row r="131174" customFormat="1" x14ac:dyDescent="0.25"/>
    <row r="131175" customFormat="1" x14ac:dyDescent="0.25"/>
    <row r="131176" customFormat="1" x14ac:dyDescent="0.25"/>
    <row r="131177" customFormat="1" x14ac:dyDescent="0.25"/>
    <row r="131178" customFormat="1" x14ac:dyDescent="0.25"/>
    <row r="131179" customFormat="1" x14ac:dyDescent="0.25"/>
    <row r="131180" customFormat="1" x14ac:dyDescent="0.25"/>
    <row r="131181" customFormat="1" x14ac:dyDescent="0.25"/>
    <row r="131182" customFormat="1" x14ac:dyDescent="0.25"/>
    <row r="131183" customFormat="1" x14ac:dyDescent="0.25"/>
    <row r="131184" customFormat="1" x14ac:dyDescent="0.25"/>
    <row r="131185" customFormat="1" x14ac:dyDescent="0.25"/>
    <row r="131186" customFormat="1" x14ac:dyDescent="0.25"/>
    <row r="131187" customFormat="1" x14ac:dyDescent="0.25"/>
    <row r="131188" customFormat="1" x14ac:dyDescent="0.25"/>
    <row r="131189" customFormat="1" x14ac:dyDescent="0.25"/>
    <row r="131190" customFormat="1" x14ac:dyDescent="0.25"/>
    <row r="131191" customFormat="1" x14ac:dyDescent="0.25"/>
    <row r="131192" customFormat="1" x14ac:dyDescent="0.25"/>
    <row r="131193" customFormat="1" x14ac:dyDescent="0.25"/>
    <row r="131194" customFormat="1" x14ac:dyDescent="0.25"/>
    <row r="131195" customFormat="1" x14ac:dyDescent="0.25"/>
    <row r="131196" customFormat="1" x14ac:dyDescent="0.25"/>
    <row r="131197" customFormat="1" x14ac:dyDescent="0.25"/>
    <row r="131198" customFormat="1" x14ac:dyDescent="0.25"/>
    <row r="131199" customFormat="1" x14ac:dyDescent="0.25"/>
    <row r="131200" customFormat="1" x14ac:dyDescent="0.25"/>
    <row r="131201" customFormat="1" x14ac:dyDescent="0.25"/>
    <row r="131202" customFormat="1" x14ac:dyDescent="0.25"/>
    <row r="131203" customFormat="1" x14ac:dyDescent="0.25"/>
    <row r="131204" customFormat="1" x14ac:dyDescent="0.25"/>
    <row r="131205" customFormat="1" x14ac:dyDescent="0.25"/>
    <row r="131206" customFormat="1" x14ac:dyDescent="0.25"/>
    <row r="131207" customFormat="1" x14ac:dyDescent="0.25"/>
    <row r="131208" customFormat="1" x14ac:dyDescent="0.25"/>
    <row r="131209" customFormat="1" x14ac:dyDescent="0.25"/>
    <row r="131210" customFormat="1" x14ac:dyDescent="0.25"/>
    <row r="131211" customFormat="1" x14ac:dyDescent="0.25"/>
    <row r="131212" customFormat="1" x14ac:dyDescent="0.25"/>
    <row r="131213" customFormat="1" x14ac:dyDescent="0.25"/>
    <row r="131214" customFormat="1" x14ac:dyDescent="0.25"/>
    <row r="131215" customFormat="1" x14ac:dyDescent="0.25"/>
    <row r="131216" customFormat="1" x14ac:dyDescent="0.25"/>
    <row r="131217" customFormat="1" x14ac:dyDescent="0.25"/>
    <row r="131218" customFormat="1" x14ac:dyDescent="0.25"/>
    <row r="131219" customFormat="1" x14ac:dyDescent="0.25"/>
    <row r="131220" customFormat="1" x14ac:dyDescent="0.25"/>
    <row r="131221" customFormat="1" x14ac:dyDescent="0.25"/>
    <row r="131222" customFormat="1" x14ac:dyDescent="0.25"/>
    <row r="131223" customFormat="1" x14ac:dyDescent="0.25"/>
    <row r="131224" customFormat="1" x14ac:dyDescent="0.25"/>
    <row r="131225" customFormat="1" x14ac:dyDescent="0.25"/>
    <row r="131226" customFormat="1" x14ac:dyDescent="0.25"/>
    <row r="131227" customFormat="1" x14ac:dyDescent="0.25"/>
    <row r="131228" customFormat="1" x14ac:dyDescent="0.25"/>
    <row r="131229" customFormat="1" x14ac:dyDescent="0.25"/>
    <row r="131230" customFormat="1" x14ac:dyDescent="0.25"/>
    <row r="131231" customFormat="1" x14ac:dyDescent="0.25"/>
    <row r="131232" customFormat="1" x14ac:dyDescent="0.25"/>
    <row r="131233" customFormat="1" x14ac:dyDescent="0.25"/>
    <row r="131234" customFormat="1" x14ac:dyDescent="0.25"/>
    <row r="131235" customFormat="1" x14ac:dyDescent="0.25"/>
    <row r="131236" customFormat="1" x14ac:dyDescent="0.25"/>
    <row r="131237" customFormat="1" x14ac:dyDescent="0.25"/>
    <row r="131238" customFormat="1" x14ac:dyDescent="0.25"/>
    <row r="131239" customFormat="1" x14ac:dyDescent="0.25"/>
    <row r="131240" customFormat="1" x14ac:dyDescent="0.25"/>
    <row r="131241" customFormat="1" x14ac:dyDescent="0.25"/>
    <row r="131242" customFormat="1" x14ac:dyDescent="0.25"/>
    <row r="131243" customFormat="1" x14ac:dyDescent="0.25"/>
    <row r="131244" customFormat="1" x14ac:dyDescent="0.25"/>
    <row r="131245" customFormat="1" x14ac:dyDescent="0.25"/>
    <row r="131246" customFormat="1" x14ac:dyDescent="0.25"/>
    <row r="131247" customFormat="1" x14ac:dyDescent="0.25"/>
    <row r="131248" customFormat="1" x14ac:dyDescent="0.25"/>
    <row r="131249" customFormat="1" x14ac:dyDescent="0.25"/>
    <row r="131250" customFormat="1" x14ac:dyDescent="0.25"/>
    <row r="131251" customFormat="1" x14ac:dyDescent="0.25"/>
    <row r="131252" customFormat="1" x14ac:dyDescent="0.25"/>
    <row r="131253" customFormat="1" x14ac:dyDescent="0.25"/>
    <row r="131254" customFormat="1" x14ac:dyDescent="0.25"/>
    <row r="131255" customFormat="1" x14ac:dyDescent="0.25"/>
    <row r="131256" customFormat="1" x14ac:dyDescent="0.25"/>
    <row r="131257" customFormat="1" x14ac:dyDescent="0.25"/>
    <row r="131258" customFormat="1" x14ac:dyDescent="0.25"/>
    <row r="131259" customFormat="1" x14ac:dyDescent="0.25"/>
    <row r="131260" customFormat="1" x14ac:dyDescent="0.25"/>
    <row r="131261" customFormat="1" x14ac:dyDescent="0.25"/>
    <row r="131262" customFormat="1" x14ac:dyDescent="0.25"/>
    <row r="131263" customFormat="1" x14ac:dyDescent="0.25"/>
    <row r="131264" customFormat="1" x14ac:dyDescent="0.25"/>
    <row r="131265" customFormat="1" x14ac:dyDescent="0.25"/>
    <row r="131266" customFormat="1" x14ac:dyDescent="0.25"/>
    <row r="131267" customFormat="1" x14ac:dyDescent="0.25"/>
    <row r="131268" customFormat="1" x14ac:dyDescent="0.25"/>
    <row r="131269" customFormat="1" x14ac:dyDescent="0.25"/>
    <row r="131270" customFormat="1" x14ac:dyDescent="0.25"/>
    <row r="131271" customFormat="1" x14ac:dyDescent="0.25"/>
    <row r="131272" customFormat="1" x14ac:dyDescent="0.25"/>
    <row r="131273" customFormat="1" x14ac:dyDescent="0.25"/>
    <row r="131274" customFormat="1" x14ac:dyDescent="0.25"/>
    <row r="131275" customFormat="1" x14ac:dyDescent="0.25"/>
    <row r="131276" customFormat="1" x14ac:dyDescent="0.25"/>
    <row r="131277" customFormat="1" x14ac:dyDescent="0.25"/>
    <row r="131278" customFormat="1" x14ac:dyDescent="0.25"/>
    <row r="131279" customFormat="1" x14ac:dyDescent="0.25"/>
    <row r="131280" customFormat="1" x14ac:dyDescent="0.25"/>
    <row r="131281" customFormat="1" x14ac:dyDescent="0.25"/>
    <row r="131282" customFormat="1" x14ac:dyDescent="0.25"/>
    <row r="131283" customFormat="1" x14ac:dyDescent="0.25"/>
    <row r="131284" customFormat="1" x14ac:dyDescent="0.25"/>
    <row r="131285" customFormat="1" x14ac:dyDescent="0.25"/>
    <row r="131286" customFormat="1" x14ac:dyDescent="0.25"/>
    <row r="131287" customFormat="1" x14ac:dyDescent="0.25"/>
    <row r="131288" customFormat="1" x14ac:dyDescent="0.25"/>
    <row r="131289" customFormat="1" x14ac:dyDescent="0.25"/>
    <row r="131290" customFormat="1" x14ac:dyDescent="0.25"/>
    <row r="131291" customFormat="1" x14ac:dyDescent="0.25"/>
    <row r="131292" customFormat="1" x14ac:dyDescent="0.25"/>
    <row r="131293" customFormat="1" x14ac:dyDescent="0.25"/>
    <row r="131294" customFormat="1" x14ac:dyDescent="0.25"/>
    <row r="131295" customFormat="1" x14ac:dyDescent="0.25"/>
    <row r="131296" customFormat="1" x14ac:dyDescent="0.25"/>
    <row r="131297" customFormat="1" x14ac:dyDescent="0.25"/>
    <row r="131298" customFormat="1" x14ac:dyDescent="0.25"/>
    <row r="131299" customFormat="1" x14ac:dyDescent="0.25"/>
    <row r="131300" customFormat="1" x14ac:dyDescent="0.25"/>
    <row r="131301" customFormat="1" x14ac:dyDescent="0.25"/>
    <row r="131302" customFormat="1" x14ac:dyDescent="0.25"/>
    <row r="131303" customFormat="1" x14ac:dyDescent="0.25"/>
    <row r="131304" customFormat="1" x14ac:dyDescent="0.25"/>
    <row r="131305" customFormat="1" x14ac:dyDescent="0.25"/>
    <row r="131306" customFormat="1" x14ac:dyDescent="0.25"/>
    <row r="131307" customFormat="1" x14ac:dyDescent="0.25"/>
    <row r="131308" customFormat="1" x14ac:dyDescent="0.25"/>
    <row r="131309" customFormat="1" x14ac:dyDescent="0.25"/>
    <row r="131310" customFormat="1" x14ac:dyDescent="0.25"/>
    <row r="131311" customFormat="1" x14ac:dyDescent="0.25"/>
    <row r="131312" customFormat="1" x14ac:dyDescent="0.25"/>
    <row r="131313" customFormat="1" x14ac:dyDescent="0.25"/>
    <row r="131314" customFormat="1" x14ac:dyDescent="0.25"/>
    <row r="131315" customFormat="1" x14ac:dyDescent="0.25"/>
    <row r="131316" customFormat="1" x14ac:dyDescent="0.25"/>
    <row r="131317" customFormat="1" x14ac:dyDescent="0.25"/>
    <row r="131318" customFormat="1" x14ac:dyDescent="0.25"/>
    <row r="131319" customFormat="1" x14ac:dyDescent="0.25"/>
    <row r="131320" customFormat="1" x14ac:dyDescent="0.25"/>
    <row r="131321" customFormat="1" x14ac:dyDescent="0.25"/>
    <row r="131322" customFormat="1" x14ac:dyDescent="0.25"/>
    <row r="131323" customFormat="1" x14ac:dyDescent="0.25"/>
    <row r="131324" customFormat="1" x14ac:dyDescent="0.25"/>
    <row r="131325" customFormat="1" x14ac:dyDescent="0.25"/>
    <row r="131326" customFormat="1" x14ac:dyDescent="0.25"/>
    <row r="131327" customFormat="1" x14ac:dyDescent="0.25"/>
    <row r="131328" customFormat="1" x14ac:dyDescent="0.25"/>
    <row r="131329" customFormat="1" x14ac:dyDescent="0.25"/>
    <row r="131330" customFormat="1" x14ac:dyDescent="0.25"/>
    <row r="131331" customFormat="1" x14ac:dyDescent="0.25"/>
    <row r="131332" customFormat="1" x14ac:dyDescent="0.25"/>
    <row r="131333" customFormat="1" x14ac:dyDescent="0.25"/>
    <row r="131334" customFormat="1" x14ac:dyDescent="0.25"/>
    <row r="131335" customFormat="1" x14ac:dyDescent="0.25"/>
    <row r="131336" customFormat="1" x14ac:dyDescent="0.25"/>
    <row r="131337" customFormat="1" x14ac:dyDescent="0.25"/>
    <row r="131338" customFormat="1" x14ac:dyDescent="0.25"/>
    <row r="131339" customFormat="1" x14ac:dyDescent="0.25"/>
    <row r="131340" customFormat="1" x14ac:dyDescent="0.25"/>
    <row r="131341" customFormat="1" x14ac:dyDescent="0.25"/>
    <row r="131342" customFormat="1" x14ac:dyDescent="0.25"/>
    <row r="131343" customFormat="1" x14ac:dyDescent="0.25"/>
    <row r="131344" customFormat="1" x14ac:dyDescent="0.25"/>
    <row r="131345" customFormat="1" x14ac:dyDescent="0.25"/>
    <row r="131346" customFormat="1" x14ac:dyDescent="0.25"/>
    <row r="131347" customFormat="1" x14ac:dyDescent="0.25"/>
    <row r="131348" customFormat="1" x14ac:dyDescent="0.25"/>
    <row r="131349" customFormat="1" x14ac:dyDescent="0.25"/>
    <row r="131350" customFormat="1" x14ac:dyDescent="0.25"/>
    <row r="131351" customFormat="1" x14ac:dyDescent="0.25"/>
    <row r="131352" customFormat="1" x14ac:dyDescent="0.25"/>
    <row r="131353" customFormat="1" x14ac:dyDescent="0.25"/>
    <row r="131354" customFormat="1" x14ac:dyDescent="0.25"/>
    <row r="131355" customFormat="1" x14ac:dyDescent="0.25"/>
    <row r="131356" customFormat="1" x14ac:dyDescent="0.25"/>
    <row r="131357" customFormat="1" x14ac:dyDescent="0.25"/>
    <row r="131358" customFormat="1" x14ac:dyDescent="0.25"/>
    <row r="131359" customFormat="1" x14ac:dyDescent="0.25"/>
    <row r="131360" customFormat="1" x14ac:dyDescent="0.25"/>
    <row r="131361" customFormat="1" x14ac:dyDescent="0.25"/>
    <row r="131362" customFormat="1" x14ac:dyDescent="0.25"/>
    <row r="131363" customFormat="1" x14ac:dyDescent="0.25"/>
    <row r="131364" customFormat="1" x14ac:dyDescent="0.25"/>
    <row r="131365" customFormat="1" x14ac:dyDescent="0.25"/>
    <row r="131366" customFormat="1" x14ac:dyDescent="0.25"/>
    <row r="131367" customFormat="1" x14ac:dyDescent="0.25"/>
    <row r="131368" customFormat="1" x14ac:dyDescent="0.25"/>
    <row r="131369" customFormat="1" x14ac:dyDescent="0.25"/>
    <row r="131370" customFormat="1" x14ac:dyDescent="0.25"/>
    <row r="131371" customFormat="1" x14ac:dyDescent="0.25"/>
    <row r="131372" customFormat="1" x14ac:dyDescent="0.25"/>
    <row r="131373" customFormat="1" x14ac:dyDescent="0.25"/>
    <row r="131374" customFormat="1" x14ac:dyDescent="0.25"/>
    <row r="131375" customFormat="1" x14ac:dyDescent="0.25"/>
    <row r="131376" customFormat="1" x14ac:dyDescent="0.25"/>
    <row r="131377" customFormat="1" x14ac:dyDescent="0.25"/>
    <row r="131378" customFormat="1" x14ac:dyDescent="0.25"/>
    <row r="131379" customFormat="1" x14ac:dyDescent="0.25"/>
    <row r="131380" customFormat="1" x14ac:dyDescent="0.25"/>
    <row r="131381" customFormat="1" x14ac:dyDescent="0.25"/>
    <row r="131382" customFormat="1" x14ac:dyDescent="0.25"/>
    <row r="131383" customFormat="1" x14ac:dyDescent="0.25"/>
    <row r="131384" customFormat="1" x14ac:dyDescent="0.25"/>
    <row r="131385" customFormat="1" x14ac:dyDescent="0.25"/>
    <row r="131386" customFormat="1" x14ac:dyDescent="0.25"/>
    <row r="131387" customFormat="1" x14ac:dyDescent="0.25"/>
    <row r="131388" customFormat="1" x14ac:dyDescent="0.25"/>
    <row r="131389" customFormat="1" x14ac:dyDescent="0.25"/>
    <row r="131390" customFormat="1" x14ac:dyDescent="0.25"/>
    <row r="131391" customFormat="1" x14ac:dyDescent="0.25"/>
    <row r="131392" customFormat="1" x14ac:dyDescent="0.25"/>
    <row r="131393" customFormat="1" x14ac:dyDescent="0.25"/>
    <row r="131394" customFormat="1" x14ac:dyDescent="0.25"/>
    <row r="131395" customFormat="1" x14ac:dyDescent="0.25"/>
    <row r="131396" customFormat="1" x14ac:dyDescent="0.25"/>
    <row r="131397" customFormat="1" x14ac:dyDescent="0.25"/>
    <row r="131398" customFormat="1" x14ac:dyDescent="0.25"/>
    <row r="131399" customFormat="1" x14ac:dyDescent="0.25"/>
    <row r="131400" customFormat="1" x14ac:dyDescent="0.25"/>
    <row r="131401" customFormat="1" x14ac:dyDescent="0.25"/>
    <row r="131402" customFormat="1" x14ac:dyDescent="0.25"/>
    <row r="131403" customFormat="1" x14ac:dyDescent="0.25"/>
    <row r="131404" customFormat="1" x14ac:dyDescent="0.25"/>
    <row r="131405" customFormat="1" x14ac:dyDescent="0.25"/>
    <row r="131406" customFormat="1" x14ac:dyDescent="0.25"/>
    <row r="131407" customFormat="1" x14ac:dyDescent="0.25"/>
    <row r="131408" customFormat="1" x14ac:dyDescent="0.25"/>
    <row r="131409" customFormat="1" x14ac:dyDescent="0.25"/>
    <row r="131410" customFormat="1" x14ac:dyDescent="0.25"/>
    <row r="131411" customFormat="1" x14ac:dyDescent="0.25"/>
    <row r="131412" customFormat="1" x14ac:dyDescent="0.25"/>
    <row r="131413" customFormat="1" x14ac:dyDescent="0.25"/>
    <row r="131414" customFormat="1" x14ac:dyDescent="0.25"/>
    <row r="131415" customFormat="1" x14ac:dyDescent="0.25"/>
    <row r="131416" customFormat="1" x14ac:dyDescent="0.25"/>
    <row r="131417" customFormat="1" x14ac:dyDescent="0.25"/>
    <row r="131418" customFormat="1" x14ac:dyDescent="0.25"/>
    <row r="131419" customFormat="1" x14ac:dyDescent="0.25"/>
    <row r="131420" customFormat="1" x14ac:dyDescent="0.25"/>
    <row r="131421" customFormat="1" x14ac:dyDescent="0.25"/>
    <row r="131422" customFormat="1" x14ac:dyDescent="0.25"/>
    <row r="131423" customFormat="1" x14ac:dyDescent="0.25"/>
    <row r="131424" customFormat="1" x14ac:dyDescent="0.25"/>
    <row r="131425" customFormat="1" x14ac:dyDescent="0.25"/>
    <row r="131426" customFormat="1" x14ac:dyDescent="0.25"/>
    <row r="131427" customFormat="1" x14ac:dyDescent="0.25"/>
    <row r="131428" customFormat="1" x14ac:dyDescent="0.25"/>
    <row r="131429" customFormat="1" x14ac:dyDescent="0.25"/>
    <row r="131430" customFormat="1" x14ac:dyDescent="0.25"/>
    <row r="131431" customFormat="1" x14ac:dyDescent="0.25"/>
    <row r="131432" customFormat="1" x14ac:dyDescent="0.25"/>
    <row r="131433" customFormat="1" x14ac:dyDescent="0.25"/>
    <row r="131434" customFormat="1" x14ac:dyDescent="0.25"/>
    <row r="131435" customFormat="1" x14ac:dyDescent="0.25"/>
    <row r="131436" customFormat="1" x14ac:dyDescent="0.25"/>
    <row r="131437" customFormat="1" x14ac:dyDescent="0.25"/>
    <row r="131438" customFormat="1" x14ac:dyDescent="0.25"/>
    <row r="131439" customFormat="1" x14ac:dyDescent="0.25"/>
    <row r="131440" customFormat="1" x14ac:dyDescent="0.25"/>
    <row r="131441" customFormat="1" x14ac:dyDescent="0.25"/>
    <row r="131442" customFormat="1" x14ac:dyDescent="0.25"/>
    <row r="131443" customFormat="1" x14ac:dyDescent="0.25"/>
    <row r="131444" customFormat="1" x14ac:dyDescent="0.25"/>
    <row r="131445" customFormat="1" x14ac:dyDescent="0.25"/>
    <row r="131446" customFormat="1" x14ac:dyDescent="0.25"/>
    <row r="131447" customFormat="1" x14ac:dyDescent="0.25"/>
    <row r="131448" customFormat="1" x14ac:dyDescent="0.25"/>
    <row r="131449" customFormat="1" x14ac:dyDescent="0.25"/>
    <row r="131450" customFormat="1" x14ac:dyDescent="0.25"/>
    <row r="131451" customFormat="1" x14ac:dyDescent="0.25"/>
    <row r="131452" customFormat="1" x14ac:dyDescent="0.25"/>
    <row r="131453" customFormat="1" x14ac:dyDescent="0.25"/>
    <row r="131454" customFormat="1" x14ac:dyDescent="0.25"/>
    <row r="131455" customFormat="1" x14ac:dyDescent="0.25"/>
    <row r="131456" customFormat="1" x14ac:dyDescent="0.25"/>
    <row r="131457" customFormat="1" x14ac:dyDescent="0.25"/>
    <row r="131458" customFormat="1" x14ac:dyDescent="0.25"/>
    <row r="131459" customFormat="1" x14ac:dyDescent="0.25"/>
    <row r="131460" customFormat="1" x14ac:dyDescent="0.25"/>
    <row r="131461" customFormat="1" x14ac:dyDescent="0.25"/>
    <row r="131462" customFormat="1" x14ac:dyDescent="0.25"/>
    <row r="131463" customFormat="1" x14ac:dyDescent="0.25"/>
    <row r="131464" customFormat="1" x14ac:dyDescent="0.25"/>
    <row r="131465" customFormat="1" x14ac:dyDescent="0.25"/>
    <row r="131466" customFormat="1" x14ac:dyDescent="0.25"/>
    <row r="131467" customFormat="1" x14ac:dyDescent="0.25"/>
    <row r="131468" customFormat="1" x14ac:dyDescent="0.25"/>
    <row r="131469" customFormat="1" x14ac:dyDescent="0.25"/>
    <row r="131470" customFormat="1" x14ac:dyDescent="0.25"/>
    <row r="131471" customFormat="1" x14ac:dyDescent="0.25"/>
    <row r="131472" customFormat="1" x14ac:dyDescent="0.25"/>
    <row r="131473" customFormat="1" x14ac:dyDescent="0.25"/>
    <row r="131474" customFormat="1" x14ac:dyDescent="0.25"/>
    <row r="131475" customFormat="1" x14ac:dyDescent="0.25"/>
    <row r="131476" customFormat="1" x14ac:dyDescent="0.25"/>
    <row r="131477" customFormat="1" x14ac:dyDescent="0.25"/>
    <row r="131478" customFormat="1" x14ac:dyDescent="0.25"/>
    <row r="131479" customFormat="1" x14ac:dyDescent="0.25"/>
    <row r="131480" customFormat="1" x14ac:dyDescent="0.25"/>
    <row r="131481" customFormat="1" x14ac:dyDescent="0.25"/>
    <row r="131482" customFormat="1" x14ac:dyDescent="0.25"/>
    <row r="131483" customFormat="1" x14ac:dyDescent="0.25"/>
    <row r="131484" customFormat="1" x14ac:dyDescent="0.25"/>
    <row r="131485" customFormat="1" x14ac:dyDescent="0.25"/>
    <row r="131486" customFormat="1" x14ac:dyDescent="0.25"/>
    <row r="131487" customFormat="1" x14ac:dyDescent="0.25"/>
    <row r="131488" customFormat="1" x14ac:dyDescent="0.25"/>
    <row r="131489" customFormat="1" x14ac:dyDescent="0.25"/>
    <row r="131490" customFormat="1" x14ac:dyDescent="0.25"/>
    <row r="131491" customFormat="1" x14ac:dyDescent="0.25"/>
    <row r="131492" customFormat="1" x14ac:dyDescent="0.25"/>
    <row r="131493" customFormat="1" x14ac:dyDescent="0.25"/>
    <row r="131494" customFormat="1" x14ac:dyDescent="0.25"/>
    <row r="131495" customFormat="1" x14ac:dyDescent="0.25"/>
    <row r="131496" customFormat="1" x14ac:dyDescent="0.25"/>
    <row r="131497" customFormat="1" x14ac:dyDescent="0.25"/>
    <row r="131498" customFormat="1" x14ac:dyDescent="0.25"/>
    <row r="131499" customFormat="1" x14ac:dyDescent="0.25"/>
    <row r="131500" customFormat="1" x14ac:dyDescent="0.25"/>
    <row r="131501" customFormat="1" x14ac:dyDescent="0.25"/>
    <row r="131502" customFormat="1" x14ac:dyDescent="0.25"/>
    <row r="131503" customFormat="1" x14ac:dyDescent="0.25"/>
    <row r="131504" customFormat="1" x14ac:dyDescent="0.25"/>
    <row r="131505" customFormat="1" x14ac:dyDescent="0.25"/>
    <row r="131506" customFormat="1" x14ac:dyDescent="0.25"/>
    <row r="131507" customFormat="1" x14ac:dyDescent="0.25"/>
    <row r="131508" customFormat="1" x14ac:dyDescent="0.25"/>
    <row r="131509" customFormat="1" x14ac:dyDescent="0.25"/>
    <row r="131510" customFormat="1" x14ac:dyDescent="0.25"/>
    <row r="131511" customFormat="1" x14ac:dyDescent="0.25"/>
    <row r="131512" customFormat="1" x14ac:dyDescent="0.25"/>
    <row r="131513" customFormat="1" x14ac:dyDescent="0.25"/>
    <row r="131514" customFormat="1" x14ac:dyDescent="0.25"/>
    <row r="131515" customFormat="1" x14ac:dyDescent="0.25"/>
    <row r="131516" customFormat="1" x14ac:dyDescent="0.25"/>
    <row r="131517" customFormat="1" x14ac:dyDescent="0.25"/>
    <row r="131518" customFormat="1" x14ac:dyDescent="0.25"/>
    <row r="131519" customFormat="1" x14ac:dyDescent="0.25"/>
    <row r="131520" customFormat="1" x14ac:dyDescent="0.25"/>
    <row r="131521" customFormat="1" x14ac:dyDescent="0.25"/>
    <row r="131522" customFormat="1" x14ac:dyDescent="0.25"/>
    <row r="131523" customFormat="1" x14ac:dyDescent="0.25"/>
    <row r="131524" customFormat="1" x14ac:dyDescent="0.25"/>
    <row r="131525" customFormat="1" x14ac:dyDescent="0.25"/>
    <row r="131526" customFormat="1" x14ac:dyDescent="0.25"/>
    <row r="131527" customFormat="1" x14ac:dyDescent="0.25"/>
    <row r="131528" customFormat="1" x14ac:dyDescent="0.25"/>
    <row r="131529" customFormat="1" x14ac:dyDescent="0.25"/>
    <row r="131530" customFormat="1" x14ac:dyDescent="0.25"/>
    <row r="131531" customFormat="1" x14ac:dyDescent="0.25"/>
    <row r="131532" customFormat="1" x14ac:dyDescent="0.25"/>
    <row r="131533" customFormat="1" x14ac:dyDescent="0.25"/>
    <row r="131534" customFormat="1" x14ac:dyDescent="0.25"/>
    <row r="131535" customFormat="1" x14ac:dyDescent="0.25"/>
    <row r="131536" customFormat="1" x14ac:dyDescent="0.25"/>
    <row r="131537" customFormat="1" x14ac:dyDescent="0.25"/>
    <row r="131538" customFormat="1" x14ac:dyDescent="0.25"/>
    <row r="131539" customFormat="1" x14ac:dyDescent="0.25"/>
    <row r="131540" customFormat="1" x14ac:dyDescent="0.25"/>
    <row r="131541" customFormat="1" x14ac:dyDescent="0.25"/>
    <row r="131542" customFormat="1" x14ac:dyDescent="0.25"/>
    <row r="131543" customFormat="1" x14ac:dyDescent="0.25"/>
    <row r="131544" customFormat="1" x14ac:dyDescent="0.25"/>
    <row r="131545" customFormat="1" x14ac:dyDescent="0.25"/>
    <row r="131546" customFormat="1" x14ac:dyDescent="0.25"/>
    <row r="131547" customFormat="1" x14ac:dyDescent="0.25"/>
    <row r="131548" customFormat="1" x14ac:dyDescent="0.25"/>
    <row r="131549" customFormat="1" x14ac:dyDescent="0.25"/>
    <row r="131550" customFormat="1" x14ac:dyDescent="0.25"/>
    <row r="131551" customFormat="1" x14ac:dyDescent="0.25"/>
    <row r="131552" customFormat="1" x14ac:dyDescent="0.25"/>
    <row r="131553" customFormat="1" x14ac:dyDescent="0.25"/>
    <row r="131554" customFormat="1" x14ac:dyDescent="0.25"/>
    <row r="131555" customFormat="1" x14ac:dyDescent="0.25"/>
    <row r="131556" customFormat="1" x14ac:dyDescent="0.25"/>
    <row r="131557" customFormat="1" x14ac:dyDescent="0.25"/>
    <row r="131558" customFormat="1" x14ac:dyDescent="0.25"/>
    <row r="131559" customFormat="1" x14ac:dyDescent="0.25"/>
    <row r="131560" customFormat="1" x14ac:dyDescent="0.25"/>
    <row r="131561" customFormat="1" x14ac:dyDescent="0.25"/>
    <row r="131562" customFormat="1" x14ac:dyDescent="0.25"/>
    <row r="131563" customFormat="1" x14ac:dyDescent="0.25"/>
    <row r="131564" customFormat="1" x14ac:dyDescent="0.25"/>
    <row r="131565" customFormat="1" x14ac:dyDescent="0.25"/>
    <row r="131566" customFormat="1" x14ac:dyDescent="0.25"/>
    <row r="131567" customFormat="1" x14ac:dyDescent="0.25"/>
    <row r="131568" customFormat="1" x14ac:dyDescent="0.25"/>
    <row r="131569" customFormat="1" x14ac:dyDescent="0.25"/>
    <row r="131570" customFormat="1" x14ac:dyDescent="0.25"/>
    <row r="131571" customFormat="1" x14ac:dyDescent="0.25"/>
    <row r="131572" customFormat="1" x14ac:dyDescent="0.25"/>
    <row r="131573" customFormat="1" x14ac:dyDescent="0.25"/>
    <row r="131574" customFormat="1" x14ac:dyDescent="0.25"/>
    <row r="131575" customFormat="1" x14ac:dyDescent="0.25"/>
    <row r="131576" customFormat="1" x14ac:dyDescent="0.25"/>
    <row r="131577" customFormat="1" x14ac:dyDescent="0.25"/>
    <row r="131578" customFormat="1" x14ac:dyDescent="0.25"/>
    <row r="131579" customFormat="1" x14ac:dyDescent="0.25"/>
    <row r="131580" customFormat="1" x14ac:dyDescent="0.25"/>
    <row r="131581" customFormat="1" x14ac:dyDescent="0.25"/>
    <row r="131582" customFormat="1" x14ac:dyDescent="0.25"/>
    <row r="131583" customFormat="1" x14ac:dyDescent="0.25"/>
    <row r="131584" customFormat="1" x14ac:dyDescent="0.25"/>
    <row r="131585" customFormat="1" x14ac:dyDescent="0.25"/>
    <row r="131586" customFormat="1" x14ac:dyDescent="0.25"/>
    <row r="131587" customFormat="1" x14ac:dyDescent="0.25"/>
    <row r="131588" customFormat="1" x14ac:dyDescent="0.25"/>
    <row r="131589" customFormat="1" x14ac:dyDescent="0.25"/>
    <row r="131590" customFormat="1" x14ac:dyDescent="0.25"/>
    <row r="131591" customFormat="1" x14ac:dyDescent="0.25"/>
    <row r="131592" customFormat="1" x14ac:dyDescent="0.25"/>
    <row r="131593" customFormat="1" x14ac:dyDescent="0.25"/>
    <row r="131594" customFormat="1" x14ac:dyDescent="0.25"/>
    <row r="131595" customFormat="1" x14ac:dyDescent="0.25"/>
    <row r="131596" customFormat="1" x14ac:dyDescent="0.25"/>
    <row r="131597" customFormat="1" x14ac:dyDescent="0.25"/>
    <row r="131598" customFormat="1" x14ac:dyDescent="0.25"/>
    <row r="131599" customFormat="1" x14ac:dyDescent="0.25"/>
    <row r="131600" customFormat="1" x14ac:dyDescent="0.25"/>
    <row r="131601" customFormat="1" x14ac:dyDescent="0.25"/>
    <row r="131602" customFormat="1" x14ac:dyDescent="0.25"/>
    <row r="131603" customFormat="1" x14ac:dyDescent="0.25"/>
    <row r="131604" customFormat="1" x14ac:dyDescent="0.25"/>
    <row r="131605" customFormat="1" x14ac:dyDescent="0.25"/>
    <row r="131606" customFormat="1" x14ac:dyDescent="0.25"/>
    <row r="131607" customFormat="1" x14ac:dyDescent="0.25"/>
    <row r="131608" customFormat="1" x14ac:dyDescent="0.25"/>
    <row r="131609" customFormat="1" x14ac:dyDescent="0.25"/>
    <row r="131610" customFormat="1" x14ac:dyDescent="0.25"/>
    <row r="131611" customFormat="1" x14ac:dyDescent="0.25"/>
    <row r="131612" customFormat="1" x14ac:dyDescent="0.25"/>
    <row r="131613" customFormat="1" x14ac:dyDescent="0.25"/>
    <row r="131614" customFormat="1" x14ac:dyDescent="0.25"/>
    <row r="131615" customFormat="1" x14ac:dyDescent="0.25"/>
    <row r="131616" customFormat="1" x14ac:dyDescent="0.25"/>
    <row r="131617" customFormat="1" x14ac:dyDescent="0.25"/>
    <row r="131618" customFormat="1" x14ac:dyDescent="0.25"/>
    <row r="131619" customFormat="1" x14ac:dyDescent="0.25"/>
    <row r="131620" customFormat="1" x14ac:dyDescent="0.25"/>
    <row r="131621" customFormat="1" x14ac:dyDescent="0.25"/>
    <row r="131622" customFormat="1" x14ac:dyDescent="0.25"/>
    <row r="131623" customFormat="1" x14ac:dyDescent="0.25"/>
    <row r="131624" customFormat="1" x14ac:dyDescent="0.25"/>
    <row r="131625" customFormat="1" x14ac:dyDescent="0.25"/>
    <row r="131626" customFormat="1" x14ac:dyDescent="0.25"/>
    <row r="131627" customFormat="1" x14ac:dyDescent="0.25"/>
    <row r="131628" customFormat="1" x14ac:dyDescent="0.25"/>
    <row r="131629" customFormat="1" x14ac:dyDescent="0.25"/>
    <row r="131630" customFormat="1" x14ac:dyDescent="0.25"/>
    <row r="131631" customFormat="1" x14ac:dyDescent="0.25"/>
    <row r="131632" customFormat="1" x14ac:dyDescent="0.25"/>
    <row r="131633" customFormat="1" x14ac:dyDescent="0.25"/>
    <row r="131634" customFormat="1" x14ac:dyDescent="0.25"/>
    <row r="131635" customFormat="1" x14ac:dyDescent="0.25"/>
    <row r="131636" customFormat="1" x14ac:dyDescent="0.25"/>
    <row r="131637" customFormat="1" x14ac:dyDescent="0.25"/>
    <row r="131638" customFormat="1" x14ac:dyDescent="0.25"/>
    <row r="131639" customFormat="1" x14ac:dyDescent="0.25"/>
    <row r="131640" customFormat="1" x14ac:dyDescent="0.25"/>
    <row r="131641" customFormat="1" x14ac:dyDescent="0.25"/>
    <row r="131642" customFormat="1" x14ac:dyDescent="0.25"/>
    <row r="131643" customFormat="1" x14ac:dyDescent="0.25"/>
    <row r="131644" customFormat="1" x14ac:dyDescent="0.25"/>
    <row r="131645" customFormat="1" x14ac:dyDescent="0.25"/>
    <row r="131646" customFormat="1" x14ac:dyDescent="0.25"/>
    <row r="131647" customFormat="1" x14ac:dyDescent="0.25"/>
    <row r="131648" customFormat="1" x14ac:dyDescent="0.25"/>
    <row r="131649" customFormat="1" x14ac:dyDescent="0.25"/>
    <row r="131650" customFormat="1" x14ac:dyDescent="0.25"/>
    <row r="131651" customFormat="1" x14ac:dyDescent="0.25"/>
    <row r="131652" customFormat="1" x14ac:dyDescent="0.25"/>
    <row r="131653" customFormat="1" x14ac:dyDescent="0.25"/>
    <row r="131654" customFormat="1" x14ac:dyDescent="0.25"/>
    <row r="131655" customFormat="1" x14ac:dyDescent="0.25"/>
    <row r="131656" customFormat="1" x14ac:dyDescent="0.25"/>
    <row r="131657" customFormat="1" x14ac:dyDescent="0.25"/>
    <row r="131658" customFormat="1" x14ac:dyDescent="0.25"/>
    <row r="131659" customFormat="1" x14ac:dyDescent="0.25"/>
    <row r="131660" customFormat="1" x14ac:dyDescent="0.25"/>
    <row r="131661" customFormat="1" x14ac:dyDescent="0.25"/>
    <row r="131662" customFormat="1" x14ac:dyDescent="0.25"/>
    <row r="131663" customFormat="1" x14ac:dyDescent="0.25"/>
    <row r="131664" customFormat="1" x14ac:dyDescent="0.25"/>
    <row r="131665" customFormat="1" x14ac:dyDescent="0.25"/>
    <row r="131666" customFormat="1" x14ac:dyDescent="0.25"/>
    <row r="131667" customFormat="1" x14ac:dyDescent="0.25"/>
    <row r="131668" customFormat="1" x14ac:dyDescent="0.25"/>
    <row r="131669" customFormat="1" x14ac:dyDescent="0.25"/>
    <row r="131670" customFormat="1" x14ac:dyDescent="0.25"/>
    <row r="131671" customFormat="1" x14ac:dyDescent="0.25"/>
    <row r="131672" customFormat="1" x14ac:dyDescent="0.25"/>
    <row r="131673" customFormat="1" x14ac:dyDescent="0.25"/>
    <row r="131674" customFormat="1" x14ac:dyDescent="0.25"/>
    <row r="131675" customFormat="1" x14ac:dyDescent="0.25"/>
    <row r="131676" customFormat="1" x14ac:dyDescent="0.25"/>
    <row r="131677" customFormat="1" x14ac:dyDescent="0.25"/>
    <row r="131678" customFormat="1" x14ac:dyDescent="0.25"/>
    <row r="131679" customFormat="1" x14ac:dyDescent="0.25"/>
    <row r="131680" customFormat="1" x14ac:dyDescent="0.25"/>
    <row r="131681" customFormat="1" x14ac:dyDescent="0.25"/>
    <row r="131682" customFormat="1" x14ac:dyDescent="0.25"/>
    <row r="131683" customFormat="1" x14ac:dyDescent="0.25"/>
    <row r="131684" customFormat="1" x14ac:dyDescent="0.25"/>
    <row r="131685" customFormat="1" x14ac:dyDescent="0.25"/>
    <row r="131686" customFormat="1" x14ac:dyDescent="0.25"/>
    <row r="131687" customFormat="1" x14ac:dyDescent="0.25"/>
    <row r="131688" customFormat="1" x14ac:dyDescent="0.25"/>
    <row r="131689" customFormat="1" x14ac:dyDescent="0.25"/>
    <row r="131690" customFormat="1" x14ac:dyDescent="0.25"/>
    <row r="131691" customFormat="1" x14ac:dyDescent="0.25"/>
    <row r="131692" customFormat="1" x14ac:dyDescent="0.25"/>
    <row r="131693" customFormat="1" x14ac:dyDescent="0.25"/>
    <row r="131694" customFormat="1" x14ac:dyDescent="0.25"/>
    <row r="131695" customFormat="1" x14ac:dyDescent="0.25"/>
    <row r="131696" customFormat="1" x14ac:dyDescent="0.25"/>
    <row r="131697" customFormat="1" x14ac:dyDescent="0.25"/>
    <row r="131698" customFormat="1" x14ac:dyDescent="0.25"/>
    <row r="131699" customFormat="1" x14ac:dyDescent="0.25"/>
    <row r="131700" customFormat="1" x14ac:dyDescent="0.25"/>
    <row r="131701" customFormat="1" x14ac:dyDescent="0.25"/>
    <row r="131702" customFormat="1" x14ac:dyDescent="0.25"/>
    <row r="131703" customFormat="1" x14ac:dyDescent="0.25"/>
    <row r="131704" customFormat="1" x14ac:dyDescent="0.25"/>
    <row r="131705" customFormat="1" x14ac:dyDescent="0.25"/>
    <row r="131706" customFormat="1" x14ac:dyDescent="0.25"/>
    <row r="131707" customFormat="1" x14ac:dyDescent="0.25"/>
    <row r="131708" customFormat="1" x14ac:dyDescent="0.25"/>
    <row r="131709" customFormat="1" x14ac:dyDescent="0.25"/>
    <row r="131710" customFormat="1" x14ac:dyDescent="0.25"/>
    <row r="131711" customFormat="1" x14ac:dyDescent="0.25"/>
    <row r="131712" customFormat="1" x14ac:dyDescent="0.25"/>
    <row r="131713" customFormat="1" x14ac:dyDescent="0.25"/>
    <row r="131714" customFormat="1" x14ac:dyDescent="0.25"/>
    <row r="131715" customFormat="1" x14ac:dyDescent="0.25"/>
    <row r="131716" customFormat="1" x14ac:dyDescent="0.25"/>
    <row r="131717" customFormat="1" x14ac:dyDescent="0.25"/>
    <row r="131718" customFormat="1" x14ac:dyDescent="0.25"/>
    <row r="131719" customFormat="1" x14ac:dyDescent="0.25"/>
    <row r="131720" customFormat="1" x14ac:dyDescent="0.25"/>
    <row r="131721" customFormat="1" x14ac:dyDescent="0.25"/>
    <row r="131722" customFormat="1" x14ac:dyDescent="0.25"/>
    <row r="131723" customFormat="1" x14ac:dyDescent="0.25"/>
    <row r="131724" customFormat="1" x14ac:dyDescent="0.25"/>
    <row r="131725" customFormat="1" x14ac:dyDescent="0.25"/>
    <row r="131726" customFormat="1" x14ac:dyDescent="0.25"/>
    <row r="131727" customFormat="1" x14ac:dyDescent="0.25"/>
    <row r="131728" customFormat="1" x14ac:dyDescent="0.25"/>
    <row r="131729" customFormat="1" x14ac:dyDescent="0.25"/>
    <row r="131730" customFormat="1" x14ac:dyDescent="0.25"/>
    <row r="131731" customFormat="1" x14ac:dyDescent="0.25"/>
    <row r="131732" customFormat="1" x14ac:dyDescent="0.25"/>
    <row r="131733" customFormat="1" x14ac:dyDescent="0.25"/>
    <row r="131734" customFormat="1" x14ac:dyDescent="0.25"/>
    <row r="131735" customFormat="1" x14ac:dyDescent="0.25"/>
    <row r="131736" customFormat="1" x14ac:dyDescent="0.25"/>
    <row r="131737" customFormat="1" x14ac:dyDescent="0.25"/>
    <row r="131738" customFormat="1" x14ac:dyDescent="0.25"/>
    <row r="131739" customFormat="1" x14ac:dyDescent="0.25"/>
    <row r="131740" customFormat="1" x14ac:dyDescent="0.25"/>
    <row r="131741" customFormat="1" x14ac:dyDescent="0.25"/>
    <row r="131742" customFormat="1" x14ac:dyDescent="0.25"/>
    <row r="131743" customFormat="1" x14ac:dyDescent="0.25"/>
    <row r="131744" customFormat="1" x14ac:dyDescent="0.25"/>
    <row r="131745" customFormat="1" x14ac:dyDescent="0.25"/>
    <row r="131746" customFormat="1" x14ac:dyDescent="0.25"/>
    <row r="131747" customFormat="1" x14ac:dyDescent="0.25"/>
    <row r="131748" customFormat="1" x14ac:dyDescent="0.25"/>
    <row r="131749" customFormat="1" x14ac:dyDescent="0.25"/>
    <row r="131750" customFormat="1" x14ac:dyDescent="0.25"/>
    <row r="131751" customFormat="1" x14ac:dyDescent="0.25"/>
    <row r="131752" customFormat="1" x14ac:dyDescent="0.25"/>
    <row r="131753" customFormat="1" x14ac:dyDescent="0.25"/>
    <row r="131754" customFormat="1" x14ac:dyDescent="0.25"/>
    <row r="131755" customFormat="1" x14ac:dyDescent="0.25"/>
    <row r="131756" customFormat="1" x14ac:dyDescent="0.25"/>
    <row r="131757" customFormat="1" x14ac:dyDescent="0.25"/>
    <row r="131758" customFormat="1" x14ac:dyDescent="0.25"/>
    <row r="131759" customFormat="1" x14ac:dyDescent="0.25"/>
    <row r="131760" customFormat="1" x14ac:dyDescent="0.25"/>
    <row r="131761" customFormat="1" x14ac:dyDescent="0.25"/>
    <row r="131762" customFormat="1" x14ac:dyDescent="0.25"/>
    <row r="131763" customFormat="1" x14ac:dyDescent="0.25"/>
    <row r="131764" customFormat="1" x14ac:dyDescent="0.25"/>
    <row r="131765" customFormat="1" x14ac:dyDescent="0.25"/>
    <row r="131766" customFormat="1" x14ac:dyDescent="0.25"/>
    <row r="131767" customFormat="1" x14ac:dyDescent="0.25"/>
    <row r="131768" customFormat="1" x14ac:dyDescent="0.25"/>
    <row r="131769" customFormat="1" x14ac:dyDescent="0.25"/>
    <row r="131770" customFormat="1" x14ac:dyDescent="0.25"/>
    <row r="131771" customFormat="1" x14ac:dyDescent="0.25"/>
    <row r="131772" customFormat="1" x14ac:dyDescent="0.25"/>
    <row r="131773" customFormat="1" x14ac:dyDescent="0.25"/>
    <row r="131774" customFormat="1" x14ac:dyDescent="0.25"/>
    <row r="131775" customFormat="1" x14ac:dyDescent="0.25"/>
    <row r="131776" customFormat="1" x14ac:dyDescent="0.25"/>
    <row r="131777" customFormat="1" x14ac:dyDescent="0.25"/>
    <row r="131778" customFormat="1" x14ac:dyDescent="0.25"/>
    <row r="131779" customFormat="1" x14ac:dyDescent="0.25"/>
    <row r="131780" customFormat="1" x14ac:dyDescent="0.25"/>
    <row r="131781" customFormat="1" x14ac:dyDescent="0.25"/>
    <row r="131782" customFormat="1" x14ac:dyDescent="0.25"/>
    <row r="131783" customFormat="1" x14ac:dyDescent="0.25"/>
    <row r="131784" customFormat="1" x14ac:dyDescent="0.25"/>
    <row r="131785" customFormat="1" x14ac:dyDescent="0.25"/>
    <row r="131786" customFormat="1" x14ac:dyDescent="0.25"/>
    <row r="131787" customFormat="1" x14ac:dyDescent="0.25"/>
    <row r="131788" customFormat="1" x14ac:dyDescent="0.25"/>
    <row r="131789" customFormat="1" x14ac:dyDescent="0.25"/>
    <row r="131790" customFormat="1" x14ac:dyDescent="0.25"/>
    <row r="131791" customFormat="1" x14ac:dyDescent="0.25"/>
    <row r="131792" customFormat="1" x14ac:dyDescent="0.25"/>
    <row r="131793" customFormat="1" x14ac:dyDescent="0.25"/>
    <row r="131794" customFormat="1" x14ac:dyDescent="0.25"/>
    <row r="131795" customFormat="1" x14ac:dyDescent="0.25"/>
    <row r="131796" customFormat="1" x14ac:dyDescent="0.25"/>
    <row r="131797" customFormat="1" x14ac:dyDescent="0.25"/>
    <row r="131798" customFormat="1" x14ac:dyDescent="0.25"/>
    <row r="131799" customFormat="1" x14ac:dyDescent="0.25"/>
    <row r="131800" customFormat="1" x14ac:dyDescent="0.25"/>
    <row r="131801" customFormat="1" x14ac:dyDescent="0.25"/>
    <row r="131802" customFormat="1" x14ac:dyDescent="0.25"/>
    <row r="131803" customFormat="1" x14ac:dyDescent="0.25"/>
    <row r="131804" customFormat="1" x14ac:dyDescent="0.25"/>
    <row r="131805" customFormat="1" x14ac:dyDescent="0.25"/>
    <row r="131806" customFormat="1" x14ac:dyDescent="0.25"/>
    <row r="131807" customFormat="1" x14ac:dyDescent="0.25"/>
    <row r="131808" customFormat="1" x14ac:dyDescent="0.25"/>
    <row r="131809" customFormat="1" x14ac:dyDescent="0.25"/>
    <row r="131810" customFormat="1" x14ac:dyDescent="0.25"/>
    <row r="131811" customFormat="1" x14ac:dyDescent="0.25"/>
    <row r="131812" customFormat="1" x14ac:dyDescent="0.25"/>
    <row r="131813" customFormat="1" x14ac:dyDescent="0.25"/>
    <row r="131814" customFormat="1" x14ac:dyDescent="0.25"/>
    <row r="131815" customFormat="1" x14ac:dyDescent="0.25"/>
    <row r="131816" customFormat="1" x14ac:dyDescent="0.25"/>
    <row r="131817" customFormat="1" x14ac:dyDescent="0.25"/>
    <row r="131818" customFormat="1" x14ac:dyDescent="0.25"/>
    <row r="131819" customFormat="1" x14ac:dyDescent="0.25"/>
    <row r="131820" customFormat="1" x14ac:dyDescent="0.25"/>
    <row r="131821" customFormat="1" x14ac:dyDescent="0.25"/>
    <row r="131822" customFormat="1" x14ac:dyDescent="0.25"/>
    <row r="131823" customFormat="1" x14ac:dyDescent="0.25"/>
    <row r="131824" customFormat="1" x14ac:dyDescent="0.25"/>
    <row r="131825" customFormat="1" x14ac:dyDescent="0.25"/>
    <row r="131826" customFormat="1" x14ac:dyDescent="0.25"/>
    <row r="131827" customFormat="1" x14ac:dyDescent="0.25"/>
    <row r="131828" customFormat="1" x14ac:dyDescent="0.25"/>
    <row r="131829" customFormat="1" x14ac:dyDescent="0.25"/>
    <row r="131830" customFormat="1" x14ac:dyDescent="0.25"/>
    <row r="131831" customFormat="1" x14ac:dyDescent="0.25"/>
    <row r="131832" customFormat="1" x14ac:dyDescent="0.25"/>
    <row r="131833" customFormat="1" x14ac:dyDescent="0.25"/>
    <row r="131834" customFormat="1" x14ac:dyDescent="0.25"/>
    <row r="131835" customFormat="1" x14ac:dyDescent="0.25"/>
    <row r="131836" customFormat="1" x14ac:dyDescent="0.25"/>
    <row r="131837" customFormat="1" x14ac:dyDescent="0.25"/>
    <row r="131838" customFormat="1" x14ac:dyDescent="0.25"/>
    <row r="131839" customFormat="1" x14ac:dyDescent="0.25"/>
    <row r="131840" customFormat="1" x14ac:dyDescent="0.25"/>
    <row r="131841" customFormat="1" x14ac:dyDescent="0.25"/>
    <row r="131842" customFormat="1" x14ac:dyDescent="0.25"/>
    <row r="131843" customFormat="1" x14ac:dyDescent="0.25"/>
    <row r="131844" customFormat="1" x14ac:dyDescent="0.25"/>
    <row r="131845" customFormat="1" x14ac:dyDescent="0.25"/>
    <row r="131846" customFormat="1" x14ac:dyDescent="0.25"/>
    <row r="131847" customFormat="1" x14ac:dyDescent="0.25"/>
    <row r="131848" customFormat="1" x14ac:dyDescent="0.25"/>
    <row r="131849" customFormat="1" x14ac:dyDescent="0.25"/>
    <row r="131850" customFormat="1" x14ac:dyDescent="0.25"/>
    <row r="131851" customFormat="1" x14ac:dyDescent="0.25"/>
    <row r="131852" customFormat="1" x14ac:dyDescent="0.25"/>
    <row r="131853" customFormat="1" x14ac:dyDescent="0.25"/>
    <row r="131854" customFormat="1" x14ac:dyDescent="0.25"/>
    <row r="131855" customFormat="1" x14ac:dyDescent="0.25"/>
    <row r="131856" customFormat="1" x14ac:dyDescent="0.25"/>
    <row r="131857" customFormat="1" x14ac:dyDescent="0.25"/>
    <row r="131858" customFormat="1" x14ac:dyDescent="0.25"/>
    <row r="131859" customFormat="1" x14ac:dyDescent="0.25"/>
    <row r="131860" customFormat="1" x14ac:dyDescent="0.25"/>
    <row r="131861" customFormat="1" x14ac:dyDescent="0.25"/>
    <row r="131862" customFormat="1" x14ac:dyDescent="0.25"/>
    <row r="131863" customFormat="1" x14ac:dyDescent="0.25"/>
    <row r="131864" customFormat="1" x14ac:dyDescent="0.25"/>
    <row r="131865" customFormat="1" x14ac:dyDescent="0.25"/>
    <row r="131866" customFormat="1" x14ac:dyDescent="0.25"/>
    <row r="131867" customFormat="1" x14ac:dyDescent="0.25"/>
    <row r="131868" customFormat="1" x14ac:dyDescent="0.25"/>
    <row r="131869" customFormat="1" x14ac:dyDescent="0.25"/>
    <row r="131870" customFormat="1" x14ac:dyDescent="0.25"/>
    <row r="131871" customFormat="1" x14ac:dyDescent="0.25"/>
    <row r="131872" customFormat="1" x14ac:dyDescent="0.25"/>
    <row r="131873" customFormat="1" x14ac:dyDescent="0.25"/>
    <row r="131874" customFormat="1" x14ac:dyDescent="0.25"/>
    <row r="131875" customFormat="1" x14ac:dyDescent="0.25"/>
    <row r="131876" customFormat="1" x14ac:dyDescent="0.25"/>
    <row r="131877" customFormat="1" x14ac:dyDescent="0.25"/>
    <row r="131878" customFormat="1" x14ac:dyDescent="0.25"/>
    <row r="131879" customFormat="1" x14ac:dyDescent="0.25"/>
    <row r="131880" customFormat="1" x14ac:dyDescent="0.25"/>
    <row r="131881" customFormat="1" x14ac:dyDescent="0.25"/>
    <row r="131882" customFormat="1" x14ac:dyDescent="0.25"/>
    <row r="131883" customFormat="1" x14ac:dyDescent="0.25"/>
    <row r="131884" customFormat="1" x14ac:dyDescent="0.25"/>
    <row r="131885" customFormat="1" x14ac:dyDescent="0.25"/>
    <row r="131886" customFormat="1" x14ac:dyDescent="0.25"/>
    <row r="131887" customFormat="1" x14ac:dyDescent="0.25"/>
    <row r="131888" customFormat="1" x14ac:dyDescent="0.25"/>
    <row r="131889" customFormat="1" x14ac:dyDescent="0.25"/>
    <row r="131890" customFormat="1" x14ac:dyDescent="0.25"/>
    <row r="131891" customFormat="1" x14ac:dyDescent="0.25"/>
    <row r="131892" customFormat="1" x14ac:dyDescent="0.25"/>
    <row r="131893" customFormat="1" x14ac:dyDescent="0.25"/>
    <row r="131894" customFormat="1" x14ac:dyDescent="0.25"/>
    <row r="131895" customFormat="1" x14ac:dyDescent="0.25"/>
    <row r="131896" customFormat="1" x14ac:dyDescent="0.25"/>
    <row r="131897" customFormat="1" x14ac:dyDescent="0.25"/>
    <row r="131898" customFormat="1" x14ac:dyDescent="0.25"/>
    <row r="131899" customFormat="1" x14ac:dyDescent="0.25"/>
    <row r="131900" customFormat="1" x14ac:dyDescent="0.25"/>
    <row r="131901" customFormat="1" x14ac:dyDescent="0.25"/>
    <row r="131902" customFormat="1" x14ac:dyDescent="0.25"/>
    <row r="131903" customFormat="1" x14ac:dyDescent="0.25"/>
    <row r="131904" customFormat="1" x14ac:dyDescent="0.25"/>
    <row r="131905" customFormat="1" x14ac:dyDescent="0.25"/>
    <row r="131906" customFormat="1" x14ac:dyDescent="0.25"/>
    <row r="131907" customFormat="1" x14ac:dyDescent="0.25"/>
    <row r="131908" customFormat="1" x14ac:dyDescent="0.25"/>
    <row r="131909" customFormat="1" x14ac:dyDescent="0.25"/>
    <row r="131910" customFormat="1" x14ac:dyDescent="0.25"/>
    <row r="131911" customFormat="1" x14ac:dyDescent="0.25"/>
    <row r="131912" customFormat="1" x14ac:dyDescent="0.25"/>
    <row r="131913" customFormat="1" x14ac:dyDescent="0.25"/>
    <row r="131914" customFormat="1" x14ac:dyDescent="0.25"/>
    <row r="131915" customFormat="1" x14ac:dyDescent="0.25"/>
    <row r="131916" customFormat="1" x14ac:dyDescent="0.25"/>
    <row r="131917" customFormat="1" x14ac:dyDescent="0.25"/>
    <row r="131918" customFormat="1" x14ac:dyDescent="0.25"/>
    <row r="131919" customFormat="1" x14ac:dyDescent="0.25"/>
    <row r="131920" customFormat="1" x14ac:dyDescent="0.25"/>
    <row r="131921" customFormat="1" x14ac:dyDescent="0.25"/>
    <row r="131922" customFormat="1" x14ac:dyDescent="0.25"/>
    <row r="131923" customFormat="1" x14ac:dyDescent="0.25"/>
    <row r="131924" customFormat="1" x14ac:dyDescent="0.25"/>
    <row r="131925" customFormat="1" x14ac:dyDescent="0.25"/>
    <row r="131926" customFormat="1" x14ac:dyDescent="0.25"/>
    <row r="131927" customFormat="1" x14ac:dyDescent="0.25"/>
    <row r="131928" customFormat="1" x14ac:dyDescent="0.25"/>
    <row r="131929" customFormat="1" x14ac:dyDescent="0.25"/>
    <row r="131930" customFormat="1" x14ac:dyDescent="0.25"/>
    <row r="131931" customFormat="1" x14ac:dyDescent="0.25"/>
    <row r="131932" customFormat="1" x14ac:dyDescent="0.25"/>
    <row r="131933" customFormat="1" x14ac:dyDescent="0.25"/>
    <row r="131934" customFormat="1" x14ac:dyDescent="0.25"/>
    <row r="131935" customFormat="1" x14ac:dyDescent="0.25"/>
    <row r="131936" customFormat="1" x14ac:dyDescent="0.25"/>
    <row r="131937" customFormat="1" x14ac:dyDescent="0.25"/>
    <row r="131938" customFormat="1" x14ac:dyDescent="0.25"/>
    <row r="131939" customFormat="1" x14ac:dyDescent="0.25"/>
    <row r="131940" customFormat="1" x14ac:dyDescent="0.25"/>
    <row r="131941" customFormat="1" x14ac:dyDescent="0.25"/>
    <row r="131942" customFormat="1" x14ac:dyDescent="0.25"/>
    <row r="131943" customFormat="1" x14ac:dyDescent="0.25"/>
    <row r="131944" customFormat="1" x14ac:dyDescent="0.25"/>
    <row r="131945" customFormat="1" x14ac:dyDescent="0.25"/>
    <row r="131946" customFormat="1" x14ac:dyDescent="0.25"/>
    <row r="131947" customFormat="1" x14ac:dyDescent="0.25"/>
    <row r="131948" customFormat="1" x14ac:dyDescent="0.25"/>
    <row r="131949" customFormat="1" x14ac:dyDescent="0.25"/>
    <row r="131950" customFormat="1" x14ac:dyDescent="0.25"/>
    <row r="131951" customFormat="1" x14ac:dyDescent="0.25"/>
    <row r="131952" customFormat="1" x14ac:dyDescent="0.25"/>
    <row r="131953" customFormat="1" x14ac:dyDescent="0.25"/>
    <row r="131954" customFormat="1" x14ac:dyDescent="0.25"/>
    <row r="131955" customFormat="1" x14ac:dyDescent="0.25"/>
    <row r="131956" customFormat="1" x14ac:dyDescent="0.25"/>
    <row r="131957" customFormat="1" x14ac:dyDescent="0.25"/>
    <row r="131958" customFormat="1" x14ac:dyDescent="0.25"/>
    <row r="131959" customFormat="1" x14ac:dyDescent="0.25"/>
    <row r="131960" customFormat="1" x14ac:dyDescent="0.25"/>
    <row r="131961" customFormat="1" x14ac:dyDescent="0.25"/>
    <row r="131962" customFormat="1" x14ac:dyDescent="0.25"/>
    <row r="131963" customFormat="1" x14ac:dyDescent="0.25"/>
    <row r="131964" customFormat="1" x14ac:dyDescent="0.25"/>
    <row r="131965" customFormat="1" x14ac:dyDescent="0.25"/>
    <row r="131966" customFormat="1" x14ac:dyDescent="0.25"/>
    <row r="131967" customFormat="1" x14ac:dyDescent="0.25"/>
    <row r="131968" customFormat="1" x14ac:dyDescent="0.25"/>
    <row r="131969" customFormat="1" x14ac:dyDescent="0.25"/>
    <row r="131970" customFormat="1" x14ac:dyDescent="0.25"/>
    <row r="131971" customFormat="1" x14ac:dyDescent="0.25"/>
    <row r="131972" customFormat="1" x14ac:dyDescent="0.25"/>
    <row r="131973" customFormat="1" x14ac:dyDescent="0.25"/>
    <row r="131974" customFormat="1" x14ac:dyDescent="0.25"/>
    <row r="131975" customFormat="1" x14ac:dyDescent="0.25"/>
    <row r="131976" customFormat="1" x14ac:dyDescent="0.25"/>
    <row r="131977" customFormat="1" x14ac:dyDescent="0.25"/>
    <row r="131978" customFormat="1" x14ac:dyDescent="0.25"/>
    <row r="131979" customFormat="1" x14ac:dyDescent="0.25"/>
    <row r="131980" customFormat="1" x14ac:dyDescent="0.25"/>
    <row r="131981" customFormat="1" x14ac:dyDescent="0.25"/>
    <row r="131982" customFormat="1" x14ac:dyDescent="0.25"/>
    <row r="131983" customFormat="1" x14ac:dyDescent="0.25"/>
    <row r="131984" customFormat="1" x14ac:dyDescent="0.25"/>
    <row r="131985" customFormat="1" x14ac:dyDescent="0.25"/>
    <row r="131986" customFormat="1" x14ac:dyDescent="0.25"/>
    <row r="131987" customFormat="1" x14ac:dyDescent="0.25"/>
    <row r="131988" customFormat="1" x14ac:dyDescent="0.25"/>
    <row r="131989" customFormat="1" x14ac:dyDescent="0.25"/>
    <row r="131990" customFormat="1" x14ac:dyDescent="0.25"/>
    <row r="131991" customFormat="1" x14ac:dyDescent="0.25"/>
    <row r="131992" customFormat="1" x14ac:dyDescent="0.25"/>
    <row r="131993" customFormat="1" x14ac:dyDescent="0.25"/>
    <row r="131994" customFormat="1" x14ac:dyDescent="0.25"/>
    <row r="131995" customFormat="1" x14ac:dyDescent="0.25"/>
    <row r="131996" customFormat="1" x14ac:dyDescent="0.25"/>
    <row r="131997" customFormat="1" x14ac:dyDescent="0.25"/>
    <row r="131998" customFormat="1" x14ac:dyDescent="0.25"/>
    <row r="131999" customFormat="1" x14ac:dyDescent="0.25"/>
    <row r="132000" customFormat="1" x14ac:dyDescent="0.25"/>
    <row r="132001" customFormat="1" x14ac:dyDescent="0.25"/>
    <row r="132002" customFormat="1" x14ac:dyDescent="0.25"/>
    <row r="132003" customFormat="1" x14ac:dyDescent="0.25"/>
    <row r="132004" customFormat="1" x14ac:dyDescent="0.25"/>
    <row r="132005" customFormat="1" x14ac:dyDescent="0.25"/>
    <row r="132006" customFormat="1" x14ac:dyDescent="0.25"/>
    <row r="132007" customFormat="1" x14ac:dyDescent="0.25"/>
    <row r="132008" customFormat="1" x14ac:dyDescent="0.25"/>
    <row r="132009" customFormat="1" x14ac:dyDescent="0.25"/>
    <row r="132010" customFormat="1" x14ac:dyDescent="0.25"/>
    <row r="132011" customFormat="1" x14ac:dyDescent="0.25"/>
    <row r="132012" customFormat="1" x14ac:dyDescent="0.25"/>
    <row r="132013" customFormat="1" x14ac:dyDescent="0.25"/>
    <row r="132014" customFormat="1" x14ac:dyDescent="0.25"/>
    <row r="132015" customFormat="1" x14ac:dyDescent="0.25"/>
    <row r="132016" customFormat="1" x14ac:dyDescent="0.25"/>
    <row r="132017" customFormat="1" x14ac:dyDescent="0.25"/>
    <row r="132018" customFormat="1" x14ac:dyDescent="0.25"/>
    <row r="132019" customFormat="1" x14ac:dyDescent="0.25"/>
    <row r="132020" customFormat="1" x14ac:dyDescent="0.25"/>
    <row r="132021" customFormat="1" x14ac:dyDescent="0.25"/>
    <row r="132022" customFormat="1" x14ac:dyDescent="0.25"/>
    <row r="132023" customFormat="1" x14ac:dyDescent="0.25"/>
    <row r="132024" customFormat="1" x14ac:dyDescent="0.25"/>
    <row r="132025" customFormat="1" x14ac:dyDescent="0.25"/>
    <row r="132026" customFormat="1" x14ac:dyDescent="0.25"/>
    <row r="132027" customFormat="1" x14ac:dyDescent="0.25"/>
    <row r="132028" customFormat="1" x14ac:dyDescent="0.25"/>
    <row r="132029" customFormat="1" x14ac:dyDescent="0.25"/>
    <row r="132030" customFormat="1" x14ac:dyDescent="0.25"/>
    <row r="132031" customFormat="1" x14ac:dyDescent="0.25"/>
    <row r="132032" customFormat="1" x14ac:dyDescent="0.25"/>
    <row r="132033" customFormat="1" x14ac:dyDescent="0.25"/>
    <row r="132034" customFormat="1" x14ac:dyDescent="0.25"/>
    <row r="132035" customFormat="1" x14ac:dyDescent="0.25"/>
    <row r="132036" customFormat="1" x14ac:dyDescent="0.25"/>
    <row r="132037" customFormat="1" x14ac:dyDescent="0.25"/>
    <row r="132038" customFormat="1" x14ac:dyDescent="0.25"/>
    <row r="132039" customFormat="1" x14ac:dyDescent="0.25"/>
    <row r="132040" customFormat="1" x14ac:dyDescent="0.25"/>
    <row r="132041" customFormat="1" x14ac:dyDescent="0.25"/>
    <row r="132042" customFormat="1" x14ac:dyDescent="0.25"/>
    <row r="132043" customFormat="1" x14ac:dyDescent="0.25"/>
    <row r="132044" customFormat="1" x14ac:dyDescent="0.25"/>
    <row r="132045" customFormat="1" x14ac:dyDescent="0.25"/>
    <row r="132046" customFormat="1" x14ac:dyDescent="0.25"/>
    <row r="132047" customFormat="1" x14ac:dyDescent="0.25"/>
    <row r="132048" customFormat="1" x14ac:dyDescent="0.25"/>
    <row r="132049" customFormat="1" x14ac:dyDescent="0.25"/>
    <row r="132050" customFormat="1" x14ac:dyDescent="0.25"/>
    <row r="132051" customFormat="1" x14ac:dyDescent="0.25"/>
    <row r="132052" customFormat="1" x14ac:dyDescent="0.25"/>
    <row r="132053" customFormat="1" x14ac:dyDescent="0.25"/>
    <row r="132054" customFormat="1" x14ac:dyDescent="0.25"/>
    <row r="132055" customFormat="1" x14ac:dyDescent="0.25"/>
    <row r="132056" customFormat="1" x14ac:dyDescent="0.25"/>
    <row r="132057" customFormat="1" x14ac:dyDescent="0.25"/>
    <row r="132058" customFormat="1" x14ac:dyDescent="0.25"/>
    <row r="132059" customFormat="1" x14ac:dyDescent="0.25"/>
    <row r="132060" customFormat="1" x14ac:dyDescent="0.25"/>
    <row r="132061" customFormat="1" x14ac:dyDescent="0.25"/>
    <row r="132062" customFormat="1" x14ac:dyDescent="0.25"/>
    <row r="132063" customFormat="1" x14ac:dyDescent="0.25"/>
    <row r="132064" customFormat="1" x14ac:dyDescent="0.25"/>
    <row r="132065" customFormat="1" x14ac:dyDescent="0.25"/>
    <row r="132066" customFormat="1" x14ac:dyDescent="0.25"/>
    <row r="132067" customFormat="1" x14ac:dyDescent="0.25"/>
    <row r="132068" customFormat="1" x14ac:dyDescent="0.25"/>
    <row r="132069" customFormat="1" x14ac:dyDescent="0.25"/>
    <row r="132070" customFormat="1" x14ac:dyDescent="0.25"/>
    <row r="132071" customFormat="1" x14ac:dyDescent="0.25"/>
    <row r="132072" customFormat="1" x14ac:dyDescent="0.25"/>
    <row r="132073" customFormat="1" x14ac:dyDescent="0.25"/>
    <row r="132074" customFormat="1" x14ac:dyDescent="0.25"/>
    <row r="132075" customFormat="1" x14ac:dyDescent="0.25"/>
    <row r="132076" customFormat="1" x14ac:dyDescent="0.25"/>
    <row r="132077" customFormat="1" x14ac:dyDescent="0.25"/>
    <row r="132078" customFormat="1" x14ac:dyDescent="0.25"/>
    <row r="132079" customFormat="1" x14ac:dyDescent="0.25"/>
    <row r="132080" customFormat="1" x14ac:dyDescent="0.25"/>
    <row r="132081" customFormat="1" x14ac:dyDescent="0.25"/>
    <row r="132082" customFormat="1" x14ac:dyDescent="0.25"/>
    <row r="132083" customFormat="1" x14ac:dyDescent="0.25"/>
    <row r="132084" customFormat="1" x14ac:dyDescent="0.25"/>
    <row r="132085" customFormat="1" x14ac:dyDescent="0.25"/>
    <row r="132086" customFormat="1" x14ac:dyDescent="0.25"/>
    <row r="132087" customFormat="1" x14ac:dyDescent="0.25"/>
    <row r="132088" customFormat="1" x14ac:dyDescent="0.25"/>
    <row r="132089" customFormat="1" x14ac:dyDescent="0.25"/>
    <row r="132090" customFormat="1" x14ac:dyDescent="0.25"/>
    <row r="132091" customFormat="1" x14ac:dyDescent="0.25"/>
    <row r="132092" customFormat="1" x14ac:dyDescent="0.25"/>
    <row r="132093" customFormat="1" x14ac:dyDescent="0.25"/>
    <row r="132094" customFormat="1" x14ac:dyDescent="0.25"/>
    <row r="132095" customFormat="1" x14ac:dyDescent="0.25"/>
    <row r="132096" customFormat="1" x14ac:dyDescent="0.25"/>
    <row r="132097" customFormat="1" x14ac:dyDescent="0.25"/>
    <row r="132098" customFormat="1" x14ac:dyDescent="0.25"/>
    <row r="132099" customFormat="1" x14ac:dyDescent="0.25"/>
    <row r="132100" customFormat="1" x14ac:dyDescent="0.25"/>
    <row r="132101" customFormat="1" x14ac:dyDescent="0.25"/>
    <row r="132102" customFormat="1" x14ac:dyDescent="0.25"/>
    <row r="132103" customFormat="1" x14ac:dyDescent="0.25"/>
    <row r="132104" customFormat="1" x14ac:dyDescent="0.25"/>
    <row r="132105" customFormat="1" x14ac:dyDescent="0.25"/>
    <row r="132106" customFormat="1" x14ac:dyDescent="0.25"/>
    <row r="132107" customFormat="1" x14ac:dyDescent="0.25"/>
    <row r="132108" customFormat="1" x14ac:dyDescent="0.25"/>
    <row r="132109" customFormat="1" x14ac:dyDescent="0.25"/>
    <row r="132110" customFormat="1" x14ac:dyDescent="0.25"/>
    <row r="132111" customFormat="1" x14ac:dyDescent="0.25"/>
    <row r="132112" customFormat="1" x14ac:dyDescent="0.25"/>
    <row r="132113" customFormat="1" x14ac:dyDescent="0.25"/>
    <row r="132114" customFormat="1" x14ac:dyDescent="0.25"/>
    <row r="132115" customFormat="1" x14ac:dyDescent="0.25"/>
    <row r="132116" customFormat="1" x14ac:dyDescent="0.25"/>
    <row r="132117" customFormat="1" x14ac:dyDescent="0.25"/>
    <row r="132118" customFormat="1" x14ac:dyDescent="0.25"/>
    <row r="132119" customFormat="1" x14ac:dyDescent="0.25"/>
    <row r="132120" customFormat="1" x14ac:dyDescent="0.25"/>
    <row r="132121" customFormat="1" x14ac:dyDescent="0.25"/>
    <row r="132122" customFormat="1" x14ac:dyDescent="0.25"/>
    <row r="132123" customFormat="1" x14ac:dyDescent="0.25"/>
    <row r="132124" customFormat="1" x14ac:dyDescent="0.25"/>
    <row r="132125" customFormat="1" x14ac:dyDescent="0.25"/>
    <row r="132126" customFormat="1" x14ac:dyDescent="0.25"/>
    <row r="132127" customFormat="1" x14ac:dyDescent="0.25"/>
    <row r="132128" customFormat="1" x14ac:dyDescent="0.25"/>
    <row r="132129" customFormat="1" x14ac:dyDescent="0.25"/>
    <row r="132130" customFormat="1" x14ac:dyDescent="0.25"/>
    <row r="132131" customFormat="1" x14ac:dyDescent="0.25"/>
    <row r="132132" customFormat="1" x14ac:dyDescent="0.25"/>
    <row r="132133" customFormat="1" x14ac:dyDescent="0.25"/>
    <row r="132134" customFormat="1" x14ac:dyDescent="0.25"/>
    <row r="132135" customFormat="1" x14ac:dyDescent="0.25"/>
    <row r="132136" customFormat="1" x14ac:dyDescent="0.25"/>
    <row r="132137" customFormat="1" x14ac:dyDescent="0.25"/>
    <row r="132138" customFormat="1" x14ac:dyDescent="0.25"/>
    <row r="132139" customFormat="1" x14ac:dyDescent="0.25"/>
    <row r="132140" customFormat="1" x14ac:dyDescent="0.25"/>
    <row r="132141" customFormat="1" x14ac:dyDescent="0.25"/>
    <row r="132142" customFormat="1" x14ac:dyDescent="0.25"/>
    <row r="132143" customFormat="1" x14ac:dyDescent="0.25"/>
    <row r="132144" customFormat="1" x14ac:dyDescent="0.25"/>
    <row r="132145" customFormat="1" x14ac:dyDescent="0.25"/>
    <row r="132146" customFormat="1" x14ac:dyDescent="0.25"/>
    <row r="132147" customFormat="1" x14ac:dyDescent="0.25"/>
    <row r="132148" customFormat="1" x14ac:dyDescent="0.25"/>
    <row r="132149" customFormat="1" x14ac:dyDescent="0.25"/>
    <row r="132150" customFormat="1" x14ac:dyDescent="0.25"/>
    <row r="132151" customFormat="1" x14ac:dyDescent="0.25"/>
    <row r="132152" customFormat="1" x14ac:dyDescent="0.25"/>
    <row r="132153" customFormat="1" x14ac:dyDescent="0.25"/>
    <row r="132154" customFormat="1" x14ac:dyDescent="0.25"/>
    <row r="132155" customFormat="1" x14ac:dyDescent="0.25"/>
    <row r="132156" customFormat="1" x14ac:dyDescent="0.25"/>
    <row r="132157" customFormat="1" x14ac:dyDescent="0.25"/>
    <row r="132158" customFormat="1" x14ac:dyDescent="0.25"/>
    <row r="132159" customFormat="1" x14ac:dyDescent="0.25"/>
    <row r="132160" customFormat="1" x14ac:dyDescent="0.25"/>
    <row r="132161" customFormat="1" x14ac:dyDescent="0.25"/>
    <row r="132162" customFormat="1" x14ac:dyDescent="0.25"/>
    <row r="132163" customFormat="1" x14ac:dyDescent="0.25"/>
    <row r="132164" customFormat="1" x14ac:dyDescent="0.25"/>
    <row r="132165" customFormat="1" x14ac:dyDescent="0.25"/>
    <row r="132166" customFormat="1" x14ac:dyDescent="0.25"/>
    <row r="132167" customFormat="1" x14ac:dyDescent="0.25"/>
    <row r="132168" customFormat="1" x14ac:dyDescent="0.25"/>
    <row r="132169" customFormat="1" x14ac:dyDescent="0.25"/>
    <row r="132170" customFormat="1" x14ac:dyDescent="0.25"/>
    <row r="132171" customFormat="1" x14ac:dyDescent="0.25"/>
    <row r="132172" customFormat="1" x14ac:dyDescent="0.25"/>
    <row r="132173" customFormat="1" x14ac:dyDescent="0.25"/>
    <row r="132174" customFormat="1" x14ac:dyDescent="0.25"/>
    <row r="132175" customFormat="1" x14ac:dyDescent="0.25"/>
    <row r="132176" customFormat="1" x14ac:dyDescent="0.25"/>
    <row r="132177" customFormat="1" x14ac:dyDescent="0.25"/>
    <row r="132178" customFormat="1" x14ac:dyDescent="0.25"/>
    <row r="132179" customFormat="1" x14ac:dyDescent="0.25"/>
    <row r="132180" customFormat="1" x14ac:dyDescent="0.25"/>
    <row r="132181" customFormat="1" x14ac:dyDescent="0.25"/>
    <row r="132182" customFormat="1" x14ac:dyDescent="0.25"/>
    <row r="132183" customFormat="1" x14ac:dyDescent="0.25"/>
    <row r="132184" customFormat="1" x14ac:dyDescent="0.25"/>
    <row r="132185" customFormat="1" x14ac:dyDescent="0.25"/>
    <row r="132186" customFormat="1" x14ac:dyDescent="0.25"/>
    <row r="132187" customFormat="1" x14ac:dyDescent="0.25"/>
    <row r="132188" customFormat="1" x14ac:dyDescent="0.25"/>
    <row r="132189" customFormat="1" x14ac:dyDescent="0.25"/>
    <row r="132190" customFormat="1" x14ac:dyDescent="0.25"/>
    <row r="132191" customFormat="1" x14ac:dyDescent="0.25"/>
    <row r="132192" customFormat="1" x14ac:dyDescent="0.25"/>
    <row r="132193" customFormat="1" x14ac:dyDescent="0.25"/>
    <row r="132194" customFormat="1" x14ac:dyDescent="0.25"/>
    <row r="132195" customFormat="1" x14ac:dyDescent="0.25"/>
    <row r="132196" customFormat="1" x14ac:dyDescent="0.25"/>
    <row r="132197" customFormat="1" x14ac:dyDescent="0.25"/>
    <row r="132198" customFormat="1" x14ac:dyDescent="0.25"/>
    <row r="132199" customFormat="1" x14ac:dyDescent="0.25"/>
    <row r="132200" customFormat="1" x14ac:dyDescent="0.25"/>
    <row r="132201" customFormat="1" x14ac:dyDescent="0.25"/>
    <row r="132202" customFormat="1" x14ac:dyDescent="0.25"/>
    <row r="132203" customFormat="1" x14ac:dyDescent="0.25"/>
    <row r="132204" customFormat="1" x14ac:dyDescent="0.25"/>
    <row r="132205" customFormat="1" x14ac:dyDescent="0.25"/>
    <row r="132206" customFormat="1" x14ac:dyDescent="0.25"/>
    <row r="132207" customFormat="1" x14ac:dyDescent="0.25"/>
    <row r="132208" customFormat="1" x14ac:dyDescent="0.25"/>
    <row r="132209" customFormat="1" x14ac:dyDescent="0.25"/>
    <row r="132210" customFormat="1" x14ac:dyDescent="0.25"/>
    <row r="132211" customFormat="1" x14ac:dyDescent="0.25"/>
    <row r="132212" customFormat="1" x14ac:dyDescent="0.25"/>
    <row r="132213" customFormat="1" x14ac:dyDescent="0.25"/>
    <row r="132214" customFormat="1" x14ac:dyDescent="0.25"/>
    <row r="132215" customFormat="1" x14ac:dyDescent="0.25"/>
    <row r="132216" customFormat="1" x14ac:dyDescent="0.25"/>
    <row r="132217" customFormat="1" x14ac:dyDescent="0.25"/>
    <row r="132218" customFormat="1" x14ac:dyDescent="0.25"/>
    <row r="132219" customFormat="1" x14ac:dyDescent="0.25"/>
    <row r="132220" customFormat="1" x14ac:dyDescent="0.25"/>
    <row r="132221" customFormat="1" x14ac:dyDescent="0.25"/>
    <row r="132222" customFormat="1" x14ac:dyDescent="0.25"/>
    <row r="132223" customFormat="1" x14ac:dyDescent="0.25"/>
    <row r="132224" customFormat="1" x14ac:dyDescent="0.25"/>
    <row r="132225" customFormat="1" x14ac:dyDescent="0.25"/>
    <row r="132226" customFormat="1" x14ac:dyDescent="0.25"/>
    <row r="132227" customFormat="1" x14ac:dyDescent="0.25"/>
    <row r="132228" customFormat="1" x14ac:dyDescent="0.25"/>
    <row r="132229" customFormat="1" x14ac:dyDescent="0.25"/>
    <row r="132230" customFormat="1" x14ac:dyDescent="0.25"/>
    <row r="132231" customFormat="1" x14ac:dyDescent="0.25"/>
    <row r="132232" customFormat="1" x14ac:dyDescent="0.25"/>
    <row r="132233" customFormat="1" x14ac:dyDescent="0.25"/>
    <row r="132234" customFormat="1" x14ac:dyDescent="0.25"/>
    <row r="132235" customFormat="1" x14ac:dyDescent="0.25"/>
    <row r="132236" customFormat="1" x14ac:dyDescent="0.25"/>
    <row r="132237" customFormat="1" x14ac:dyDescent="0.25"/>
    <row r="132238" customFormat="1" x14ac:dyDescent="0.25"/>
    <row r="132239" customFormat="1" x14ac:dyDescent="0.25"/>
    <row r="132240" customFormat="1" x14ac:dyDescent="0.25"/>
    <row r="132241" customFormat="1" x14ac:dyDescent="0.25"/>
    <row r="132242" customFormat="1" x14ac:dyDescent="0.25"/>
    <row r="132243" customFormat="1" x14ac:dyDescent="0.25"/>
    <row r="132244" customFormat="1" x14ac:dyDescent="0.25"/>
    <row r="132245" customFormat="1" x14ac:dyDescent="0.25"/>
    <row r="132246" customFormat="1" x14ac:dyDescent="0.25"/>
    <row r="132247" customFormat="1" x14ac:dyDescent="0.25"/>
    <row r="132248" customFormat="1" x14ac:dyDescent="0.25"/>
    <row r="132249" customFormat="1" x14ac:dyDescent="0.25"/>
    <row r="132250" customFormat="1" x14ac:dyDescent="0.25"/>
    <row r="132251" customFormat="1" x14ac:dyDescent="0.25"/>
    <row r="132252" customFormat="1" x14ac:dyDescent="0.25"/>
    <row r="132253" customFormat="1" x14ac:dyDescent="0.25"/>
    <row r="132254" customFormat="1" x14ac:dyDescent="0.25"/>
    <row r="132255" customFormat="1" x14ac:dyDescent="0.25"/>
    <row r="132256" customFormat="1" x14ac:dyDescent="0.25"/>
    <row r="132257" customFormat="1" x14ac:dyDescent="0.25"/>
    <row r="132258" customFormat="1" x14ac:dyDescent="0.25"/>
    <row r="132259" customFormat="1" x14ac:dyDescent="0.25"/>
    <row r="132260" customFormat="1" x14ac:dyDescent="0.25"/>
    <row r="132261" customFormat="1" x14ac:dyDescent="0.25"/>
    <row r="132262" customFormat="1" x14ac:dyDescent="0.25"/>
    <row r="132263" customFormat="1" x14ac:dyDescent="0.25"/>
    <row r="132264" customFormat="1" x14ac:dyDescent="0.25"/>
    <row r="132265" customFormat="1" x14ac:dyDescent="0.25"/>
    <row r="132266" customFormat="1" x14ac:dyDescent="0.25"/>
    <row r="132267" customFormat="1" x14ac:dyDescent="0.25"/>
    <row r="132268" customFormat="1" x14ac:dyDescent="0.25"/>
    <row r="132269" customFormat="1" x14ac:dyDescent="0.25"/>
    <row r="132270" customFormat="1" x14ac:dyDescent="0.25"/>
    <row r="132271" customFormat="1" x14ac:dyDescent="0.25"/>
    <row r="132272" customFormat="1" x14ac:dyDescent="0.25"/>
    <row r="132273" customFormat="1" x14ac:dyDescent="0.25"/>
    <row r="132274" customFormat="1" x14ac:dyDescent="0.25"/>
    <row r="132275" customFormat="1" x14ac:dyDescent="0.25"/>
    <row r="132276" customFormat="1" x14ac:dyDescent="0.25"/>
    <row r="132277" customFormat="1" x14ac:dyDescent="0.25"/>
    <row r="132278" customFormat="1" x14ac:dyDescent="0.25"/>
    <row r="132279" customFormat="1" x14ac:dyDescent="0.25"/>
    <row r="132280" customFormat="1" x14ac:dyDescent="0.25"/>
    <row r="132281" customFormat="1" x14ac:dyDescent="0.25"/>
    <row r="132282" customFormat="1" x14ac:dyDescent="0.25"/>
    <row r="132283" customFormat="1" x14ac:dyDescent="0.25"/>
    <row r="132284" customFormat="1" x14ac:dyDescent="0.25"/>
    <row r="132285" customFormat="1" x14ac:dyDescent="0.25"/>
    <row r="132286" customFormat="1" x14ac:dyDescent="0.25"/>
    <row r="132287" customFormat="1" x14ac:dyDescent="0.25"/>
    <row r="132288" customFormat="1" x14ac:dyDescent="0.25"/>
    <row r="132289" customFormat="1" x14ac:dyDescent="0.25"/>
    <row r="132290" customFormat="1" x14ac:dyDescent="0.25"/>
    <row r="132291" customFormat="1" x14ac:dyDescent="0.25"/>
    <row r="132292" customFormat="1" x14ac:dyDescent="0.25"/>
    <row r="132293" customFormat="1" x14ac:dyDescent="0.25"/>
    <row r="132294" customFormat="1" x14ac:dyDescent="0.25"/>
    <row r="132295" customFormat="1" x14ac:dyDescent="0.25"/>
    <row r="132296" customFormat="1" x14ac:dyDescent="0.25"/>
    <row r="132297" customFormat="1" x14ac:dyDescent="0.25"/>
    <row r="132298" customFormat="1" x14ac:dyDescent="0.25"/>
    <row r="132299" customFormat="1" x14ac:dyDescent="0.25"/>
    <row r="132300" customFormat="1" x14ac:dyDescent="0.25"/>
    <row r="132301" customFormat="1" x14ac:dyDescent="0.25"/>
    <row r="132302" customFormat="1" x14ac:dyDescent="0.25"/>
    <row r="132303" customFormat="1" x14ac:dyDescent="0.25"/>
    <row r="132304" customFormat="1" x14ac:dyDescent="0.25"/>
    <row r="132305" customFormat="1" x14ac:dyDescent="0.25"/>
    <row r="132306" customFormat="1" x14ac:dyDescent="0.25"/>
    <row r="132307" customFormat="1" x14ac:dyDescent="0.25"/>
    <row r="132308" customFormat="1" x14ac:dyDescent="0.25"/>
    <row r="132309" customFormat="1" x14ac:dyDescent="0.25"/>
    <row r="132310" customFormat="1" x14ac:dyDescent="0.25"/>
    <row r="132311" customFormat="1" x14ac:dyDescent="0.25"/>
    <row r="132312" customFormat="1" x14ac:dyDescent="0.25"/>
    <row r="132313" customFormat="1" x14ac:dyDescent="0.25"/>
    <row r="132314" customFormat="1" x14ac:dyDescent="0.25"/>
    <row r="132315" customFormat="1" x14ac:dyDescent="0.25"/>
    <row r="132316" customFormat="1" x14ac:dyDescent="0.25"/>
    <row r="132317" customFormat="1" x14ac:dyDescent="0.25"/>
    <row r="132318" customFormat="1" x14ac:dyDescent="0.25"/>
    <row r="132319" customFormat="1" x14ac:dyDescent="0.25"/>
    <row r="132320" customFormat="1" x14ac:dyDescent="0.25"/>
    <row r="132321" customFormat="1" x14ac:dyDescent="0.25"/>
    <row r="132322" customFormat="1" x14ac:dyDescent="0.25"/>
    <row r="132323" customFormat="1" x14ac:dyDescent="0.25"/>
    <row r="132324" customFormat="1" x14ac:dyDescent="0.25"/>
    <row r="132325" customFormat="1" x14ac:dyDescent="0.25"/>
    <row r="132326" customFormat="1" x14ac:dyDescent="0.25"/>
    <row r="132327" customFormat="1" x14ac:dyDescent="0.25"/>
    <row r="132328" customFormat="1" x14ac:dyDescent="0.25"/>
    <row r="132329" customFormat="1" x14ac:dyDescent="0.25"/>
    <row r="132330" customFormat="1" x14ac:dyDescent="0.25"/>
    <row r="132331" customFormat="1" x14ac:dyDescent="0.25"/>
    <row r="132332" customFormat="1" x14ac:dyDescent="0.25"/>
    <row r="132333" customFormat="1" x14ac:dyDescent="0.25"/>
    <row r="132334" customFormat="1" x14ac:dyDescent="0.25"/>
    <row r="132335" customFormat="1" x14ac:dyDescent="0.25"/>
    <row r="132336" customFormat="1" x14ac:dyDescent="0.25"/>
    <row r="132337" customFormat="1" x14ac:dyDescent="0.25"/>
    <row r="132338" customFormat="1" x14ac:dyDescent="0.25"/>
    <row r="132339" customFormat="1" x14ac:dyDescent="0.25"/>
    <row r="132340" customFormat="1" x14ac:dyDescent="0.25"/>
    <row r="132341" customFormat="1" x14ac:dyDescent="0.25"/>
    <row r="132342" customFormat="1" x14ac:dyDescent="0.25"/>
    <row r="132343" customFormat="1" x14ac:dyDescent="0.25"/>
    <row r="132344" customFormat="1" x14ac:dyDescent="0.25"/>
    <row r="132345" customFormat="1" x14ac:dyDescent="0.25"/>
    <row r="132346" customFormat="1" x14ac:dyDescent="0.25"/>
    <row r="132347" customFormat="1" x14ac:dyDescent="0.25"/>
    <row r="132348" customFormat="1" x14ac:dyDescent="0.25"/>
    <row r="132349" customFormat="1" x14ac:dyDescent="0.25"/>
    <row r="132350" customFormat="1" x14ac:dyDescent="0.25"/>
    <row r="132351" customFormat="1" x14ac:dyDescent="0.25"/>
    <row r="132352" customFormat="1" x14ac:dyDescent="0.25"/>
    <row r="132353" customFormat="1" x14ac:dyDescent="0.25"/>
    <row r="132354" customFormat="1" x14ac:dyDescent="0.25"/>
    <row r="132355" customFormat="1" x14ac:dyDescent="0.25"/>
    <row r="132356" customFormat="1" x14ac:dyDescent="0.25"/>
    <row r="132357" customFormat="1" x14ac:dyDescent="0.25"/>
    <row r="132358" customFormat="1" x14ac:dyDescent="0.25"/>
    <row r="132359" customFormat="1" x14ac:dyDescent="0.25"/>
    <row r="132360" customFormat="1" x14ac:dyDescent="0.25"/>
    <row r="132361" customFormat="1" x14ac:dyDescent="0.25"/>
    <row r="132362" customFormat="1" x14ac:dyDescent="0.25"/>
    <row r="132363" customFormat="1" x14ac:dyDescent="0.25"/>
    <row r="132364" customFormat="1" x14ac:dyDescent="0.25"/>
    <row r="132365" customFormat="1" x14ac:dyDescent="0.25"/>
    <row r="132366" customFormat="1" x14ac:dyDescent="0.25"/>
    <row r="132367" customFormat="1" x14ac:dyDescent="0.25"/>
    <row r="132368" customFormat="1" x14ac:dyDescent="0.25"/>
    <row r="132369" customFormat="1" x14ac:dyDescent="0.25"/>
    <row r="132370" customFormat="1" x14ac:dyDescent="0.25"/>
    <row r="132371" customFormat="1" x14ac:dyDescent="0.25"/>
    <row r="132372" customFormat="1" x14ac:dyDescent="0.25"/>
    <row r="132373" customFormat="1" x14ac:dyDescent="0.25"/>
    <row r="132374" customFormat="1" x14ac:dyDescent="0.25"/>
    <row r="132375" customFormat="1" x14ac:dyDescent="0.25"/>
    <row r="132376" customFormat="1" x14ac:dyDescent="0.25"/>
    <row r="132377" customFormat="1" x14ac:dyDescent="0.25"/>
    <row r="132378" customFormat="1" x14ac:dyDescent="0.25"/>
    <row r="132379" customFormat="1" x14ac:dyDescent="0.25"/>
    <row r="132380" customFormat="1" x14ac:dyDescent="0.25"/>
    <row r="132381" customFormat="1" x14ac:dyDescent="0.25"/>
    <row r="132382" customFormat="1" x14ac:dyDescent="0.25"/>
    <row r="132383" customFormat="1" x14ac:dyDescent="0.25"/>
    <row r="132384" customFormat="1" x14ac:dyDescent="0.25"/>
    <row r="132385" customFormat="1" x14ac:dyDescent="0.25"/>
    <row r="132386" customFormat="1" x14ac:dyDescent="0.25"/>
    <row r="132387" customFormat="1" x14ac:dyDescent="0.25"/>
    <row r="132388" customFormat="1" x14ac:dyDescent="0.25"/>
    <row r="132389" customFormat="1" x14ac:dyDescent="0.25"/>
    <row r="132390" customFormat="1" x14ac:dyDescent="0.25"/>
    <row r="132391" customFormat="1" x14ac:dyDescent="0.25"/>
    <row r="132392" customFormat="1" x14ac:dyDescent="0.25"/>
    <row r="132393" customFormat="1" x14ac:dyDescent="0.25"/>
    <row r="132394" customFormat="1" x14ac:dyDescent="0.25"/>
    <row r="132395" customFormat="1" x14ac:dyDescent="0.25"/>
    <row r="132396" customFormat="1" x14ac:dyDescent="0.25"/>
    <row r="132397" customFormat="1" x14ac:dyDescent="0.25"/>
    <row r="132398" customFormat="1" x14ac:dyDescent="0.25"/>
    <row r="132399" customFormat="1" x14ac:dyDescent="0.25"/>
    <row r="132400" customFormat="1" x14ac:dyDescent="0.25"/>
    <row r="132401" customFormat="1" x14ac:dyDescent="0.25"/>
    <row r="132402" customFormat="1" x14ac:dyDescent="0.25"/>
    <row r="132403" customFormat="1" x14ac:dyDescent="0.25"/>
    <row r="132404" customFormat="1" x14ac:dyDescent="0.25"/>
    <row r="132405" customFormat="1" x14ac:dyDescent="0.25"/>
    <row r="132406" customFormat="1" x14ac:dyDescent="0.25"/>
    <row r="132407" customFormat="1" x14ac:dyDescent="0.25"/>
    <row r="132408" customFormat="1" x14ac:dyDescent="0.25"/>
    <row r="132409" customFormat="1" x14ac:dyDescent="0.25"/>
    <row r="132410" customFormat="1" x14ac:dyDescent="0.25"/>
    <row r="132411" customFormat="1" x14ac:dyDescent="0.25"/>
    <row r="132412" customFormat="1" x14ac:dyDescent="0.25"/>
    <row r="132413" customFormat="1" x14ac:dyDescent="0.25"/>
    <row r="132414" customFormat="1" x14ac:dyDescent="0.25"/>
    <row r="132415" customFormat="1" x14ac:dyDescent="0.25"/>
    <row r="132416" customFormat="1" x14ac:dyDescent="0.25"/>
    <row r="132417" customFormat="1" x14ac:dyDescent="0.25"/>
    <row r="132418" customFormat="1" x14ac:dyDescent="0.25"/>
    <row r="132419" customFormat="1" x14ac:dyDescent="0.25"/>
    <row r="132420" customFormat="1" x14ac:dyDescent="0.25"/>
    <row r="132421" customFormat="1" x14ac:dyDescent="0.25"/>
    <row r="132422" customFormat="1" x14ac:dyDescent="0.25"/>
    <row r="132423" customFormat="1" x14ac:dyDescent="0.25"/>
    <row r="132424" customFormat="1" x14ac:dyDescent="0.25"/>
    <row r="132425" customFormat="1" x14ac:dyDescent="0.25"/>
    <row r="132426" customFormat="1" x14ac:dyDescent="0.25"/>
    <row r="132427" customFormat="1" x14ac:dyDescent="0.25"/>
    <row r="132428" customFormat="1" x14ac:dyDescent="0.25"/>
    <row r="132429" customFormat="1" x14ac:dyDescent="0.25"/>
    <row r="132430" customFormat="1" x14ac:dyDescent="0.25"/>
    <row r="132431" customFormat="1" x14ac:dyDescent="0.25"/>
    <row r="132432" customFormat="1" x14ac:dyDescent="0.25"/>
    <row r="132433" customFormat="1" x14ac:dyDescent="0.25"/>
    <row r="132434" customFormat="1" x14ac:dyDescent="0.25"/>
    <row r="132435" customFormat="1" x14ac:dyDescent="0.25"/>
    <row r="132436" customFormat="1" x14ac:dyDescent="0.25"/>
    <row r="132437" customFormat="1" x14ac:dyDescent="0.25"/>
    <row r="132438" customFormat="1" x14ac:dyDescent="0.25"/>
    <row r="132439" customFormat="1" x14ac:dyDescent="0.25"/>
    <row r="132440" customFormat="1" x14ac:dyDescent="0.25"/>
    <row r="132441" customFormat="1" x14ac:dyDescent="0.25"/>
    <row r="132442" customFormat="1" x14ac:dyDescent="0.25"/>
    <row r="132443" customFormat="1" x14ac:dyDescent="0.25"/>
    <row r="132444" customFormat="1" x14ac:dyDescent="0.25"/>
    <row r="132445" customFormat="1" x14ac:dyDescent="0.25"/>
    <row r="132446" customFormat="1" x14ac:dyDescent="0.25"/>
    <row r="132447" customFormat="1" x14ac:dyDescent="0.25"/>
    <row r="132448" customFormat="1" x14ac:dyDescent="0.25"/>
    <row r="132449" customFormat="1" x14ac:dyDescent="0.25"/>
    <row r="132450" customFormat="1" x14ac:dyDescent="0.25"/>
    <row r="132451" customFormat="1" x14ac:dyDescent="0.25"/>
    <row r="132452" customFormat="1" x14ac:dyDescent="0.25"/>
    <row r="132453" customFormat="1" x14ac:dyDescent="0.25"/>
    <row r="132454" customFormat="1" x14ac:dyDescent="0.25"/>
    <row r="132455" customFormat="1" x14ac:dyDescent="0.25"/>
    <row r="132456" customFormat="1" x14ac:dyDescent="0.25"/>
    <row r="132457" customFormat="1" x14ac:dyDescent="0.25"/>
    <row r="132458" customFormat="1" x14ac:dyDescent="0.25"/>
    <row r="132459" customFormat="1" x14ac:dyDescent="0.25"/>
    <row r="132460" customFormat="1" x14ac:dyDescent="0.25"/>
    <row r="132461" customFormat="1" x14ac:dyDescent="0.25"/>
    <row r="132462" customFormat="1" x14ac:dyDescent="0.25"/>
    <row r="132463" customFormat="1" x14ac:dyDescent="0.25"/>
    <row r="132464" customFormat="1" x14ac:dyDescent="0.25"/>
    <row r="132465" customFormat="1" x14ac:dyDescent="0.25"/>
    <row r="132466" customFormat="1" x14ac:dyDescent="0.25"/>
    <row r="132467" customFormat="1" x14ac:dyDescent="0.25"/>
    <row r="132468" customFormat="1" x14ac:dyDescent="0.25"/>
    <row r="132469" customFormat="1" x14ac:dyDescent="0.25"/>
    <row r="132470" customFormat="1" x14ac:dyDescent="0.25"/>
    <row r="132471" customFormat="1" x14ac:dyDescent="0.25"/>
    <row r="132472" customFormat="1" x14ac:dyDescent="0.25"/>
    <row r="132473" customFormat="1" x14ac:dyDescent="0.25"/>
    <row r="132474" customFormat="1" x14ac:dyDescent="0.25"/>
    <row r="132475" customFormat="1" x14ac:dyDescent="0.25"/>
    <row r="132476" customFormat="1" x14ac:dyDescent="0.25"/>
    <row r="132477" customFormat="1" x14ac:dyDescent="0.25"/>
    <row r="132478" customFormat="1" x14ac:dyDescent="0.25"/>
    <row r="132479" customFormat="1" x14ac:dyDescent="0.25"/>
    <row r="132480" customFormat="1" x14ac:dyDescent="0.25"/>
    <row r="132481" customFormat="1" x14ac:dyDescent="0.25"/>
    <row r="132482" customFormat="1" x14ac:dyDescent="0.25"/>
    <row r="132483" customFormat="1" x14ac:dyDescent="0.25"/>
    <row r="132484" customFormat="1" x14ac:dyDescent="0.25"/>
    <row r="132485" customFormat="1" x14ac:dyDescent="0.25"/>
    <row r="132486" customFormat="1" x14ac:dyDescent="0.25"/>
    <row r="132487" customFormat="1" x14ac:dyDescent="0.25"/>
    <row r="132488" customFormat="1" x14ac:dyDescent="0.25"/>
    <row r="132489" customFormat="1" x14ac:dyDescent="0.25"/>
    <row r="132490" customFormat="1" x14ac:dyDescent="0.25"/>
    <row r="132491" customFormat="1" x14ac:dyDescent="0.25"/>
    <row r="132492" customFormat="1" x14ac:dyDescent="0.25"/>
    <row r="132493" customFormat="1" x14ac:dyDescent="0.25"/>
    <row r="132494" customFormat="1" x14ac:dyDescent="0.25"/>
    <row r="132495" customFormat="1" x14ac:dyDescent="0.25"/>
    <row r="132496" customFormat="1" x14ac:dyDescent="0.25"/>
    <row r="132497" customFormat="1" x14ac:dyDescent="0.25"/>
    <row r="132498" customFormat="1" x14ac:dyDescent="0.25"/>
    <row r="132499" customFormat="1" x14ac:dyDescent="0.25"/>
    <row r="132500" customFormat="1" x14ac:dyDescent="0.25"/>
    <row r="132501" customFormat="1" x14ac:dyDescent="0.25"/>
    <row r="132502" customFormat="1" x14ac:dyDescent="0.25"/>
    <row r="132503" customFormat="1" x14ac:dyDescent="0.25"/>
    <row r="132504" customFormat="1" x14ac:dyDescent="0.25"/>
    <row r="132505" customFormat="1" x14ac:dyDescent="0.25"/>
    <row r="132506" customFormat="1" x14ac:dyDescent="0.25"/>
    <row r="132507" customFormat="1" x14ac:dyDescent="0.25"/>
    <row r="132508" customFormat="1" x14ac:dyDescent="0.25"/>
    <row r="132509" customFormat="1" x14ac:dyDescent="0.25"/>
    <row r="132510" customFormat="1" x14ac:dyDescent="0.25"/>
    <row r="132511" customFormat="1" x14ac:dyDescent="0.25"/>
    <row r="132512" customFormat="1" x14ac:dyDescent="0.25"/>
    <row r="132513" customFormat="1" x14ac:dyDescent="0.25"/>
    <row r="132514" customFormat="1" x14ac:dyDescent="0.25"/>
    <row r="132515" customFormat="1" x14ac:dyDescent="0.25"/>
    <row r="132516" customFormat="1" x14ac:dyDescent="0.25"/>
    <row r="132517" customFormat="1" x14ac:dyDescent="0.25"/>
    <row r="132518" customFormat="1" x14ac:dyDescent="0.25"/>
    <row r="132519" customFormat="1" x14ac:dyDescent="0.25"/>
    <row r="132520" customFormat="1" x14ac:dyDescent="0.25"/>
    <row r="132521" customFormat="1" x14ac:dyDescent="0.25"/>
    <row r="132522" customFormat="1" x14ac:dyDescent="0.25"/>
    <row r="132523" customFormat="1" x14ac:dyDescent="0.25"/>
    <row r="132524" customFormat="1" x14ac:dyDescent="0.25"/>
    <row r="132525" customFormat="1" x14ac:dyDescent="0.25"/>
    <row r="132526" customFormat="1" x14ac:dyDescent="0.25"/>
    <row r="132527" customFormat="1" x14ac:dyDescent="0.25"/>
    <row r="132528" customFormat="1" x14ac:dyDescent="0.25"/>
    <row r="132529" customFormat="1" x14ac:dyDescent="0.25"/>
    <row r="132530" customFormat="1" x14ac:dyDescent="0.25"/>
    <row r="132531" customFormat="1" x14ac:dyDescent="0.25"/>
    <row r="132532" customFormat="1" x14ac:dyDescent="0.25"/>
    <row r="132533" customFormat="1" x14ac:dyDescent="0.25"/>
    <row r="132534" customFormat="1" x14ac:dyDescent="0.25"/>
    <row r="132535" customFormat="1" x14ac:dyDescent="0.25"/>
    <row r="132536" customFormat="1" x14ac:dyDescent="0.25"/>
    <row r="132537" customFormat="1" x14ac:dyDescent="0.25"/>
    <row r="132538" customFormat="1" x14ac:dyDescent="0.25"/>
    <row r="132539" customFormat="1" x14ac:dyDescent="0.25"/>
    <row r="132540" customFormat="1" x14ac:dyDescent="0.25"/>
    <row r="132541" customFormat="1" x14ac:dyDescent="0.25"/>
    <row r="132542" customFormat="1" x14ac:dyDescent="0.25"/>
    <row r="132543" customFormat="1" x14ac:dyDescent="0.25"/>
    <row r="132544" customFormat="1" x14ac:dyDescent="0.25"/>
    <row r="132545" customFormat="1" x14ac:dyDescent="0.25"/>
    <row r="132546" customFormat="1" x14ac:dyDescent="0.25"/>
    <row r="132547" customFormat="1" x14ac:dyDescent="0.25"/>
    <row r="132548" customFormat="1" x14ac:dyDescent="0.25"/>
    <row r="132549" customFormat="1" x14ac:dyDescent="0.25"/>
    <row r="132550" customFormat="1" x14ac:dyDescent="0.25"/>
    <row r="132551" customFormat="1" x14ac:dyDescent="0.25"/>
    <row r="132552" customFormat="1" x14ac:dyDescent="0.25"/>
    <row r="132553" customFormat="1" x14ac:dyDescent="0.25"/>
    <row r="132554" customFormat="1" x14ac:dyDescent="0.25"/>
    <row r="132555" customFormat="1" x14ac:dyDescent="0.25"/>
    <row r="132556" customFormat="1" x14ac:dyDescent="0.25"/>
    <row r="132557" customFormat="1" x14ac:dyDescent="0.25"/>
    <row r="132558" customFormat="1" x14ac:dyDescent="0.25"/>
    <row r="132559" customFormat="1" x14ac:dyDescent="0.25"/>
    <row r="132560" customFormat="1" x14ac:dyDescent="0.25"/>
    <row r="132561" customFormat="1" x14ac:dyDescent="0.25"/>
    <row r="132562" customFormat="1" x14ac:dyDescent="0.25"/>
    <row r="132563" customFormat="1" x14ac:dyDescent="0.25"/>
    <row r="132564" customFormat="1" x14ac:dyDescent="0.25"/>
    <row r="132565" customFormat="1" x14ac:dyDescent="0.25"/>
    <row r="132566" customFormat="1" x14ac:dyDescent="0.25"/>
    <row r="132567" customFormat="1" x14ac:dyDescent="0.25"/>
    <row r="132568" customFormat="1" x14ac:dyDescent="0.25"/>
    <row r="132569" customFormat="1" x14ac:dyDescent="0.25"/>
    <row r="132570" customFormat="1" x14ac:dyDescent="0.25"/>
    <row r="132571" customFormat="1" x14ac:dyDescent="0.25"/>
    <row r="132572" customFormat="1" x14ac:dyDescent="0.25"/>
    <row r="132573" customFormat="1" x14ac:dyDescent="0.25"/>
    <row r="132574" customFormat="1" x14ac:dyDescent="0.25"/>
    <row r="132575" customFormat="1" x14ac:dyDescent="0.25"/>
    <row r="132576" customFormat="1" x14ac:dyDescent="0.25"/>
    <row r="132577" customFormat="1" x14ac:dyDescent="0.25"/>
    <row r="132578" customFormat="1" x14ac:dyDescent="0.25"/>
    <row r="132579" customFormat="1" x14ac:dyDescent="0.25"/>
    <row r="132580" customFormat="1" x14ac:dyDescent="0.25"/>
    <row r="132581" customFormat="1" x14ac:dyDescent="0.25"/>
    <row r="132582" customFormat="1" x14ac:dyDescent="0.25"/>
    <row r="132583" customFormat="1" x14ac:dyDescent="0.25"/>
    <row r="132584" customFormat="1" x14ac:dyDescent="0.25"/>
    <row r="132585" customFormat="1" x14ac:dyDescent="0.25"/>
    <row r="132586" customFormat="1" x14ac:dyDescent="0.25"/>
    <row r="132587" customFormat="1" x14ac:dyDescent="0.25"/>
    <row r="132588" customFormat="1" x14ac:dyDescent="0.25"/>
    <row r="132589" customFormat="1" x14ac:dyDescent="0.25"/>
    <row r="132590" customFormat="1" x14ac:dyDescent="0.25"/>
    <row r="132591" customFormat="1" x14ac:dyDescent="0.25"/>
    <row r="132592" customFormat="1" x14ac:dyDescent="0.25"/>
    <row r="132593" customFormat="1" x14ac:dyDescent="0.25"/>
    <row r="132594" customFormat="1" x14ac:dyDescent="0.25"/>
    <row r="132595" customFormat="1" x14ac:dyDescent="0.25"/>
    <row r="132596" customFormat="1" x14ac:dyDescent="0.25"/>
    <row r="132597" customFormat="1" x14ac:dyDescent="0.25"/>
    <row r="132598" customFormat="1" x14ac:dyDescent="0.25"/>
    <row r="132599" customFormat="1" x14ac:dyDescent="0.25"/>
    <row r="132600" customFormat="1" x14ac:dyDescent="0.25"/>
    <row r="132601" customFormat="1" x14ac:dyDescent="0.25"/>
    <row r="132602" customFormat="1" x14ac:dyDescent="0.25"/>
    <row r="132603" customFormat="1" x14ac:dyDescent="0.25"/>
    <row r="132604" customFormat="1" x14ac:dyDescent="0.25"/>
    <row r="132605" customFormat="1" x14ac:dyDescent="0.25"/>
    <row r="132606" customFormat="1" x14ac:dyDescent="0.25"/>
    <row r="132607" customFormat="1" x14ac:dyDescent="0.25"/>
    <row r="132608" customFormat="1" x14ac:dyDescent="0.25"/>
    <row r="132609" customFormat="1" x14ac:dyDescent="0.25"/>
    <row r="132610" customFormat="1" x14ac:dyDescent="0.25"/>
    <row r="132611" customFormat="1" x14ac:dyDescent="0.25"/>
    <row r="132612" customFormat="1" x14ac:dyDescent="0.25"/>
    <row r="132613" customFormat="1" x14ac:dyDescent="0.25"/>
    <row r="132614" customFormat="1" x14ac:dyDescent="0.25"/>
    <row r="132615" customFormat="1" x14ac:dyDescent="0.25"/>
    <row r="132616" customFormat="1" x14ac:dyDescent="0.25"/>
    <row r="132617" customFormat="1" x14ac:dyDescent="0.25"/>
    <row r="132618" customFormat="1" x14ac:dyDescent="0.25"/>
    <row r="132619" customFormat="1" x14ac:dyDescent="0.25"/>
    <row r="132620" customFormat="1" x14ac:dyDescent="0.25"/>
    <row r="132621" customFormat="1" x14ac:dyDescent="0.25"/>
    <row r="132622" customFormat="1" x14ac:dyDescent="0.25"/>
    <row r="132623" customFormat="1" x14ac:dyDescent="0.25"/>
    <row r="132624" customFormat="1" x14ac:dyDescent="0.25"/>
    <row r="132625" customFormat="1" x14ac:dyDescent="0.25"/>
    <row r="132626" customFormat="1" x14ac:dyDescent="0.25"/>
    <row r="132627" customFormat="1" x14ac:dyDescent="0.25"/>
    <row r="132628" customFormat="1" x14ac:dyDescent="0.25"/>
    <row r="132629" customFormat="1" x14ac:dyDescent="0.25"/>
    <row r="132630" customFormat="1" x14ac:dyDescent="0.25"/>
    <row r="132631" customFormat="1" x14ac:dyDescent="0.25"/>
    <row r="132632" customFormat="1" x14ac:dyDescent="0.25"/>
    <row r="132633" customFormat="1" x14ac:dyDescent="0.25"/>
    <row r="132634" customFormat="1" x14ac:dyDescent="0.25"/>
    <row r="132635" customFormat="1" x14ac:dyDescent="0.25"/>
    <row r="132636" customFormat="1" x14ac:dyDescent="0.25"/>
    <row r="132637" customFormat="1" x14ac:dyDescent="0.25"/>
    <row r="132638" customFormat="1" x14ac:dyDescent="0.25"/>
    <row r="132639" customFormat="1" x14ac:dyDescent="0.25"/>
    <row r="132640" customFormat="1" x14ac:dyDescent="0.25"/>
    <row r="132641" customFormat="1" x14ac:dyDescent="0.25"/>
    <row r="132642" customFormat="1" x14ac:dyDescent="0.25"/>
    <row r="132643" customFormat="1" x14ac:dyDescent="0.25"/>
    <row r="132644" customFormat="1" x14ac:dyDescent="0.25"/>
    <row r="132645" customFormat="1" x14ac:dyDescent="0.25"/>
    <row r="132646" customFormat="1" x14ac:dyDescent="0.25"/>
    <row r="132647" customFormat="1" x14ac:dyDescent="0.25"/>
    <row r="132648" customFormat="1" x14ac:dyDescent="0.25"/>
    <row r="132649" customFormat="1" x14ac:dyDescent="0.25"/>
    <row r="132650" customFormat="1" x14ac:dyDescent="0.25"/>
    <row r="132651" customFormat="1" x14ac:dyDescent="0.25"/>
    <row r="132652" customFormat="1" x14ac:dyDescent="0.25"/>
    <row r="132653" customFormat="1" x14ac:dyDescent="0.25"/>
    <row r="132654" customFormat="1" x14ac:dyDescent="0.25"/>
    <row r="132655" customFormat="1" x14ac:dyDescent="0.25"/>
    <row r="132656" customFormat="1" x14ac:dyDescent="0.25"/>
    <row r="132657" customFormat="1" x14ac:dyDescent="0.25"/>
    <row r="132658" customFormat="1" x14ac:dyDescent="0.25"/>
    <row r="132659" customFormat="1" x14ac:dyDescent="0.25"/>
    <row r="132660" customFormat="1" x14ac:dyDescent="0.25"/>
    <row r="132661" customFormat="1" x14ac:dyDescent="0.25"/>
    <row r="132662" customFormat="1" x14ac:dyDescent="0.25"/>
    <row r="132663" customFormat="1" x14ac:dyDescent="0.25"/>
    <row r="132664" customFormat="1" x14ac:dyDescent="0.25"/>
    <row r="132665" customFormat="1" x14ac:dyDescent="0.25"/>
    <row r="132666" customFormat="1" x14ac:dyDescent="0.25"/>
    <row r="132667" customFormat="1" x14ac:dyDescent="0.25"/>
    <row r="132668" customFormat="1" x14ac:dyDescent="0.25"/>
    <row r="132669" customFormat="1" x14ac:dyDescent="0.25"/>
    <row r="132670" customFormat="1" x14ac:dyDescent="0.25"/>
    <row r="132671" customFormat="1" x14ac:dyDescent="0.25"/>
    <row r="132672" customFormat="1" x14ac:dyDescent="0.25"/>
    <row r="132673" customFormat="1" x14ac:dyDescent="0.25"/>
    <row r="132674" customFormat="1" x14ac:dyDescent="0.25"/>
    <row r="132675" customFormat="1" x14ac:dyDescent="0.25"/>
    <row r="132676" customFormat="1" x14ac:dyDescent="0.25"/>
    <row r="132677" customFormat="1" x14ac:dyDescent="0.25"/>
    <row r="132678" customFormat="1" x14ac:dyDescent="0.25"/>
    <row r="132679" customFormat="1" x14ac:dyDescent="0.25"/>
    <row r="132680" customFormat="1" x14ac:dyDescent="0.25"/>
    <row r="132681" customFormat="1" x14ac:dyDescent="0.25"/>
    <row r="132682" customFormat="1" x14ac:dyDescent="0.25"/>
    <row r="132683" customFormat="1" x14ac:dyDescent="0.25"/>
    <row r="132684" customFormat="1" x14ac:dyDescent="0.25"/>
    <row r="132685" customFormat="1" x14ac:dyDescent="0.25"/>
    <row r="132686" customFormat="1" x14ac:dyDescent="0.25"/>
    <row r="132687" customFormat="1" x14ac:dyDescent="0.25"/>
    <row r="132688" customFormat="1" x14ac:dyDescent="0.25"/>
    <row r="132689" customFormat="1" x14ac:dyDescent="0.25"/>
    <row r="132690" customFormat="1" x14ac:dyDescent="0.25"/>
    <row r="132691" customFormat="1" x14ac:dyDescent="0.25"/>
    <row r="132692" customFormat="1" x14ac:dyDescent="0.25"/>
    <row r="132693" customFormat="1" x14ac:dyDescent="0.25"/>
    <row r="132694" customFormat="1" x14ac:dyDescent="0.25"/>
    <row r="132695" customFormat="1" x14ac:dyDescent="0.25"/>
    <row r="132696" customFormat="1" x14ac:dyDescent="0.25"/>
    <row r="132697" customFormat="1" x14ac:dyDescent="0.25"/>
    <row r="132698" customFormat="1" x14ac:dyDescent="0.25"/>
    <row r="132699" customFormat="1" x14ac:dyDescent="0.25"/>
    <row r="132700" customFormat="1" x14ac:dyDescent="0.25"/>
    <row r="132701" customFormat="1" x14ac:dyDescent="0.25"/>
    <row r="132702" customFormat="1" x14ac:dyDescent="0.25"/>
    <row r="132703" customFormat="1" x14ac:dyDescent="0.25"/>
    <row r="132704" customFormat="1" x14ac:dyDescent="0.25"/>
    <row r="132705" customFormat="1" x14ac:dyDescent="0.25"/>
    <row r="132706" customFormat="1" x14ac:dyDescent="0.25"/>
    <row r="132707" customFormat="1" x14ac:dyDescent="0.25"/>
    <row r="132708" customFormat="1" x14ac:dyDescent="0.25"/>
    <row r="132709" customFormat="1" x14ac:dyDescent="0.25"/>
    <row r="132710" customFormat="1" x14ac:dyDescent="0.25"/>
    <row r="132711" customFormat="1" x14ac:dyDescent="0.25"/>
    <row r="132712" customFormat="1" x14ac:dyDescent="0.25"/>
    <row r="132713" customFormat="1" x14ac:dyDescent="0.25"/>
    <row r="132714" customFormat="1" x14ac:dyDescent="0.25"/>
    <row r="132715" customFormat="1" x14ac:dyDescent="0.25"/>
    <row r="132716" customFormat="1" x14ac:dyDescent="0.25"/>
    <row r="132717" customFormat="1" x14ac:dyDescent="0.25"/>
    <row r="132718" customFormat="1" x14ac:dyDescent="0.25"/>
    <row r="132719" customFormat="1" x14ac:dyDescent="0.25"/>
    <row r="132720" customFormat="1" x14ac:dyDescent="0.25"/>
    <row r="132721" customFormat="1" x14ac:dyDescent="0.25"/>
    <row r="132722" customFormat="1" x14ac:dyDescent="0.25"/>
    <row r="132723" customFormat="1" x14ac:dyDescent="0.25"/>
    <row r="132724" customFormat="1" x14ac:dyDescent="0.25"/>
    <row r="132725" customFormat="1" x14ac:dyDescent="0.25"/>
    <row r="132726" customFormat="1" x14ac:dyDescent="0.25"/>
    <row r="132727" customFormat="1" x14ac:dyDescent="0.25"/>
    <row r="132728" customFormat="1" x14ac:dyDescent="0.25"/>
    <row r="132729" customFormat="1" x14ac:dyDescent="0.25"/>
    <row r="132730" customFormat="1" x14ac:dyDescent="0.25"/>
    <row r="132731" customFormat="1" x14ac:dyDescent="0.25"/>
    <row r="132732" customFormat="1" x14ac:dyDescent="0.25"/>
    <row r="132733" customFormat="1" x14ac:dyDescent="0.25"/>
    <row r="132734" customFormat="1" x14ac:dyDescent="0.25"/>
    <row r="132735" customFormat="1" x14ac:dyDescent="0.25"/>
    <row r="132736" customFormat="1" x14ac:dyDescent="0.25"/>
    <row r="132737" customFormat="1" x14ac:dyDescent="0.25"/>
    <row r="132738" customFormat="1" x14ac:dyDescent="0.25"/>
    <row r="132739" customFormat="1" x14ac:dyDescent="0.25"/>
    <row r="132740" customFormat="1" x14ac:dyDescent="0.25"/>
    <row r="132741" customFormat="1" x14ac:dyDescent="0.25"/>
    <row r="132742" customFormat="1" x14ac:dyDescent="0.25"/>
    <row r="132743" customFormat="1" x14ac:dyDescent="0.25"/>
    <row r="132744" customFormat="1" x14ac:dyDescent="0.25"/>
    <row r="132745" customFormat="1" x14ac:dyDescent="0.25"/>
    <row r="132746" customFormat="1" x14ac:dyDescent="0.25"/>
    <row r="132747" customFormat="1" x14ac:dyDescent="0.25"/>
    <row r="132748" customFormat="1" x14ac:dyDescent="0.25"/>
    <row r="132749" customFormat="1" x14ac:dyDescent="0.25"/>
    <row r="132750" customFormat="1" x14ac:dyDescent="0.25"/>
    <row r="132751" customFormat="1" x14ac:dyDescent="0.25"/>
    <row r="132752" customFormat="1" x14ac:dyDescent="0.25"/>
    <row r="132753" customFormat="1" x14ac:dyDescent="0.25"/>
    <row r="132754" customFormat="1" x14ac:dyDescent="0.25"/>
    <row r="132755" customFormat="1" x14ac:dyDescent="0.25"/>
    <row r="132756" customFormat="1" x14ac:dyDescent="0.25"/>
    <row r="132757" customFormat="1" x14ac:dyDescent="0.25"/>
    <row r="132758" customFormat="1" x14ac:dyDescent="0.25"/>
    <row r="132759" customFormat="1" x14ac:dyDescent="0.25"/>
    <row r="132760" customFormat="1" x14ac:dyDescent="0.25"/>
    <row r="132761" customFormat="1" x14ac:dyDescent="0.25"/>
    <row r="132762" customFormat="1" x14ac:dyDescent="0.25"/>
    <row r="132763" customFormat="1" x14ac:dyDescent="0.25"/>
    <row r="132764" customFormat="1" x14ac:dyDescent="0.25"/>
    <row r="132765" customFormat="1" x14ac:dyDescent="0.25"/>
    <row r="132766" customFormat="1" x14ac:dyDescent="0.25"/>
    <row r="132767" customFormat="1" x14ac:dyDescent="0.25"/>
    <row r="132768" customFormat="1" x14ac:dyDescent="0.25"/>
    <row r="132769" customFormat="1" x14ac:dyDescent="0.25"/>
    <row r="132770" customFormat="1" x14ac:dyDescent="0.25"/>
    <row r="132771" customFormat="1" x14ac:dyDescent="0.25"/>
    <row r="132772" customFormat="1" x14ac:dyDescent="0.25"/>
    <row r="132773" customFormat="1" x14ac:dyDescent="0.25"/>
    <row r="132774" customFormat="1" x14ac:dyDescent="0.25"/>
    <row r="132775" customFormat="1" x14ac:dyDescent="0.25"/>
    <row r="132776" customFormat="1" x14ac:dyDescent="0.25"/>
    <row r="132777" customFormat="1" x14ac:dyDescent="0.25"/>
    <row r="132778" customFormat="1" x14ac:dyDescent="0.25"/>
    <row r="132779" customFormat="1" x14ac:dyDescent="0.25"/>
    <row r="132780" customFormat="1" x14ac:dyDescent="0.25"/>
    <row r="132781" customFormat="1" x14ac:dyDescent="0.25"/>
    <row r="132782" customFormat="1" x14ac:dyDescent="0.25"/>
    <row r="132783" customFormat="1" x14ac:dyDescent="0.25"/>
    <row r="132784" customFormat="1" x14ac:dyDescent="0.25"/>
    <row r="132785" customFormat="1" x14ac:dyDescent="0.25"/>
    <row r="132786" customFormat="1" x14ac:dyDescent="0.25"/>
    <row r="132787" customFormat="1" x14ac:dyDescent="0.25"/>
    <row r="132788" customFormat="1" x14ac:dyDescent="0.25"/>
    <row r="132789" customFormat="1" x14ac:dyDescent="0.25"/>
    <row r="132790" customFormat="1" x14ac:dyDescent="0.25"/>
    <row r="132791" customFormat="1" x14ac:dyDescent="0.25"/>
    <row r="132792" customFormat="1" x14ac:dyDescent="0.25"/>
    <row r="132793" customFormat="1" x14ac:dyDescent="0.25"/>
    <row r="132794" customFormat="1" x14ac:dyDescent="0.25"/>
    <row r="132795" customFormat="1" x14ac:dyDescent="0.25"/>
    <row r="132796" customFormat="1" x14ac:dyDescent="0.25"/>
    <row r="132797" customFormat="1" x14ac:dyDescent="0.25"/>
    <row r="132798" customFormat="1" x14ac:dyDescent="0.25"/>
    <row r="132799" customFormat="1" x14ac:dyDescent="0.25"/>
    <row r="132800" customFormat="1" x14ac:dyDescent="0.25"/>
    <row r="132801" customFormat="1" x14ac:dyDescent="0.25"/>
    <row r="132802" customFormat="1" x14ac:dyDescent="0.25"/>
    <row r="132803" customFormat="1" x14ac:dyDescent="0.25"/>
    <row r="132804" customFormat="1" x14ac:dyDescent="0.25"/>
    <row r="132805" customFormat="1" x14ac:dyDescent="0.25"/>
    <row r="132806" customFormat="1" x14ac:dyDescent="0.25"/>
    <row r="132807" customFormat="1" x14ac:dyDescent="0.25"/>
    <row r="132808" customFormat="1" x14ac:dyDescent="0.25"/>
    <row r="132809" customFormat="1" x14ac:dyDescent="0.25"/>
    <row r="132810" customFormat="1" x14ac:dyDescent="0.25"/>
    <row r="132811" customFormat="1" x14ac:dyDescent="0.25"/>
    <row r="132812" customFormat="1" x14ac:dyDescent="0.25"/>
    <row r="132813" customFormat="1" x14ac:dyDescent="0.25"/>
    <row r="132814" customFormat="1" x14ac:dyDescent="0.25"/>
    <row r="132815" customFormat="1" x14ac:dyDescent="0.25"/>
    <row r="132816" customFormat="1" x14ac:dyDescent="0.25"/>
    <row r="132817" customFormat="1" x14ac:dyDescent="0.25"/>
    <row r="132818" customFormat="1" x14ac:dyDescent="0.25"/>
    <row r="132819" customFormat="1" x14ac:dyDescent="0.25"/>
    <row r="132820" customFormat="1" x14ac:dyDescent="0.25"/>
    <row r="132821" customFormat="1" x14ac:dyDescent="0.25"/>
    <row r="132822" customFormat="1" x14ac:dyDescent="0.25"/>
    <row r="132823" customFormat="1" x14ac:dyDescent="0.25"/>
    <row r="132824" customFormat="1" x14ac:dyDescent="0.25"/>
    <row r="132825" customFormat="1" x14ac:dyDescent="0.25"/>
    <row r="132826" customFormat="1" x14ac:dyDescent="0.25"/>
    <row r="132827" customFormat="1" x14ac:dyDescent="0.25"/>
    <row r="132828" customFormat="1" x14ac:dyDescent="0.25"/>
    <row r="132829" customFormat="1" x14ac:dyDescent="0.25"/>
    <row r="132830" customFormat="1" x14ac:dyDescent="0.25"/>
    <row r="132831" customFormat="1" x14ac:dyDescent="0.25"/>
    <row r="132832" customFormat="1" x14ac:dyDescent="0.25"/>
    <row r="132833" customFormat="1" x14ac:dyDescent="0.25"/>
    <row r="132834" customFormat="1" x14ac:dyDescent="0.25"/>
    <row r="132835" customFormat="1" x14ac:dyDescent="0.25"/>
    <row r="132836" customFormat="1" x14ac:dyDescent="0.25"/>
    <row r="132837" customFormat="1" x14ac:dyDescent="0.25"/>
    <row r="132838" customFormat="1" x14ac:dyDescent="0.25"/>
    <row r="132839" customFormat="1" x14ac:dyDescent="0.25"/>
    <row r="132840" customFormat="1" x14ac:dyDescent="0.25"/>
    <row r="132841" customFormat="1" x14ac:dyDescent="0.25"/>
    <row r="132842" customFormat="1" x14ac:dyDescent="0.25"/>
    <row r="132843" customFormat="1" x14ac:dyDescent="0.25"/>
    <row r="132844" customFormat="1" x14ac:dyDescent="0.25"/>
    <row r="132845" customFormat="1" x14ac:dyDescent="0.25"/>
    <row r="132846" customFormat="1" x14ac:dyDescent="0.25"/>
    <row r="132847" customFormat="1" x14ac:dyDescent="0.25"/>
    <row r="132848" customFormat="1" x14ac:dyDescent="0.25"/>
    <row r="132849" customFormat="1" x14ac:dyDescent="0.25"/>
    <row r="132850" customFormat="1" x14ac:dyDescent="0.25"/>
    <row r="132851" customFormat="1" x14ac:dyDescent="0.25"/>
    <row r="132852" customFormat="1" x14ac:dyDescent="0.25"/>
    <row r="132853" customFormat="1" x14ac:dyDescent="0.25"/>
    <row r="132854" customFormat="1" x14ac:dyDescent="0.25"/>
    <row r="132855" customFormat="1" x14ac:dyDescent="0.25"/>
    <row r="132856" customFormat="1" x14ac:dyDescent="0.25"/>
    <row r="132857" customFormat="1" x14ac:dyDescent="0.25"/>
    <row r="132858" customFormat="1" x14ac:dyDescent="0.25"/>
    <row r="132859" customFormat="1" x14ac:dyDescent="0.25"/>
    <row r="132860" customFormat="1" x14ac:dyDescent="0.25"/>
    <row r="132861" customFormat="1" x14ac:dyDescent="0.25"/>
    <row r="132862" customFormat="1" x14ac:dyDescent="0.25"/>
    <row r="132863" customFormat="1" x14ac:dyDescent="0.25"/>
    <row r="132864" customFormat="1" x14ac:dyDescent="0.25"/>
    <row r="132865" customFormat="1" x14ac:dyDescent="0.25"/>
    <row r="132866" customFormat="1" x14ac:dyDescent="0.25"/>
    <row r="132867" customFormat="1" x14ac:dyDescent="0.25"/>
    <row r="132868" customFormat="1" x14ac:dyDescent="0.25"/>
    <row r="132869" customFormat="1" x14ac:dyDescent="0.25"/>
    <row r="132870" customFormat="1" x14ac:dyDescent="0.25"/>
    <row r="132871" customFormat="1" x14ac:dyDescent="0.25"/>
    <row r="132872" customFormat="1" x14ac:dyDescent="0.25"/>
    <row r="132873" customFormat="1" x14ac:dyDescent="0.25"/>
    <row r="132874" customFormat="1" x14ac:dyDescent="0.25"/>
    <row r="132875" customFormat="1" x14ac:dyDescent="0.25"/>
    <row r="132876" customFormat="1" x14ac:dyDescent="0.25"/>
    <row r="132877" customFormat="1" x14ac:dyDescent="0.25"/>
    <row r="132878" customFormat="1" x14ac:dyDescent="0.25"/>
    <row r="132879" customFormat="1" x14ac:dyDescent="0.25"/>
    <row r="132880" customFormat="1" x14ac:dyDescent="0.25"/>
    <row r="132881" customFormat="1" x14ac:dyDescent="0.25"/>
    <row r="132882" customFormat="1" x14ac:dyDescent="0.25"/>
    <row r="132883" customFormat="1" x14ac:dyDescent="0.25"/>
    <row r="132884" customFormat="1" x14ac:dyDescent="0.25"/>
    <row r="132885" customFormat="1" x14ac:dyDescent="0.25"/>
    <row r="132886" customFormat="1" x14ac:dyDescent="0.25"/>
    <row r="132887" customFormat="1" x14ac:dyDescent="0.25"/>
    <row r="132888" customFormat="1" x14ac:dyDescent="0.25"/>
    <row r="132889" customFormat="1" x14ac:dyDescent="0.25"/>
    <row r="132890" customFormat="1" x14ac:dyDescent="0.25"/>
    <row r="132891" customFormat="1" x14ac:dyDescent="0.25"/>
    <row r="132892" customFormat="1" x14ac:dyDescent="0.25"/>
    <row r="132893" customFormat="1" x14ac:dyDescent="0.25"/>
    <row r="132894" customFormat="1" x14ac:dyDescent="0.25"/>
    <row r="132895" customFormat="1" x14ac:dyDescent="0.25"/>
    <row r="132896" customFormat="1" x14ac:dyDescent="0.25"/>
    <row r="132897" customFormat="1" x14ac:dyDescent="0.25"/>
    <row r="132898" customFormat="1" x14ac:dyDescent="0.25"/>
    <row r="132899" customFormat="1" x14ac:dyDescent="0.25"/>
    <row r="132900" customFormat="1" x14ac:dyDescent="0.25"/>
    <row r="132901" customFormat="1" x14ac:dyDescent="0.25"/>
    <row r="132902" customFormat="1" x14ac:dyDescent="0.25"/>
    <row r="132903" customFormat="1" x14ac:dyDescent="0.25"/>
    <row r="132904" customFormat="1" x14ac:dyDescent="0.25"/>
    <row r="132905" customFormat="1" x14ac:dyDescent="0.25"/>
    <row r="132906" customFormat="1" x14ac:dyDescent="0.25"/>
    <row r="132907" customFormat="1" x14ac:dyDescent="0.25"/>
    <row r="132908" customFormat="1" x14ac:dyDescent="0.25"/>
    <row r="132909" customFormat="1" x14ac:dyDescent="0.25"/>
    <row r="132910" customFormat="1" x14ac:dyDescent="0.25"/>
    <row r="132911" customFormat="1" x14ac:dyDescent="0.25"/>
    <row r="132912" customFormat="1" x14ac:dyDescent="0.25"/>
    <row r="132913" customFormat="1" x14ac:dyDescent="0.25"/>
    <row r="132914" customFormat="1" x14ac:dyDescent="0.25"/>
    <row r="132915" customFormat="1" x14ac:dyDescent="0.25"/>
    <row r="132916" customFormat="1" x14ac:dyDescent="0.25"/>
    <row r="132917" customFormat="1" x14ac:dyDescent="0.25"/>
    <row r="132918" customFormat="1" x14ac:dyDescent="0.25"/>
    <row r="132919" customFormat="1" x14ac:dyDescent="0.25"/>
    <row r="132920" customFormat="1" x14ac:dyDescent="0.25"/>
    <row r="132921" customFormat="1" x14ac:dyDescent="0.25"/>
    <row r="132922" customFormat="1" x14ac:dyDescent="0.25"/>
    <row r="132923" customFormat="1" x14ac:dyDescent="0.25"/>
    <row r="132924" customFormat="1" x14ac:dyDescent="0.25"/>
    <row r="132925" customFormat="1" x14ac:dyDescent="0.25"/>
    <row r="132926" customFormat="1" x14ac:dyDescent="0.25"/>
    <row r="132927" customFormat="1" x14ac:dyDescent="0.25"/>
    <row r="132928" customFormat="1" x14ac:dyDescent="0.25"/>
    <row r="132929" customFormat="1" x14ac:dyDescent="0.25"/>
    <row r="132930" customFormat="1" x14ac:dyDescent="0.25"/>
    <row r="132931" customFormat="1" x14ac:dyDescent="0.25"/>
    <row r="132932" customFormat="1" x14ac:dyDescent="0.25"/>
    <row r="132933" customFormat="1" x14ac:dyDescent="0.25"/>
    <row r="132934" customFormat="1" x14ac:dyDescent="0.25"/>
    <row r="132935" customFormat="1" x14ac:dyDescent="0.25"/>
    <row r="132936" customFormat="1" x14ac:dyDescent="0.25"/>
    <row r="132937" customFormat="1" x14ac:dyDescent="0.25"/>
    <row r="132938" customFormat="1" x14ac:dyDescent="0.25"/>
    <row r="132939" customFormat="1" x14ac:dyDescent="0.25"/>
    <row r="132940" customFormat="1" x14ac:dyDescent="0.25"/>
    <row r="132941" customFormat="1" x14ac:dyDescent="0.25"/>
    <row r="132942" customFormat="1" x14ac:dyDescent="0.25"/>
    <row r="132943" customFormat="1" x14ac:dyDescent="0.25"/>
    <row r="132944" customFormat="1" x14ac:dyDescent="0.25"/>
    <row r="132945" customFormat="1" x14ac:dyDescent="0.25"/>
    <row r="132946" customFormat="1" x14ac:dyDescent="0.25"/>
    <row r="132947" customFormat="1" x14ac:dyDescent="0.25"/>
    <row r="132948" customFormat="1" x14ac:dyDescent="0.25"/>
    <row r="132949" customFormat="1" x14ac:dyDescent="0.25"/>
    <row r="132950" customFormat="1" x14ac:dyDescent="0.25"/>
    <row r="132951" customFormat="1" x14ac:dyDescent="0.25"/>
    <row r="132952" customFormat="1" x14ac:dyDescent="0.25"/>
    <row r="132953" customFormat="1" x14ac:dyDescent="0.25"/>
    <row r="132954" customFormat="1" x14ac:dyDescent="0.25"/>
    <row r="132955" customFormat="1" x14ac:dyDescent="0.25"/>
    <row r="132956" customFormat="1" x14ac:dyDescent="0.25"/>
    <row r="132957" customFormat="1" x14ac:dyDescent="0.25"/>
    <row r="132958" customFormat="1" x14ac:dyDescent="0.25"/>
    <row r="132959" customFormat="1" x14ac:dyDescent="0.25"/>
    <row r="132960" customFormat="1" x14ac:dyDescent="0.25"/>
    <row r="132961" customFormat="1" x14ac:dyDescent="0.25"/>
    <row r="132962" customFormat="1" x14ac:dyDescent="0.25"/>
    <row r="132963" customFormat="1" x14ac:dyDescent="0.25"/>
    <row r="132964" customFormat="1" x14ac:dyDescent="0.25"/>
    <row r="132965" customFormat="1" x14ac:dyDescent="0.25"/>
    <row r="132966" customFormat="1" x14ac:dyDescent="0.25"/>
    <row r="132967" customFormat="1" x14ac:dyDescent="0.25"/>
    <row r="132968" customFormat="1" x14ac:dyDescent="0.25"/>
    <row r="132969" customFormat="1" x14ac:dyDescent="0.25"/>
    <row r="132970" customFormat="1" x14ac:dyDescent="0.25"/>
    <row r="132971" customFormat="1" x14ac:dyDescent="0.25"/>
    <row r="132972" customFormat="1" x14ac:dyDescent="0.25"/>
    <row r="132973" customFormat="1" x14ac:dyDescent="0.25"/>
    <row r="132974" customFormat="1" x14ac:dyDescent="0.25"/>
    <row r="132975" customFormat="1" x14ac:dyDescent="0.25"/>
    <row r="132976" customFormat="1" x14ac:dyDescent="0.25"/>
    <row r="132977" customFormat="1" x14ac:dyDescent="0.25"/>
    <row r="132978" customFormat="1" x14ac:dyDescent="0.25"/>
    <row r="132979" customFormat="1" x14ac:dyDescent="0.25"/>
    <row r="132980" customFormat="1" x14ac:dyDescent="0.25"/>
    <row r="132981" customFormat="1" x14ac:dyDescent="0.25"/>
    <row r="132982" customFormat="1" x14ac:dyDescent="0.25"/>
    <row r="132983" customFormat="1" x14ac:dyDescent="0.25"/>
    <row r="132984" customFormat="1" x14ac:dyDescent="0.25"/>
    <row r="132985" customFormat="1" x14ac:dyDescent="0.25"/>
    <row r="132986" customFormat="1" x14ac:dyDescent="0.25"/>
    <row r="132987" customFormat="1" x14ac:dyDescent="0.25"/>
    <row r="132988" customFormat="1" x14ac:dyDescent="0.25"/>
    <row r="132989" customFormat="1" x14ac:dyDescent="0.25"/>
    <row r="132990" customFormat="1" x14ac:dyDescent="0.25"/>
    <row r="132991" customFormat="1" x14ac:dyDescent="0.25"/>
    <row r="132992" customFormat="1" x14ac:dyDescent="0.25"/>
    <row r="132993" customFormat="1" x14ac:dyDescent="0.25"/>
    <row r="132994" customFormat="1" x14ac:dyDescent="0.25"/>
    <row r="132995" customFormat="1" x14ac:dyDescent="0.25"/>
    <row r="132996" customFormat="1" x14ac:dyDescent="0.25"/>
    <row r="132997" customFormat="1" x14ac:dyDescent="0.25"/>
    <row r="132998" customFormat="1" x14ac:dyDescent="0.25"/>
    <row r="132999" customFormat="1" x14ac:dyDescent="0.25"/>
    <row r="133000" customFormat="1" x14ac:dyDescent="0.25"/>
    <row r="133001" customFormat="1" x14ac:dyDescent="0.25"/>
    <row r="133002" customFormat="1" x14ac:dyDescent="0.25"/>
    <row r="133003" customFormat="1" x14ac:dyDescent="0.25"/>
    <row r="133004" customFormat="1" x14ac:dyDescent="0.25"/>
    <row r="133005" customFormat="1" x14ac:dyDescent="0.25"/>
    <row r="133006" customFormat="1" x14ac:dyDescent="0.25"/>
    <row r="133007" customFormat="1" x14ac:dyDescent="0.25"/>
    <row r="133008" customFormat="1" x14ac:dyDescent="0.25"/>
    <row r="133009" customFormat="1" x14ac:dyDescent="0.25"/>
    <row r="133010" customFormat="1" x14ac:dyDescent="0.25"/>
    <row r="133011" customFormat="1" x14ac:dyDescent="0.25"/>
    <row r="133012" customFormat="1" x14ac:dyDescent="0.25"/>
    <row r="133013" customFormat="1" x14ac:dyDescent="0.25"/>
    <row r="133014" customFormat="1" x14ac:dyDescent="0.25"/>
    <row r="133015" customFormat="1" x14ac:dyDescent="0.25"/>
    <row r="133016" customFormat="1" x14ac:dyDescent="0.25"/>
    <row r="133017" customFormat="1" x14ac:dyDescent="0.25"/>
    <row r="133018" customFormat="1" x14ac:dyDescent="0.25"/>
    <row r="133019" customFormat="1" x14ac:dyDescent="0.25"/>
    <row r="133020" customFormat="1" x14ac:dyDescent="0.25"/>
    <row r="133021" customFormat="1" x14ac:dyDescent="0.25"/>
    <row r="133022" customFormat="1" x14ac:dyDescent="0.25"/>
    <row r="133023" customFormat="1" x14ac:dyDescent="0.25"/>
    <row r="133024" customFormat="1" x14ac:dyDescent="0.25"/>
    <row r="133025" customFormat="1" x14ac:dyDescent="0.25"/>
    <row r="133026" customFormat="1" x14ac:dyDescent="0.25"/>
    <row r="133027" customFormat="1" x14ac:dyDescent="0.25"/>
    <row r="133028" customFormat="1" x14ac:dyDescent="0.25"/>
    <row r="133029" customFormat="1" x14ac:dyDescent="0.25"/>
    <row r="133030" customFormat="1" x14ac:dyDescent="0.25"/>
    <row r="133031" customFormat="1" x14ac:dyDescent="0.25"/>
    <row r="133032" customFormat="1" x14ac:dyDescent="0.25"/>
    <row r="133033" customFormat="1" x14ac:dyDescent="0.25"/>
    <row r="133034" customFormat="1" x14ac:dyDescent="0.25"/>
    <row r="133035" customFormat="1" x14ac:dyDescent="0.25"/>
    <row r="133036" customFormat="1" x14ac:dyDescent="0.25"/>
    <row r="133037" customFormat="1" x14ac:dyDescent="0.25"/>
    <row r="133038" customFormat="1" x14ac:dyDescent="0.25"/>
    <row r="133039" customFormat="1" x14ac:dyDescent="0.25"/>
    <row r="133040" customFormat="1" x14ac:dyDescent="0.25"/>
    <row r="133041" customFormat="1" x14ac:dyDescent="0.25"/>
    <row r="133042" customFormat="1" x14ac:dyDescent="0.25"/>
    <row r="133043" customFormat="1" x14ac:dyDescent="0.25"/>
    <row r="133044" customFormat="1" x14ac:dyDescent="0.25"/>
    <row r="133045" customFormat="1" x14ac:dyDescent="0.25"/>
    <row r="133046" customFormat="1" x14ac:dyDescent="0.25"/>
    <row r="133047" customFormat="1" x14ac:dyDescent="0.25"/>
    <row r="133048" customFormat="1" x14ac:dyDescent="0.25"/>
    <row r="133049" customFormat="1" x14ac:dyDescent="0.25"/>
    <row r="133050" customFormat="1" x14ac:dyDescent="0.25"/>
    <row r="133051" customFormat="1" x14ac:dyDescent="0.25"/>
    <row r="133052" customFormat="1" x14ac:dyDescent="0.25"/>
    <row r="133053" customFormat="1" x14ac:dyDescent="0.25"/>
    <row r="133054" customFormat="1" x14ac:dyDescent="0.25"/>
    <row r="133055" customFormat="1" x14ac:dyDescent="0.25"/>
    <row r="133056" customFormat="1" x14ac:dyDescent="0.25"/>
    <row r="133057" customFormat="1" x14ac:dyDescent="0.25"/>
    <row r="133058" customFormat="1" x14ac:dyDescent="0.25"/>
    <row r="133059" customFormat="1" x14ac:dyDescent="0.25"/>
    <row r="133060" customFormat="1" x14ac:dyDescent="0.25"/>
    <row r="133061" customFormat="1" x14ac:dyDescent="0.25"/>
    <row r="133062" customFormat="1" x14ac:dyDescent="0.25"/>
    <row r="133063" customFormat="1" x14ac:dyDescent="0.25"/>
    <row r="133064" customFormat="1" x14ac:dyDescent="0.25"/>
    <row r="133065" customFormat="1" x14ac:dyDescent="0.25"/>
    <row r="133066" customFormat="1" x14ac:dyDescent="0.25"/>
    <row r="133067" customFormat="1" x14ac:dyDescent="0.25"/>
    <row r="133068" customFormat="1" x14ac:dyDescent="0.25"/>
    <row r="133069" customFormat="1" x14ac:dyDescent="0.25"/>
    <row r="133070" customFormat="1" x14ac:dyDescent="0.25"/>
    <row r="133071" customFormat="1" x14ac:dyDescent="0.25"/>
    <row r="133072" customFormat="1" x14ac:dyDescent="0.25"/>
    <row r="133073" customFormat="1" x14ac:dyDescent="0.25"/>
    <row r="133074" customFormat="1" x14ac:dyDescent="0.25"/>
    <row r="133075" customFormat="1" x14ac:dyDescent="0.25"/>
    <row r="133076" customFormat="1" x14ac:dyDescent="0.25"/>
    <row r="133077" customFormat="1" x14ac:dyDescent="0.25"/>
    <row r="133078" customFormat="1" x14ac:dyDescent="0.25"/>
    <row r="133079" customFormat="1" x14ac:dyDescent="0.25"/>
    <row r="133080" customFormat="1" x14ac:dyDescent="0.25"/>
    <row r="133081" customFormat="1" x14ac:dyDescent="0.25"/>
    <row r="133082" customFormat="1" x14ac:dyDescent="0.25"/>
    <row r="133083" customFormat="1" x14ac:dyDescent="0.25"/>
    <row r="133084" customFormat="1" x14ac:dyDescent="0.25"/>
    <row r="133085" customFormat="1" x14ac:dyDescent="0.25"/>
    <row r="133086" customFormat="1" x14ac:dyDescent="0.25"/>
    <row r="133087" customFormat="1" x14ac:dyDescent="0.25"/>
    <row r="133088" customFormat="1" x14ac:dyDescent="0.25"/>
    <row r="133089" customFormat="1" x14ac:dyDescent="0.25"/>
    <row r="133090" customFormat="1" x14ac:dyDescent="0.25"/>
    <row r="133091" customFormat="1" x14ac:dyDescent="0.25"/>
    <row r="133092" customFormat="1" x14ac:dyDescent="0.25"/>
    <row r="133093" customFormat="1" x14ac:dyDescent="0.25"/>
    <row r="133094" customFormat="1" x14ac:dyDescent="0.25"/>
    <row r="133095" customFormat="1" x14ac:dyDescent="0.25"/>
    <row r="133096" customFormat="1" x14ac:dyDescent="0.25"/>
    <row r="133097" customFormat="1" x14ac:dyDescent="0.25"/>
    <row r="133098" customFormat="1" x14ac:dyDescent="0.25"/>
    <row r="133099" customFormat="1" x14ac:dyDescent="0.25"/>
    <row r="133100" customFormat="1" x14ac:dyDescent="0.25"/>
    <row r="133101" customFormat="1" x14ac:dyDescent="0.25"/>
    <row r="133102" customFormat="1" x14ac:dyDescent="0.25"/>
    <row r="133103" customFormat="1" x14ac:dyDescent="0.25"/>
    <row r="133104" customFormat="1" x14ac:dyDescent="0.25"/>
    <row r="133105" customFormat="1" x14ac:dyDescent="0.25"/>
    <row r="133106" customFormat="1" x14ac:dyDescent="0.25"/>
    <row r="133107" customFormat="1" x14ac:dyDescent="0.25"/>
    <row r="133108" customFormat="1" x14ac:dyDescent="0.25"/>
    <row r="133109" customFormat="1" x14ac:dyDescent="0.25"/>
    <row r="133110" customFormat="1" x14ac:dyDescent="0.25"/>
    <row r="133111" customFormat="1" x14ac:dyDescent="0.25"/>
    <row r="133112" customFormat="1" x14ac:dyDescent="0.25"/>
    <row r="133113" customFormat="1" x14ac:dyDescent="0.25"/>
    <row r="133114" customFormat="1" x14ac:dyDescent="0.25"/>
    <row r="133115" customFormat="1" x14ac:dyDescent="0.25"/>
    <row r="133116" customFormat="1" x14ac:dyDescent="0.25"/>
    <row r="133117" customFormat="1" x14ac:dyDescent="0.25"/>
    <row r="133118" customFormat="1" x14ac:dyDescent="0.25"/>
    <row r="133119" customFormat="1" x14ac:dyDescent="0.25"/>
    <row r="133120" customFormat="1" x14ac:dyDescent="0.25"/>
    <row r="133121" customFormat="1" x14ac:dyDescent="0.25"/>
    <row r="133122" customFormat="1" x14ac:dyDescent="0.25"/>
    <row r="133123" customFormat="1" x14ac:dyDescent="0.25"/>
    <row r="133124" customFormat="1" x14ac:dyDescent="0.25"/>
    <row r="133125" customFormat="1" x14ac:dyDescent="0.25"/>
    <row r="133126" customFormat="1" x14ac:dyDescent="0.25"/>
    <row r="133127" customFormat="1" x14ac:dyDescent="0.25"/>
    <row r="133128" customFormat="1" x14ac:dyDescent="0.25"/>
    <row r="133129" customFormat="1" x14ac:dyDescent="0.25"/>
    <row r="133130" customFormat="1" x14ac:dyDescent="0.25"/>
    <row r="133131" customFormat="1" x14ac:dyDescent="0.25"/>
    <row r="133132" customFormat="1" x14ac:dyDescent="0.25"/>
    <row r="133133" customFormat="1" x14ac:dyDescent="0.25"/>
    <row r="133134" customFormat="1" x14ac:dyDescent="0.25"/>
    <row r="133135" customFormat="1" x14ac:dyDescent="0.25"/>
    <row r="133136" customFormat="1" x14ac:dyDescent="0.25"/>
    <row r="133137" customFormat="1" x14ac:dyDescent="0.25"/>
    <row r="133138" customFormat="1" x14ac:dyDescent="0.25"/>
    <row r="133139" customFormat="1" x14ac:dyDescent="0.25"/>
    <row r="133140" customFormat="1" x14ac:dyDescent="0.25"/>
    <row r="133141" customFormat="1" x14ac:dyDescent="0.25"/>
    <row r="133142" customFormat="1" x14ac:dyDescent="0.25"/>
    <row r="133143" customFormat="1" x14ac:dyDescent="0.25"/>
    <row r="133144" customFormat="1" x14ac:dyDescent="0.25"/>
    <row r="133145" customFormat="1" x14ac:dyDescent="0.25"/>
    <row r="133146" customFormat="1" x14ac:dyDescent="0.25"/>
    <row r="133147" customFormat="1" x14ac:dyDescent="0.25"/>
    <row r="133148" customFormat="1" x14ac:dyDescent="0.25"/>
    <row r="133149" customFormat="1" x14ac:dyDescent="0.25"/>
    <row r="133150" customFormat="1" x14ac:dyDescent="0.25"/>
    <row r="133151" customFormat="1" x14ac:dyDescent="0.25"/>
    <row r="133152" customFormat="1" x14ac:dyDescent="0.25"/>
    <row r="133153" customFormat="1" x14ac:dyDescent="0.25"/>
    <row r="133154" customFormat="1" x14ac:dyDescent="0.25"/>
    <row r="133155" customFormat="1" x14ac:dyDescent="0.25"/>
    <row r="133156" customFormat="1" x14ac:dyDescent="0.25"/>
    <row r="133157" customFormat="1" x14ac:dyDescent="0.25"/>
    <row r="133158" customFormat="1" x14ac:dyDescent="0.25"/>
    <row r="133159" customFormat="1" x14ac:dyDescent="0.25"/>
    <row r="133160" customFormat="1" x14ac:dyDescent="0.25"/>
    <row r="133161" customFormat="1" x14ac:dyDescent="0.25"/>
    <row r="133162" customFormat="1" x14ac:dyDescent="0.25"/>
    <row r="133163" customFormat="1" x14ac:dyDescent="0.25"/>
    <row r="133164" customFormat="1" x14ac:dyDescent="0.25"/>
    <row r="133165" customFormat="1" x14ac:dyDescent="0.25"/>
    <row r="133166" customFormat="1" x14ac:dyDescent="0.25"/>
    <row r="133167" customFormat="1" x14ac:dyDescent="0.25"/>
    <row r="133168" customFormat="1" x14ac:dyDescent="0.25"/>
    <row r="133169" customFormat="1" x14ac:dyDescent="0.25"/>
    <row r="133170" customFormat="1" x14ac:dyDescent="0.25"/>
    <row r="133171" customFormat="1" x14ac:dyDescent="0.25"/>
    <row r="133172" customFormat="1" x14ac:dyDescent="0.25"/>
    <row r="133173" customFormat="1" x14ac:dyDescent="0.25"/>
    <row r="133174" customFormat="1" x14ac:dyDescent="0.25"/>
    <row r="133175" customFormat="1" x14ac:dyDescent="0.25"/>
    <row r="133176" customFormat="1" x14ac:dyDescent="0.25"/>
    <row r="133177" customFormat="1" x14ac:dyDescent="0.25"/>
    <row r="133178" customFormat="1" x14ac:dyDescent="0.25"/>
    <row r="133179" customFormat="1" x14ac:dyDescent="0.25"/>
    <row r="133180" customFormat="1" x14ac:dyDescent="0.25"/>
    <row r="133181" customFormat="1" x14ac:dyDescent="0.25"/>
    <row r="133182" customFormat="1" x14ac:dyDescent="0.25"/>
    <row r="133183" customFormat="1" x14ac:dyDescent="0.25"/>
    <row r="133184" customFormat="1" x14ac:dyDescent="0.25"/>
    <row r="133185" customFormat="1" x14ac:dyDescent="0.25"/>
    <row r="133186" customFormat="1" x14ac:dyDescent="0.25"/>
    <row r="133187" customFormat="1" x14ac:dyDescent="0.25"/>
    <row r="133188" customFormat="1" x14ac:dyDescent="0.25"/>
    <row r="133189" customFormat="1" x14ac:dyDescent="0.25"/>
    <row r="133190" customFormat="1" x14ac:dyDescent="0.25"/>
    <row r="133191" customFormat="1" x14ac:dyDescent="0.25"/>
    <row r="133192" customFormat="1" x14ac:dyDescent="0.25"/>
    <row r="133193" customFormat="1" x14ac:dyDescent="0.25"/>
    <row r="133194" customFormat="1" x14ac:dyDescent="0.25"/>
    <row r="133195" customFormat="1" x14ac:dyDescent="0.25"/>
    <row r="133196" customFormat="1" x14ac:dyDescent="0.25"/>
    <row r="133197" customFormat="1" x14ac:dyDescent="0.25"/>
    <row r="133198" customFormat="1" x14ac:dyDescent="0.25"/>
    <row r="133199" customFormat="1" x14ac:dyDescent="0.25"/>
    <row r="133200" customFormat="1" x14ac:dyDescent="0.25"/>
    <row r="133201" customFormat="1" x14ac:dyDescent="0.25"/>
    <row r="133202" customFormat="1" x14ac:dyDescent="0.25"/>
    <row r="133203" customFormat="1" x14ac:dyDescent="0.25"/>
    <row r="133204" customFormat="1" x14ac:dyDescent="0.25"/>
    <row r="133205" customFormat="1" x14ac:dyDescent="0.25"/>
    <row r="133206" customFormat="1" x14ac:dyDescent="0.25"/>
    <row r="133207" customFormat="1" x14ac:dyDescent="0.25"/>
    <row r="133208" customFormat="1" x14ac:dyDescent="0.25"/>
    <row r="133209" customFormat="1" x14ac:dyDescent="0.25"/>
    <row r="133210" customFormat="1" x14ac:dyDescent="0.25"/>
    <row r="133211" customFormat="1" x14ac:dyDescent="0.25"/>
    <row r="133212" customFormat="1" x14ac:dyDescent="0.25"/>
    <row r="133213" customFormat="1" x14ac:dyDescent="0.25"/>
    <row r="133214" customFormat="1" x14ac:dyDescent="0.25"/>
    <row r="133215" customFormat="1" x14ac:dyDescent="0.25"/>
    <row r="133216" customFormat="1" x14ac:dyDescent="0.25"/>
    <row r="133217" customFormat="1" x14ac:dyDescent="0.25"/>
    <row r="133218" customFormat="1" x14ac:dyDescent="0.25"/>
    <row r="133219" customFormat="1" x14ac:dyDescent="0.25"/>
    <row r="133220" customFormat="1" x14ac:dyDescent="0.25"/>
    <row r="133221" customFormat="1" x14ac:dyDescent="0.25"/>
    <row r="133222" customFormat="1" x14ac:dyDescent="0.25"/>
    <row r="133223" customFormat="1" x14ac:dyDescent="0.25"/>
    <row r="133224" customFormat="1" x14ac:dyDescent="0.25"/>
    <row r="133225" customFormat="1" x14ac:dyDescent="0.25"/>
    <row r="133226" customFormat="1" x14ac:dyDescent="0.25"/>
    <row r="133227" customFormat="1" x14ac:dyDescent="0.25"/>
    <row r="133228" customFormat="1" x14ac:dyDescent="0.25"/>
    <row r="133229" customFormat="1" x14ac:dyDescent="0.25"/>
    <row r="133230" customFormat="1" x14ac:dyDescent="0.25"/>
    <row r="133231" customFormat="1" x14ac:dyDescent="0.25"/>
    <row r="133232" customFormat="1" x14ac:dyDescent="0.25"/>
    <row r="133233" customFormat="1" x14ac:dyDescent="0.25"/>
    <row r="133234" customFormat="1" x14ac:dyDescent="0.25"/>
    <row r="133235" customFormat="1" x14ac:dyDescent="0.25"/>
    <row r="133236" customFormat="1" x14ac:dyDescent="0.25"/>
    <row r="133237" customFormat="1" x14ac:dyDescent="0.25"/>
    <row r="133238" customFormat="1" x14ac:dyDescent="0.25"/>
    <row r="133239" customFormat="1" x14ac:dyDescent="0.25"/>
    <row r="133240" customFormat="1" x14ac:dyDescent="0.25"/>
    <row r="133241" customFormat="1" x14ac:dyDescent="0.25"/>
    <row r="133242" customFormat="1" x14ac:dyDescent="0.25"/>
    <row r="133243" customFormat="1" x14ac:dyDescent="0.25"/>
    <row r="133244" customFormat="1" x14ac:dyDescent="0.25"/>
    <row r="133245" customFormat="1" x14ac:dyDescent="0.25"/>
    <row r="133246" customFormat="1" x14ac:dyDescent="0.25"/>
    <row r="133247" customFormat="1" x14ac:dyDescent="0.25"/>
    <row r="133248" customFormat="1" x14ac:dyDescent="0.25"/>
    <row r="133249" customFormat="1" x14ac:dyDescent="0.25"/>
    <row r="133250" customFormat="1" x14ac:dyDescent="0.25"/>
    <row r="133251" customFormat="1" x14ac:dyDescent="0.25"/>
    <row r="133252" customFormat="1" x14ac:dyDescent="0.25"/>
    <row r="133253" customFormat="1" x14ac:dyDescent="0.25"/>
    <row r="133254" customFormat="1" x14ac:dyDescent="0.25"/>
    <row r="133255" customFormat="1" x14ac:dyDescent="0.25"/>
    <row r="133256" customFormat="1" x14ac:dyDescent="0.25"/>
    <row r="133257" customFormat="1" x14ac:dyDescent="0.25"/>
    <row r="133258" customFormat="1" x14ac:dyDescent="0.25"/>
    <row r="133259" customFormat="1" x14ac:dyDescent="0.25"/>
    <row r="133260" customFormat="1" x14ac:dyDescent="0.25"/>
    <row r="133261" customFormat="1" x14ac:dyDescent="0.25"/>
    <row r="133262" customFormat="1" x14ac:dyDescent="0.25"/>
    <row r="133263" customFormat="1" x14ac:dyDescent="0.25"/>
    <row r="133264" customFormat="1" x14ac:dyDescent="0.25"/>
    <row r="133265" customFormat="1" x14ac:dyDescent="0.25"/>
    <row r="133266" customFormat="1" x14ac:dyDescent="0.25"/>
    <row r="133267" customFormat="1" x14ac:dyDescent="0.25"/>
    <row r="133268" customFormat="1" x14ac:dyDescent="0.25"/>
    <row r="133269" customFormat="1" x14ac:dyDescent="0.25"/>
    <row r="133270" customFormat="1" x14ac:dyDescent="0.25"/>
    <row r="133271" customFormat="1" x14ac:dyDescent="0.25"/>
    <row r="133272" customFormat="1" x14ac:dyDescent="0.25"/>
    <row r="133273" customFormat="1" x14ac:dyDescent="0.25"/>
    <row r="133274" customFormat="1" x14ac:dyDescent="0.25"/>
    <row r="133275" customFormat="1" x14ac:dyDescent="0.25"/>
    <row r="133276" customFormat="1" x14ac:dyDescent="0.25"/>
    <row r="133277" customFormat="1" x14ac:dyDescent="0.25"/>
    <row r="133278" customFormat="1" x14ac:dyDescent="0.25"/>
    <row r="133279" customFormat="1" x14ac:dyDescent="0.25"/>
    <row r="133280" customFormat="1" x14ac:dyDescent="0.25"/>
    <row r="133281" customFormat="1" x14ac:dyDescent="0.25"/>
    <row r="133282" customFormat="1" x14ac:dyDescent="0.25"/>
    <row r="133283" customFormat="1" x14ac:dyDescent="0.25"/>
    <row r="133284" customFormat="1" x14ac:dyDescent="0.25"/>
    <row r="133285" customFormat="1" x14ac:dyDescent="0.25"/>
    <row r="133286" customFormat="1" x14ac:dyDescent="0.25"/>
    <row r="133287" customFormat="1" x14ac:dyDescent="0.25"/>
    <row r="133288" customFormat="1" x14ac:dyDescent="0.25"/>
    <row r="133289" customFormat="1" x14ac:dyDescent="0.25"/>
    <row r="133290" customFormat="1" x14ac:dyDescent="0.25"/>
    <row r="133291" customFormat="1" x14ac:dyDescent="0.25"/>
    <row r="133292" customFormat="1" x14ac:dyDescent="0.25"/>
    <row r="133293" customFormat="1" x14ac:dyDescent="0.25"/>
    <row r="133294" customFormat="1" x14ac:dyDescent="0.25"/>
    <row r="133295" customFormat="1" x14ac:dyDescent="0.25"/>
    <row r="133296" customFormat="1" x14ac:dyDescent="0.25"/>
    <row r="133297" customFormat="1" x14ac:dyDescent="0.25"/>
    <row r="133298" customFormat="1" x14ac:dyDescent="0.25"/>
    <row r="133299" customFormat="1" x14ac:dyDescent="0.25"/>
    <row r="133300" customFormat="1" x14ac:dyDescent="0.25"/>
    <row r="133301" customFormat="1" x14ac:dyDescent="0.25"/>
    <row r="133302" customFormat="1" x14ac:dyDescent="0.25"/>
    <row r="133303" customFormat="1" x14ac:dyDescent="0.25"/>
    <row r="133304" customFormat="1" x14ac:dyDescent="0.25"/>
    <row r="133305" customFormat="1" x14ac:dyDescent="0.25"/>
    <row r="133306" customFormat="1" x14ac:dyDescent="0.25"/>
    <row r="133307" customFormat="1" x14ac:dyDescent="0.25"/>
    <row r="133308" customFormat="1" x14ac:dyDescent="0.25"/>
    <row r="133309" customFormat="1" x14ac:dyDescent="0.25"/>
    <row r="133310" customFormat="1" x14ac:dyDescent="0.25"/>
    <row r="133311" customFormat="1" x14ac:dyDescent="0.25"/>
    <row r="133312" customFormat="1" x14ac:dyDescent="0.25"/>
    <row r="133313" customFormat="1" x14ac:dyDescent="0.25"/>
    <row r="133314" customFormat="1" x14ac:dyDescent="0.25"/>
    <row r="133315" customFormat="1" x14ac:dyDescent="0.25"/>
    <row r="133316" customFormat="1" x14ac:dyDescent="0.25"/>
    <row r="133317" customFormat="1" x14ac:dyDescent="0.25"/>
    <row r="133318" customFormat="1" x14ac:dyDescent="0.25"/>
    <row r="133319" customFormat="1" x14ac:dyDescent="0.25"/>
    <row r="133320" customFormat="1" x14ac:dyDescent="0.25"/>
    <row r="133321" customFormat="1" x14ac:dyDescent="0.25"/>
    <row r="133322" customFormat="1" x14ac:dyDescent="0.25"/>
    <row r="133323" customFormat="1" x14ac:dyDescent="0.25"/>
    <row r="133324" customFormat="1" x14ac:dyDescent="0.25"/>
    <row r="133325" customFormat="1" x14ac:dyDescent="0.25"/>
    <row r="133326" customFormat="1" x14ac:dyDescent="0.25"/>
    <row r="133327" customFormat="1" x14ac:dyDescent="0.25"/>
    <row r="133328" customFormat="1" x14ac:dyDescent="0.25"/>
    <row r="133329" customFormat="1" x14ac:dyDescent="0.25"/>
    <row r="133330" customFormat="1" x14ac:dyDescent="0.25"/>
    <row r="133331" customFormat="1" x14ac:dyDescent="0.25"/>
    <row r="133332" customFormat="1" x14ac:dyDescent="0.25"/>
    <row r="133333" customFormat="1" x14ac:dyDescent="0.25"/>
    <row r="133334" customFormat="1" x14ac:dyDescent="0.25"/>
    <row r="133335" customFormat="1" x14ac:dyDescent="0.25"/>
    <row r="133336" customFormat="1" x14ac:dyDescent="0.25"/>
    <row r="133337" customFormat="1" x14ac:dyDescent="0.25"/>
    <row r="133338" customFormat="1" x14ac:dyDescent="0.25"/>
    <row r="133339" customFormat="1" x14ac:dyDescent="0.25"/>
    <row r="133340" customFormat="1" x14ac:dyDescent="0.25"/>
    <row r="133341" customFormat="1" x14ac:dyDescent="0.25"/>
    <row r="133342" customFormat="1" x14ac:dyDescent="0.25"/>
    <row r="133343" customFormat="1" x14ac:dyDescent="0.25"/>
    <row r="133344" customFormat="1" x14ac:dyDescent="0.25"/>
    <row r="133345" customFormat="1" x14ac:dyDescent="0.25"/>
    <row r="133346" customFormat="1" x14ac:dyDescent="0.25"/>
    <row r="133347" customFormat="1" x14ac:dyDescent="0.25"/>
    <row r="133348" customFormat="1" x14ac:dyDescent="0.25"/>
    <row r="133349" customFormat="1" x14ac:dyDescent="0.25"/>
    <row r="133350" customFormat="1" x14ac:dyDescent="0.25"/>
    <row r="133351" customFormat="1" x14ac:dyDescent="0.25"/>
    <row r="133352" customFormat="1" x14ac:dyDescent="0.25"/>
    <row r="133353" customFormat="1" x14ac:dyDescent="0.25"/>
    <row r="133354" customFormat="1" x14ac:dyDescent="0.25"/>
    <row r="133355" customFormat="1" x14ac:dyDescent="0.25"/>
    <row r="133356" customFormat="1" x14ac:dyDescent="0.25"/>
    <row r="133357" customFormat="1" x14ac:dyDescent="0.25"/>
    <row r="133358" customFormat="1" x14ac:dyDescent="0.25"/>
    <row r="133359" customFormat="1" x14ac:dyDescent="0.25"/>
    <row r="133360" customFormat="1" x14ac:dyDescent="0.25"/>
    <row r="133361" customFormat="1" x14ac:dyDescent="0.25"/>
    <row r="133362" customFormat="1" x14ac:dyDescent="0.25"/>
    <row r="133363" customFormat="1" x14ac:dyDescent="0.25"/>
    <row r="133364" customFormat="1" x14ac:dyDescent="0.25"/>
    <row r="133365" customFormat="1" x14ac:dyDescent="0.25"/>
    <row r="133366" customFormat="1" x14ac:dyDescent="0.25"/>
    <row r="133367" customFormat="1" x14ac:dyDescent="0.25"/>
    <row r="133368" customFormat="1" x14ac:dyDescent="0.25"/>
    <row r="133369" customFormat="1" x14ac:dyDescent="0.25"/>
    <row r="133370" customFormat="1" x14ac:dyDescent="0.25"/>
    <row r="133371" customFormat="1" x14ac:dyDescent="0.25"/>
    <row r="133372" customFormat="1" x14ac:dyDescent="0.25"/>
    <row r="133373" customFormat="1" x14ac:dyDescent="0.25"/>
    <row r="133374" customFormat="1" x14ac:dyDescent="0.25"/>
    <row r="133375" customFormat="1" x14ac:dyDescent="0.25"/>
    <row r="133376" customFormat="1" x14ac:dyDescent="0.25"/>
    <row r="133377" customFormat="1" x14ac:dyDescent="0.25"/>
    <row r="133378" customFormat="1" x14ac:dyDescent="0.25"/>
    <row r="133379" customFormat="1" x14ac:dyDescent="0.25"/>
    <row r="133380" customFormat="1" x14ac:dyDescent="0.25"/>
    <row r="133381" customFormat="1" x14ac:dyDescent="0.25"/>
    <row r="133382" customFormat="1" x14ac:dyDescent="0.25"/>
    <row r="133383" customFormat="1" x14ac:dyDescent="0.25"/>
    <row r="133384" customFormat="1" x14ac:dyDescent="0.25"/>
    <row r="133385" customFormat="1" x14ac:dyDescent="0.25"/>
    <row r="133386" customFormat="1" x14ac:dyDescent="0.25"/>
    <row r="133387" customFormat="1" x14ac:dyDescent="0.25"/>
    <row r="133388" customFormat="1" x14ac:dyDescent="0.25"/>
    <row r="133389" customFormat="1" x14ac:dyDescent="0.25"/>
    <row r="133390" customFormat="1" x14ac:dyDescent="0.25"/>
    <row r="133391" customFormat="1" x14ac:dyDescent="0.25"/>
    <row r="133392" customFormat="1" x14ac:dyDescent="0.25"/>
    <row r="133393" customFormat="1" x14ac:dyDescent="0.25"/>
    <row r="133394" customFormat="1" x14ac:dyDescent="0.25"/>
    <row r="133395" customFormat="1" x14ac:dyDescent="0.25"/>
    <row r="133396" customFormat="1" x14ac:dyDescent="0.25"/>
    <row r="133397" customFormat="1" x14ac:dyDescent="0.25"/>
    <row r="133398" customFormat="1" x14ac:dyDescent="0.25"/>
    <row r="133399" customFormat="1" x14ac:dyDescent="0.25"/>
    <row r="133400" customFormat="1" x14ac:dyDescent="0.25"/>
    <row r="133401" customFormat="1" x14ac:dyDescent="0.25"/>
    <row r="133402" customFormat="1" x14ac:dyDescent="0.25"/>
    <row r="133403" customFormat="1" x14ac:dyDescent="0.25"/>
    <row r="133404" customFormat="1" x14ac:dyDescent="0.25"/>
    <row r="133405" customFormat="1" x14ac:dyDescent="0.25"/>
    <row r="133406" customFormat="1" x14ac:dyDescent="0.25"/>
    <row r="133407" customFormat="1" x14ac:dyDescent="0.25"/>
    <row r="133408" customFormat="1" x14ac:dyDescent="0.25"/>
    <row r="133409" customFormat="1" x14ac:dyDescent="0.25"/>
    <row r="133410" customFormat="1" x14ac:dyDescent="0.25"/>
    <row r="133411" customFormat="1" x14ac:dyDescent="0.25"/>
    <row r="133412" customFormat="1" x14ac:dyDescent="0.25"/>
    <row r="133413" customFormat="1" x14ac:dyDescent="0.25"/>
    <row r="133414" customFormat="1" x14ac:dyDescent="0.25"/>
    <row r="133415" customFormat="1" x14ac:dyDescent="0.25"/>
    <row r="133416" customFormat="1" x14ac:dyDescent="0.25"/>
    <row r="133417" customFormat="1" x14ac:dyDescent="0.25"/>
    <row r="133418" customFormat="1" x14ac:dyDescent="0.25"/>
    <row r="133419" customFormat="1" x14ac:dyDescent="0.25"/>
    <row r="133420" customFormat="1" x14ac:dyDescent="0.25"/>
    <row r="133421" customFormat="1" x14ac:dyDescent="0.25"/>
    <row r="133422" customFormat="1" x14ac:dyDescent="0.25"/>
    <row r="133423" customFormat="1" x14ac:dyDescent="0.25"/>
    <row r="133424" customFormat="1" x14ac:dyDescent="0.25"/>
    <row r="133425" customFormat="1" x14ac:dyDescent="0.25"/>
    <row r="133426" customFormat="1" x14ac:dyDescent="0.25"/>
    <row r="133427" customFormat="1" x14ac:dyDescent="0.25"/>
    <row r="133428" customFormat="1" x14ac:dyDescent="0.25"/>
    <row r="133429" customFormat="1" x14ac:dyDescent="0.25"/>
    <row r="133430" customFormat="1" x14ac:dyDescent="0.25"/>
    <row r="133431" customFormat="1" x14ac:dyDescent="0.25"/>
    <row r="133432" customFormat="1" x14ac:dyDescent="0.25"/>
    <row r="133433" customFormat="1" x14ac:dyDescent="0.25"/>
    <row r="133434" customFormat="1" x14ac:dyDescent="0.25"/>
    <row r="133435" customFormat="1" x14ac:dyDescent="0.25"/>
    <row r="133436" customFormat="1" x14ac:dyDescent="0.25"/>
    <row r="133437" customFormat="1" x14ac:dyDescent="0.25"/>
    <row r="133438" customFormat="1" x14ac:dyDescent="0.25"/>
    <row r="133439" customFormat="1" x14ac:dyDescent="0.25"/>
    <row r="133440" customFormat="1" x14ac:dyDescent="0.25"/>
    <row r="133441" customFormat="1" x14ac:dyDescent="0.25"/>
    <row r="133442" customFormat="1" x14ac:dyDescent="0.25"/>
    <row r="133443" customFormat="1" x14ac:dyDescent="0.25"/>
    <row r="133444" customFormat="1" x14ac:dyDescent="0.25"/>
    <row r="133445" customFormat="1" x14ac:dyDescent="0.25"/>
    <row r="133446" customFormat="1" x14ac:dyDescent="0.25"/>
    <row r="133447" customFormat="1" x14ac:dyDescent="0.25"/>
    <row r="133448" customFormat="1" x14ac:dyDescent="0.25"/>
    <row r="133449" customFormat="1" x14ac:dyDescent="0.25"/>
    <row r="133450" customFormat="1" x14ac:dyDescent="0.25"/>
    <row r="133451" customFormat="1" x14ac:dyDescent="0.25"/>
    <row r="133452" customFormat="1" x14ac:dyDescent="0.25"/>
    <row r="133453" customFormat="1" x14ac:dyDescent="0.25"/>
    <row r="133454" customFormat="1" x14ac:dyDescent="0.25"/>
    <row r="133455" customFormat="1" x14ac:dyDescent="0.25"/>
    <row r="133456" customFormat="1" x14ac:dyDescent="0.25"/>
    <row r="133457" customFormat="1" x14ac:dyDescent="0.25"/>
    <row r="133458" customFormat="1" x14ac:dyDescent="0.25"/>
    <row r="133459" customFormat="1" x14ac:dyDescent="0.25"/>
    <row r="133460" customFormat="1" x14ac:dyDescent="0.25"/>
    <row r="133461" customFormat="1" x14ac:dyDescent="0.25"/>
    <row r="133462" customFormat="1" x14ac:dyDescent="0.25"/>
    <row r="133463" customFormat="1" x14ac:dyDescent="0.25"/>
    <row r="133464" customFormat="1" x14ac:dyDescent="0.25"/>
    <row r="133465" customFormat="1" x14ac:dyDescent="0.25"/>
    <row r="133466" customFormat="1" x14ac:dyDescent="0.25"/>
    <row r="133467" customFormat="1" x14ac:dyDescent="0.25"/>
    <row r="133468" customFormat="1" x14ac:dyDescent="0.25"/>
    <row r="133469" customFormat="1" x14ac:dyDescent="0.25"/>
    <row r="133470" customFormat="1" x14ac:dyDescent="0.25"/>
    <row r="133471" customFormat="1" x14ac:dyDescent="0.25"/>
    <row r="133472" customFormat="1" x14ac:dyDescent="0.25"/>
    <row r="133473" customFormat="1" x14ac:dyDescent="0.25"/>
    <row r="133474" customFormat="1" x14ac:dyDescent="0.25"/>
    <row r="133475" customFormat="1" x14ac:dyDescent="0.25"/>
    <row r="133476" customFormat="1" x14ac:dyDescent="0.25"/>
    <row r="133477" customFormat="1" x14ac:dyDescent="0.25"/>
    <row r="133478" customFormat="1" x14ac:dyDescent="0.25"/>
    <row r="133479" customFormat="1" x14ac:dyDescent="0.25"/>
    <row r="133480" customFormat="1" x14ac:dyDescent="0.25"/>
    <row r="133481" customFormat="1" x14ac:dyDescent="0.25"/>
    <row r="133482" customFormat="1" x14ac:dyDescent="0.25"/>
    <row r="133483" customFormat="1" x14ac:dyDescent="0.25"/>
    <row r="133484" customFormat="1" x14ac:dyDescent="0.25"/>
    <row r="133485" customFormat="1" x14ac:dyDescent="0.25"/>
    <row r="133486" customFormat="1" x14ac:dyDescent="0.25"/>
    <row r="133487" customFormat="1" x14ac:dyDescent="0.25"/>
    <row r="133488" customFormat="1" x14ac:dyDescent="0.25"/>
    <row r="133489" customFormat="1" x14ac:dyDescent="0.25"/>
    <row r="133490" customFormat="1" x14ac:dyDescent="0.25"/>
    <row r="133491" customFormat="1" x14ac:dyDescent="0.25"/>
    <row r="133492" customFormat="1" x14ac:dyDescent="0.25"/>
    <row r="133493" customFormat="1" x14ac:dyDescent="0.25"/>
    <row r="133494" customFormat="1" x14ac:dyDescent="0.25"/>
    <row r="133495" customFormat="1" x14ac:dyDescent="0.25"/>
    <row r="133496" customFormat="1" x14ac:dyDescent="0.25"/>
    <row r="133497" customFormat="1" x14ac:dyDescent="0.25"/>
    <row r="133498" customFormat="1" x14ac:dyDescent="0.25"/>
    <row r="133499" customFormat="1" x14ac:dyDescent="0.25"/>
    <row r="133500" customFormat="1" x14ac:dyDescent="0.25"/>
    <row r="133501" customFormat="1" x14ac:dyDescent="0.25"/>
    <row r="133502" customFormat="1" x14ac:dyDescent="0.25"/>
    <row r="133503" customFormat="1" x14ac:dyDescent="0.25"/>
    <row r="133504" customFormat="1" x14ac:dyDescent="0.25"/>
    <row r="133505" customFormat="1" x14ac:dyDescent="0.25"/>
    <row r="133506" customFormat="1" x14ac:dyDescent="0.25"/>
    <row r="133507" customFormat="1" x14ac:dyDescent="0.25"/>
    <row r="133508" customFormat="1" x14ac:dyDescent="0.25"/>
    <row r="133509" customFormat="1" x14ac:dyDescent="0.25"/>
    <row r="133510" customFormat="1" x14ac:dyDescent="0.25"/>
    <row r="133511" customFormat="1" x14ac:dyDescent="0.25"/>
    <row r="133512" customFormat="1" x14ac:dyDescent="0.25"/>
    <row r="133513" customFormat="1" x14ac:dyDescent="0.25"/>
    <row r="133514" customFormat="1" x14ac:dyDescent="0.25"/>
    <row r="133515" customFormat="1" x14ac:dyDescent="0.25"/>
    <row r="133516" customFormat="1" x14ac:dyDescent="0.25"/>
    <row r="133517" customFormat="1" x14ac:dyDescent="0.25"/>
    <row r="133518" customFormat="1" x14ac:dyDescent="0.25"/>
    <row r="133519" customFormat="1" x14ac:dyDescent="0.25"/>
    <row r="133520" customFormat="1" x14ac:dyDescent="0.25"/>
    <row r="133521" customFormat="1" x14ac:dyDescent="0.25"/>
    <row r="133522" customFormat="1" x14ac:dyDescent="0.25"/>
    <row r="133523" customFormat="1" x14ac:dyDescent="0.25"/>
    <row r="133524" customFormat="1" x14ac:dyDescent="0.25"/>
    <row r="133525" customFormat="1" x14ac:dyDescent="0.25"/>
    <row r="133526" customFormat="1" x14ac:dyDescent="0.25"/>
    <row r="133527" customFormat="1" x14ac:dyDescent="0.25"/>
    <row r="133528" customFormat="1" x14ac:dyDescent="0.25"/>
    <row r="133529" customFormat="1" x14ac:dyDescent="0.25"/>
    <row r="133530" customFormat="1" x14ac:dyDescent="0.25"/>
    <row r="133531" customFormat="1" x14ac:dyDescent="0.25"/>
    <row r="133532" customFormat="1" x14ac:dyDescent="0.25"/>
    <row r="133533" customFormat="1" x14ac:dyDescent="0.25"/>
    <row r="133534" customFormat="1" x14ac:dyDescent="0.25"/>
    <row r="133535" customFormat="1" x14ac:dyDescent="0.25"/>
    <row r="133536" customFormat="1" x14ac:dyDescent="0.25"/>
    <row r="133537" customFormat="1" x14ac:dyDescent="0.25"/>
    <row r="133538" customFormat="1" x14ac:dyDescent="0.25"/>
    <row r="133539" customFormat="1" x14ac:dyDescent="0.25"/>
    <row r="133540" customFormat="1" x14ac:dyDescent="0.25"/>
    <row r="133541" customFormat="1" x14ac:dyDescent="0.25"/>
    <row r="133542" customFormat="1" x14ac:dyDescent="0.25"/>
    <row r="133543" customFormat="1" x14ac:dyDescent="0.25"/>
    <row r="133544" customFormat="1" x14ac:dyDescent="0.25"/>
    <row r="133545" customFormat="1" x14ac:dyDescent="0.25"/>
    <row r="133546" customFormat="1" x14ac:dyDescent="0.25"/>
    <row r="133547" customFormat="1" x14ac:dyDescent="0.25"/>
    <row r="133548" customFormat="1" x14ac:dyDescent="0.25"/>
    <row r="133549" customFormat="1" x14ac:dyDescent="0.25"/>
    <row r="133550" customFormat="1" x14ac:dyDescent="0.25"/>
    <row r="133551" customFormat="1" x14ac:dyDescent="0.25"/>
    <row r="133552" customFormat="1" x14ac:dyDescent="0.25"/>
    <row r="133553" customFormat="1" x14ac:dyDescent="0.25"/>
    <row r="133554" customFormat="1" x14ac:dyDescent="0.25"/>
    <row r="133555" customFormat="1" x14ac:dyDescent="0.25"/>
    <row r="133556" customFormat="1" x14ac:dyDescent="0.25"/>
    <row r="133557" customFormat="1" x14ac:dyDescent="0.25"/>
    <row r="133558" customFormat="1" x14ac:dyDescent="0.25"/>
    <row r="133559" customFormat="1" x14ac:dyDescent="0.25"/>
    <row r="133560" customFormat="1" x14ac:dyDescent="0.25"/>
    <row r="133561" customFormat="1" x14ac:dyDescent="0.25"/>
    <row r="133562" customFormat="1" x14ac:dyDescent="0.25"/>
    <row r="133563" customFormat="1" x14ac:dyDescent="0.25"/>
    <row r="133564" customFormat="1" x14ac:dyDescent="0.25"/>
    <row r="133565" customFormat="1" x14ac:dyDescent="0.25"/>
    <row r="133566" customFormat="1" x14ac:dyDescent="0.25"/>
    <row r="133567" customFormat="1" x14ac:dyDescent="0.25"/>
    <row r="133568" customFormat="1" x14ac:dyDescent="0.25"/>
    <row r="133569" customFormat="1" x14ac:dyDescent="0.25"/>
    <row r="133570" customFormat="1" x14ac:dyDescent="0.25"/>
    <row r="133571" customFormat="1" x14ac:dyDescent="0.25"/>
    <row r="133572" customFormat="1" x14ac:dyDescent="0.25"/>
    <row r="133573" customFormat="1" x14ac:dyDescent="0.25"/>
    <row r="133574" customFormat="1" x14ac:dyDescent="0.25"/>
    <row r="133575" customFormat="1" x14ac:dyDescent="0.25"/>
    <row r="133576" customFormat="1" x14ac:dyDescent="0.25"/>
    <row r="133577" customFormat="1" x14ac:dyDescent="0.25"/>
    <row r="133578" customFormat="1" x14ac:dyDescent="0.25"/>
    <row r="133579" customFormat="1" x14ac:dyDescent="0.25"/>
    <row r="133580" customFormat="1" x14ac:dyDescent="0.25"/>
    <row r="133581" customFormat="1" x14ac:dyDescent="0.25"/>
    <row r="133582" customFormat="1" x14ac:dyDescent="0.25"/>
    <row r="133583" customFormat="1" x14ac:dyDescent="0.25"/>
    <row r="133584" customFormat="1" x14ac:dyDescent="0.25"/>
    <row r="133585" customFormat="1" x14ac:dyDescent="0.25"/>
    <row r="133586" customFormat="1" x14ac:dyDescent="0.25"/>
    <row r="133587" customFormat="1" x14ac:dyDescent="0.25"/>
    <row r="133588" customFormat="1" x14ac:dyDescent="0.25"/>
    <row r="133589" customFormat="1" x14ac:dyDescent="0.25"/>
    <row r="133590" customFormat="1" x14ac:dyDescent="0.25"/>
    <row r="133591" customFormat="1" x14ac:dyDescent="0.25"/>
    <row r="133592" customFormat="1" x14ac:dyDescent="0.25"/>
    <row r="133593" customFormat="1" x14ac:dyDescent="0.25"/>
    <row r="133594" customFormat="1" x14ac:dyDescent="0.25"/>
    <row r="133595" customFormat="1" x14ac:dyDescent="0.25"/>
    <row r="133596" customFormat="1" x14ac:dyDescent="0.25"/>
    <row r="133597" customFormat="1" x14ac:dyDescent="0.25"/>
    <row r="133598" customFormat="1" x14ac:dyDescent="0.25"/>
    <row r="133599" customFormat="1" x14ac:dyDescent="0.25"/>
    <row r="133600" customFormat="1" x14ac:dyDescent="0.25"/>
    <row r="133601" customFormat="1" x14ac:dyDescent="0.25"/>
    <row r="133602" customFormat="1" x14ac:dyDescent="0.25"/>
    <row r="133603" customFormat="1" x14ac:dyDescent="0.25"/>
    <row r="133604" customFormat="1" x14ac:dyDescent="0.25"/>
    <row r="133605" customFormat="1" x14ac:dyDescent="0.25"/>
    <row r="133606" customFormat="1" x14ac:dyDescent="0.25"/>
    <row r="133607" customFormat="1" x14ac:dyDescent="0.25"/>
    <row r="133608" customFormat="1" x14ac:dyDescent="0.25"/>
    <row r="133609" customFormat="1" x14ac:dyDescent="0.25"/>
    <row r="133610" customFormat="1" x14ac:dyDescent="0.25"/>
    <row r="133611" customFormat="1" x14ac:dyDescent="0.25"/>
    <row r="133612" customFormat="1" x14ac:dyDescent="0.25"/>
    <row r="133613" customFormat="1" x14ac:dyDescent="0.25"/>
    <row r="133614" customFormat="1" x14ac:dyDescent="0.25"/>
    <row r="133615" customFormat="1" x14ac:dyDescent="0.25"/>
    <row r="133616" customFormat="1" x14ac:dyDescent="0.25"/>
    <row r="133617" customFormat="1" x14ac:dyDescent="0.25"/>
    <row r="133618" customFormat="1" x14ac:dyDescent="0.25"/>
    <row r="133619" customFormat="1" x14ac:dyDescent="0.25"/>
    <row r="133620" customFormat="1" x14ac:dyDescent="0.25"/>
    <row r="133621" customFormat="1" x14ac:dyDescent="0.25"/>
    <row r="133622" customFormat="1" x14ac:dyDescent="0.25"/>
    <row r="133623" customFormat="1" x14ac:dyDescent="0.25"/>
    <row r="133624" customFormat="1" x14ac:dyDescent="0.25"/>
    <row r="133625" customFormat="1" x14ac:dyDescent="0.25"/>
    <row r="133626" customFormat="1" x14ac:dyDescent="0.25"/>
    <row r="133627" customFormat="1" x14ac:dyDescent="0.25"/>
    <row r="133628" customFormat="1" x14ac:dyDescent="0.25"/>
    <row r="133629" customFormat="1" x14ac:dyDescent="0.25"/>
    <row r="133630" customFormat="1" x14ac:dyDescent="0.25"/>
    <row r="133631" customFormat="1" x14ac:dyDescent="0.25"/>
    <row r="133632" customFormat="1" x14ac:dyDescent="0.25"/>
    <row r="133633" customFormat="1" x14ac:dyDescent="0.25"/>
    <row r="133634" customFormat="1" x14ac:dyDescent="0.25"/>
    <row r="133635" customFormat="1" x14ac:dyDescent="0.25"/>
    <row r="133636" customFormat="1" x14ac:dyDescent="0.25"/>
    <row r="133637" customFormat="1" x14ac:dyDescent="0.25"/>
    <row r="133638" customFormat="1" x14ac:dyDescent="0.25"/>
    <row r="133639" customFormat="1" x14ac:dyDescent="0.25"/>
    <row r="133640" customFormat="1" x14ac:dyDescent="0.25"/>
    <row r="133641" customFormat="1" x14ac:dyDescent="0.25"/>
    <row r="133642" customFormat="1" x14ac:dyDescent="0.25"/>
    <row r="133643" customFormat="1" x14ac:dyDescent="0.25"/>
    <row r="133644" customFormat="1" x14ac:dyDescent="0.25"/>
    <row r="133645" customFormat="1" x14ac:dyDescent="0.25"/>
    <row r="133646" customFormat="1" x14ac:dyDescent="0.25"/>
    <row r="133647" customFormat="1" x14ac:dyDescent="0.25"/>
    <row r="133648" customFormat="1" x14ac:dyDescent="0.25"/>
    <row r="133649" customFormat="1" x14ac:dyDescent="0.25"/>
    <row r="133650" customFormat="1" x14ac:dyDescent="0.25"/>
    <row r="133651" customFormat="1" x14ac:dyDescent="0.25"/>
    <row r="133652" customFormat="1" x14ac:dyDescent="0.25"/>
    <row r="133653" customFormat="1" x14ac:dyDescent="0.25"/>
    <row r="133654" customFormat="1" x14ac:dyDescent="0.25"/>
    <row r="133655" customFormat="1" x14ac:dyDescent="0.25"/>
    <row r="133656" customFormat="1" x14ac:dyDescent="0.25"/>
    <row r="133657" customFormat="1" x14ac:dyDescent="0.25"/>
    <row r="133658" customFormat="1" x14ac:dyDescent="0.25"/>
    <row r="133659" customFormat="1" x14ac:dyDescent="0.25"/>
    <row r="133660" customFormat="1" x14ac:dyDescent="0.25"/>
    <row r="133661" customFormat="1" x14ac:dyDescent="0.25"/>
    <row r="133662" customFormat="1" x14ac:dyDescent="0.25"/>
    <row r="133663" customFormat="1" x14ac:dyDescent="0.25"/>
    <row r="133664" customFormat="1" x14ac:dyDescent="0.25"/>
    <row r="133665" customFormat="1" x14ac:dyDescent="0.25"/>
    <row r="133666" customFormat="1" x14ac:dyDescent="0.25"/>
    <row r="133667" customFormat="1" x14ac:dyDescent="0.25"/>
    <row r="133668" customFormat="1" x14ac:dyDescent="0.25"/>
    <row r="133669" customFormat="1" x14ac:dyDescent="0.25"/>
    <row r="133670" customFormat="1" x14ac:dyDescent="0.25"/>
    <row r="133671" customFormat="1" x14ac:dyDescent="0.25"/>
    <row r="133672" customFormat="1" x14ac:dyDescent="0.25"/>
    <row r="133673" customFormat="1" x14ac:dyDescent="0.25"/>
    <row r="133674" customFormat="1" x14ac:dyDescent="0.25"/>
    <row r="133675" customFormat="1" x14ac:dyDescent="0.25"/>
    <row r="133676" customFormat="1" x14ac:dyDescent="0.25"/>
    <row r="133677" customFormat="1" x14ac:dyDescent="0.25"/>
    <row r="133678" customFormat="1" x14ac:dyDescent="0.25"/>
    <row r="133679" customFormat="1" x14ac:dyDescent="0.25"/>
    <row r="133680" customFormat="1" x14ac:dyDescent="0.25"/>
    <row r="133681" customFormat="1" x14ac:dyDescent="0.25"/>
    <row r="133682" customFormat="1" x14ac:dyDescent="0.25"/>
    <row r="133683" customFormat="1" x14ac:dyDescent="0.25"/>
    <row r="133684" customFormat="1" x14ac:dyDescent="0.25"/>
    <row r="133685" customFormat="1" x14ac:dyDescent="0.25"/>
    <row r="133686" customFormat="1" x14ac:dyDescent="0.25"/>
    <row r="133687" customFormat="1" x14ac:dyDescent="0.25"/>
    <row r="133688" customFormat="1" x14ac:dyDescent="0.25"/>
    <row r="133689" customFormat="1" x14ac:dyDescent="0.25"/>
    <row r="133690" customFormat="1" x14ac:dyDescent="0.25"/>
    <row r="133691" customFormat="1" x14ac:dyDescent="0.25"/>
    <row r="133692" customFormat="1" x14ac:dyDescent="0.25"/>
    <row r="133693" customFormat="1" x14ac:dyDescent="0.25"/>
    <row r="133694" customFormat="1" x14ac:dyDescent="0.25"/>
    <row r="133695" customFormat="1" x14ac:dyDescent="0.25"/>
    <row r="133696" customFormat="1" x14ac:dyDescent="0.25"/>
    <row r="133697" customFormat="1" x14ac:dyDescent="0.25"/>
    <row r="133698" customFormat="1" x14ac:dyDescent="0.25"/>
    <row r="133699" customFormat="1" x14ac:dyDescent="0.25"/>
    <row r="133700" customFormat="1" x14ac:dyDescent="0.25"/>
    <row r="133701" customFormat="1" x14ac:dyDescent="0.25"/>
    <row r="133702" customFormat="1" x14ac:dyDescent="0.25"/>
    <row r="133703" customFormat="1" x14ac:dyDescent="0.25"/>
    <row r="133704" customFormat="1" x14ac:dyDescent="0.25"/>
    <row r="133705" customFormat="1" x14ac:dyDescent="0.25"/>
    <row r="133706" customFormat="1" x14ac:dyDescent="0.25"/>
    <row r="133707" customFormat="1" x14ac:dyDescent="0.25"/>
    <row r="133708" customFormat="1" x14ac:dyDescent="0.25"/>
    <row r="133709" customFormat="1" x14ac:dyDescent="0.25"/>
    <row r="133710" customFormat="1" x14ac:dyDescent="0.25"/>
    <row r="133711" customFormat="1" x14ac:dyDescent="0.25"/>
    <row r="133712" customFormat="1" x14ac:dyDescent="0.25"/>
    <row r="133713" customFormat="1" x14ac:dyDescent="0.25"/>
    <row r="133714" customFormat="1" x14ac:dyDescent="0.25"/>
    <row r="133715" customFormat="1" x14ac:dyDescent="0.25"/>
    <row r="133716" customFormat="1" x14ac:dyDescent="0.25"/>
    <row r="133717" customFormat="1" x14ac:dyDescent="0.25"/>
    <row r="133718" customFormat="1" x14ac:dyDescent="0.25"/>
    <row r="133719" customFormat="1" x14ac:dyDescent="0.25"/>
    <row r="133720" customFormat="1" x14ac:dyDescent="0.25"/>
    <row r="133721" customFormat="1" x14ac:dyDescent="0.25"/>
    <row r="133722" customFormat="1" x14ac:dyDescent="0.25"/>
    <row r="133723" customFormat="1" x14ac:dyDescent="0.25"/>
    <row r="133724" customFormat="1" x14ac:dyDescent="0.25"/>
    <row r="133725" customFormat="1" x14ac:dyDescent="0.25"/>
    <row r="133726" customFormat="1" x14ac:dyDescent="0.25"/>
    <row r="133727" customFormat="1" x14ac:dyDescent="0.25"/>
    <row r="133728" customFormat="1" x14ac:dyDescent="0.25"/>
    <row r="133729" customFormat="1" x14ac:dyDescent="0.25"/>
    <row r="133730" customFormat="1" x14ac:dyDescent="0.25"/>
    <row r="133731" customFormat="1" x14ac:dyDescent="0.25"/>
    <row r="133732" customFormat="1" x14ac:dyDescent="0.25"/>
    <row r="133733" customFormat="1" x14ac:dyDescent="0.25"/>
    <row r="133734" customFormat="1" x14ac:dyDescent="0.25"/>
    <row r="133735" customFormat="1" x14ac:dyDescent="0.25"/>
    <row r="133736" customFormat="1" x14ac:dyDescent="0.25"/>
    <row r="133737" customFormat="1" x14ac:dyDescent="0.25"/>
    <row r="133738" customFormat="1" x14ac:dyDescent="0.25"/>
    <row r="133739" customFormat="1" x14ac:dyDescent="0.25"/>
    <row r="133740" customFormat="1" x14ac:dyDescent="0.25"/>
    <row r="133741" customFormat="1" x14ac:dyDescent="0.25"/>
    <row r="133742" customFormat="1" x14ac:dyDescent="0.25"/>
    <row r="133743" customFormat="1" x14ac:dyDescent="0.25"/>
    <row r="133744" customFormat="1" x14ac:dyDescent="0.25"/>
    <row r="133745" customFormat="1" x14ac:dyDescent="0.25"/>
    <row r="133746" customFormat="1" x14ac:dyDescent="0.25"/>
    <row r="133747" customFormat="1" x14ac:dyDescent="0.25"/>
    <row r="133748" customFormat="1" x14ac:dyDescent="0.25"/>
    <row r="133749" customFormat="1" x14ac:dyDescent="0.25"/>
    <row r="133750" customFormat="1" x14ac:dyDescent="0.25"/>
    <row r="133751" customFormat="1" x14ac:dyDescent="0.25"/>
    <row r="133752" customFormat="1" x14ac:dyDescent="0.25"/>
    <row r="133753" customFormat="1" x14ac:dyDescent="0.25"/>
    <row r="133754" customFormat="1" x14ac:dyDescent="0.25"/>
    <row r="133755" customFormat="1" x14ac:dyDescent="0.25"/>
    <row r="133756" customFormat="1" x14ac:dyDescent="0.25"/>
    <row r="133757" customFormat="1" x14ac:dyDescent="0.25"/>
    <row r="133758" customFormat="1" x14ac:dyDescent="0.25"/>
    <row r="133759" customFormat="1" x14ac:dyDescent="0.25"/>
    <row r="133760" customFormat="1" x14ac:dyDescent="0.25"/>
    <row r="133761" customFormat="1" x14ac:dyDescent="0.25"/>
    <row r="133762" customFormat="1" x14ac:dyDescent="0.25"/>
    <row r="133763" customFormat="1" x14ac:dyDescent="0.25"/>
    <row r="133764" customFormat="1" x14ac:dyDescent="0.25"/>
    <row r="133765" customFormat="1" x14ac:dyDescent="0.25"/>
    <row r="133766" customFormat="1" x14ac:dyDescent="0.25"/>
    <row r="133767" customFormat="1" x14ac:dyDescent="0.25"/>
    <row r="133768" customFormat="1" x14ac:dyDescent="0.25"/>
    <row r="133769" customFormat="1" x14ac:dyDescent="0.25"/>
    <row r="133770" customFormat="1" x14ac:dyDescent="0.25"/>
    <row r="133771" customFormat="1" x14ac:dyDescent="0.25"/>
    <row r="133772" customFormat="1" x14ac:dyDescent="0.25"/>
    <row r="133773" customFormat="1" x14ac:dyDescent="0.25"/>
    <row r="133774" customFormat="1" x14ac:dyDescent="0.25"/>
    <row r="133775" customFormat="1" x14ac:dyDescent="0.25"/>
    <row r="133776" customFormat="1" x14ac:dyDescent="0.25"/>
    <row r="133777" customFormat="1" x14ac:dyDescent="0.25"/>
    <row r="133778" customFormat="1" x14ac:dyDescent="0.25"/>
    <row r="133779" customFormat="1" x14ac:dyDescent="0.25"/>
    <row r="133780" customFormat="1" x14ac:dyDescent="0.25"/>
    <row r="133781" customFormat="1" x14ac:dyDescent="0.25"/>
    <row r="133782" customFormat="1" x14ac:dyDescent="0.25"/>
    <row r="133783" customFormat="1" x14ac:dyDescent="0.25"/>
    <row r="133784" customFormat="1" x14ac:dyDescent="0.25"/>
    <row r="133785" customFormat="1" x14ac:dyDescent="0.25"/>
    <row r="133786" customFormat="1" x14ac:dyDescent="0.25"/>
    <row r="133787" customFormat="1" x14ac:dyDescent="0.25"/>
    <row r="133788" customFormat="1" x14ac:dyDescent="0.25"/>
    <row r="133789" customFormat="1" x14ac:dyDescent="0.25"/>
    <row r="133790" customFormat="1" x14ac:dyDescent="0.25"/>
    <row r="133791" customFormat="1" x14ac:dyDescent="0.25"/>
    <row r="133792" customFormat="1" x14ac:dyDescent="0.25"/>
    <row r="133793" customFormat="1" x14ac:dyDescent="0.25"/>
    <row r="133794" customFormat="1" x14ac:dyDescent="0.25"/>
    <row r="133795" customFormat="1" x14ac:dyDescent="0.25"/>
    <row r="133796" customFormat="1" x14ac:dyDescent="0.25"/>
    <row r="133797" customFormat="1" x14ac:dyDescent="0.25"/>
    <row r="133798" customFormat="1" x14ac:dyDescent="0.25"/>
    <row r="133799" customFormat="1" x14ac:dyDescent="0.25"/>
    <row r="133800" customFormat="1" x14ac:dyDescent="0.25"/>
    <row r="133801" customFormat="1" x14ac:dyDescent="0.25"/>
    <row r="133802" customFormat="1" x14ac:dyDescent="0.25"/>
    <row r="133803" customFormat="1" x14ac:dyDescent="0.25"/>
    <row r="133804" customFormat="1" x14ac:dyDescent="0.25"/>
    <row r="133805" customFormat="1" x14ac:dyDescent="0.25"/>
    <row r="133806" customFormat="1" x14ac:dyDescent="0.25"/>
    <row r="133807" customFormat="1" x14ac:dyDescent="0.25"/>
    <row r="133808" customFormat="1" x14ac:dyDescent="0.25"/>
    <row r="133809" customFormat="1" x14ac:dyDescent="0.25"/>
    <row r="133810" customFormat="1" x14ac:dyDescent="0.25"/>
    <row r="133811" customFormat="1" x14ac:dyDescent="0.25"/>
    <row r="133812" customFormat="1" x14ac:dyDescent="0.25"/>
    <row r="133813" customFormat="1" x14ac:dyDescent="0.25"/>
    <row r="133814" customFormat="1" x14ac:dyDescent="0.25"/>
    <row r="133815" customFormat="1" x14ac:dyDescent="0.25"/>
    <row r="133816" customFormat="1" x14ac:dyDescent="0.25"/>
    <row r="133817" customFormat="1" x14ac:dyDescent="0.25"/>
    <row r="133818" customFormat="1" x14ac:dyDescent="0.25"/>
    <row r="133819" customFormat="1" x14ac:dyDescent="0.25"/>
    <row r="133820" customFormat="1" x14ac:dyDescent="0.25"/>
    <row r="133821" customFormat="1" x14ac:dyDescent="0.25"/>
    <row r="133822" customFormat="1" x14ac:dyDescent="0.25"/>
    <row r="133823" customFormat="1" x14ac:dyDescent="0.25"/>
    <row r="133824" customFormat="1" x14ac:dyDescent="0.25"/>
    <row r="133825" customFormat="1" x14ac:dyDescent="0.25"/>
    <row r="133826" customFormat="1" x14ac:dyDescent="0.25"/>
    <row r="133827" customFormat="1" x14ac:dyDescent="0.25"/>
    <row r="133828" customFormat="1" x14ac:dyDescent="0.25"/>
    <row r="133829" customFormat="1" x14ac:dyDescent="0.25"/>
    <row r="133830" customFormat="1" x14ac:dyDescent="0.25"/>
    <row r="133831" customFormat="1" x14ac:dyDescent="0.25"/>
    <row r="133832" customFormat="1" x14ac:dyDescent="0.25"/>
    <row r="133833" customFormat="1" x14ac:dyDescent="0.25"/>
    <row r="133834" customFormat="1" x14ac:dyDescent="0.25"/>
    <row r="133835" customFormat="1" x14ac:dyDescent="0.25"/>
    <row r="133836" customFormat="1" x14ac:dyDescent="0.25"/>
    <row r="133837" customFormat="1" x14ac:dyDescent="0.25"/>
    <row r="133838" customFormat="1" x14ac:dyDescent="0.25"/>
    <row r="133839" customFormat="1" x14ac:dyDescent="0.25"/>
    <row r="133840" customFormat="1" x14ac:dyDescent="0.25"/>
    <row r="133841" customFormat="1" x14ac:dyDescent="0.25"/>
    <row r="133842" customFormat="1" x14ac:dyDescent="0.25"/>
    <row r="133843" customFormat="1" x14ac:dyDescent="0.25"/>
    <row r="133844" customFormat="1" x14ac:dyDescent="0.25"/>
    <row r="133845" customFormat="1" x14ac:dyDescent="0.25"/>
    <row r="133846" customFormat="1" x14ac:dyDescent="0.25"/>
    <row r="133847" customFormat="1" x14ac:dyDescent="0.25"/>
    <row r="133848" customFormat="1" x14ac:dyDescent="0.25"/>
    <row r="133849" customFormat="1" x14ac:dyDescent="0.25"/>
    <row r="133850" customFormat="1" x14ac:dyDescent="0.25"/>
    <row r="133851" customFormat="1" x14ac:dyDescent="0.25"/>
    <row r="133852" customFormat="1" x14ac:dyDescent="0.25"/>
    <row r="133853" customFormat="1" x14ac:dyDescent="0.25"/>
    <row r="133854" customFormat="1" x14ac:dyDescent="0.25"/>
    <row r="133855" customFormat="1" x14ac:dyDescent="0.25"/>
    <row r="133856" customFormat="1" x14ac:dyDescent="0.25"/>
    <row r="133857" customFormat="1" x14ac:dyDescent="0.25"/>
    <row r="133858" customFormat="1" x14ac:dyDescent="0.25"/>
    <row r="133859" customFormat="1" x14ac:dyDescent="0.25"/>
    <row r="133860" customFormat="1" x14ac:dyDescent="0.25"/>
    <row r="133861" customFormat="1" x14ac:dyDescent="0.25"/>
    <row r="133862" customFormat="1" x14ac:dyDescent="0.25"/>
    <row r="133863" customFormat="1" x14ac:dyDescent="0.25"/>
    <row r="133864" customFormat="1" x14ac:dyDescent="0.25"/>
    <row r="133865" customFormat="1" x14ac:dyDescent="0.25"/>
    <row r="133866" customFormat="1" x14ac:dyDescent="0.25"/>
    <row r="133867" customFormat="1" x14ac:dyDescent="0.25"/>
    <row r="133868" customFormat="1" x14ac:dyDescent="0.25"/>
    <row r="133869" customFormat="1" x14ac:dyDescent="0.25"/>
    <row r="133870" customFormat="1" x14ac:dyDescent="0.25"/>
    <row r="133871" customFormat="1" x14ac:dyDescent="0.25"/>
    <row r="133872" customFormat="1" x14ac:dyDescent="0.25"/>
    <row r="133873" customFormat="1" x14ac:dyDescent="0.25"/>
    <row r="133874" customFormat="1" x14ac:dyDescent="0.25"/>
    <row r="133875" customFormat="1" x14ac:dyDescent="0.25"/>
    <row r="133876" customFormat="1" x14ac:dyDescent="0.25"/>
    <row r="133877" customFormat="1" x14ac:dyDescent="0.25"/>
    <row r="133878" customFormat="1" x14ac:dyDescent="0.25"/>
    <row r="133879" customFormat="1" x14ac:dyDescent="0.25"/>
    <row r="133880" customFormat="1" x14ac:dyDescent="0.25"/>
    <row r="133881" customFormat="1" x14ac:dyDescent="0.25"/>
    <row r="133882" customFormat="1" x14ac:dyDescent="0.25"/>
    <row r="133883" customFormat="1" x14ac:dyDescent="0.25"/>
    <row r="133884" customFormat="1" x14ac:dyDescent="0.25"/>
    <row r="133885" customFormat="1" x14ac:dyDescent="0.25"/>
    <row r="133886" customFormat="1" x14ac:dyDescent="0.25"/>
    <row r="133887" customFormat="1" x14ac:dyDescent="0.25"/>
    <row r="133888" customFormat="1" x14ac:dyDescent="0.25"/>
    <row r="133889" customFormat="1" x14ac:dyDescent="0.25"/>
    <row r="133890" customFormat="1" x14ac:dyDescent="0.25"/>
    <row r="133891" customFormat="1" x14ac:dyDescent="0.25"/>
    <row r="133892" customFormat="1" x14ac:dyDescent="0.25"/>
    <row r="133893" customFormat="1" x14ac:dyDescent="0.25"/>
    <row r="133894" customFormat="1" x14ac:dyDescent="0.25"/>
    <row r="133895" customFormat="1" x14ac:dyDescent="0.25"/>
    <row r="133896" customFormat="1" x14ac:dyDescent="0.25"/>
    <row r="133897" customFormat="1" x14ac:dyDescent="0.25"/>
    <row r="133898" customFormat="1" x14ac:dyDescent="0.25"/>
    <row r="133899" customFormat="1" x14ac:dyDescent="0.25"/>
    <row r="133900" customFormat="1" x14ac:dyDescent="0.25"/>
    <row r="133901" customFormat="1" x14ac:dyDescent="0.25"/>
    <row r="133902" customFormat="1" x14ac:dyDescent="0.25"/>
    <row r="133903" customFormat="1" x14ac:dyDescent="0.25"/>
    <row r="133904" customFormat="1" x14ac:dyDescent="0.25"/>
    <row r="133905" customFormat="1" x14ac:dyDescent="0.25"/>
    <row r="133906" customFormat="1" x14ac:dyDescent="0.25"/>
    <row r="133907" customFormat="1" x14ac:dyDescent="0.25"/>
    <row r="133908" customFormat="1" x14ac:dyDescent="0.25"/>
    <row r="133909" customFormat="1" x14ac:dyDescent="0.25"/>
    <row r="133910" customFormat="1" x14ac:dyDescent="0.25"/>
    <row r="133911" customFormat="1" x14ac:dyDescent="0.25"/>
    <row r="133912" customFormat="1" x14ac:dyDescent="0.25"/>
    <row r="133913" customFormat="1" x14ac:dyDescent="0.25"/>
    <row r="133914" customFormat="1" x14ac:dyDescent="0.25"/>
    <row r="133915" customFormat="1" x14ac:dyDescent="0.25"/>
    <row r="133916" customFormat="1" x14ac:dyDescent="0.25"/>
    <row r="133917" customFormat="1" x14ac:dyDescent="0.25"/>
    <row r="133918" customFormat="1" x14ac:dyDescent="0.25"/>
    <row r="133919" customFormat="1" x14ac:dyDescent="0.25"/>
    <row r="133920" customFormat="1" x14ac:dyDescent="0.25"/>
    <row r="133921" customFormat="1" x14ac:dyDescent="0.25"/>
    <row r="133922" customFormat="1" x14ac:dyDescent="0.25"/>
    <row r="133923" customFormat="1" x14ac:dyDescent="0.25"/>
    <row r="133924" customFormat="1" x14ac:dyDescent="0.25"/>
    <row r="133925" customFormat="1" x14ac:dyDescent="0.25"/>
    <row r="133926" customFormat="1" x14ac:dyDescent="0.25"/>
    <row r="133927" customFormat="1" x14ac:dyDescent="0.25"/>
    <row r="133928" customFormat="1" x14ac:dyDescent="0.25"/>
    <row r="133929" customFormat="1" x14ac:dyDescent="0.25"/>
    <row r="133930" customFormat="1" x14ac:dyDescent="0.25"/>
    <row r="133931" customFormat="1" x14ac:dyDescent="0.25"/>
    <row r="133932" customFormat="1" x14ac:dyDescent="0.25"/>
    <row r="133933" customFormat="1" x14ac:dyDescent="0.25"/>
    <row r="133934" customFormat="1" x14ac:dyDescent="0.25"/>
    <row r="133935" customFormat="1" x14ac:dyDescent="0.25"/>
    <row r="133936" customFormat="1" x14ac:dyDescent="0.25"/>
    <row r="133937" customFormat="1" x14ac:dyDescent="0.25"/>
    <row r="133938" customFormat="1" x14ac:dyDescent="0.25"/>
    <row r="133939" customFormat="1" x14ac:dyDescent="0.25"/>
    <row r="133940" customFormat="1" x14ac:dyDescent="0.25"/>
    <row r="133941" customFormat="1" x14ac:dyDescent="0.25"/>
    <row r="133942" customFormat="1" x14ac:dyDescent="0.25"/>
    <row r="133943" customFormat="1" x14ac:dyDescent="0.25"/>
    <row r="133944" customFormat="1" x14ac:dyDescent="0.25"/>
    <row r="133945" customFormat="1" x14ac:dyDescent="0.25"/>
    <row r="133946" customFormat="1" x14ac:dyDescent="0.25"/>
    <row r="133947" customFormat="1" x14ac:dyDescent="0.25"/>
    <row r="133948" customFormat="1" x14ac:dyDescent="0.25"/>
    <row r="133949" customFormat="1" x14ac:dyDescent="0.25"/>
    <row r="133950" customFormat="1" x14ac:dyDescent="0.25"/>
    <row r="133951" customFormat="1" x14ac:dyDescent="0.25"/>
    <row r="133952" customFormat="1" x14ac:dyDescent="0.25"/>
    <row r="133953" customFormat="1" x14ac:dyDescent="0.25"/>
    <row r="133954" customFormat="1" x14ac:dyDescent="0.25"/>
    <row r="133955" customFormat="1" x14ac:dyDescent="0.25"/>
    <row r="133956" customFormat="1" x14ac:dyDescent="0.25"/>
    <row r="133957" customFormat="1" x14ac:dyDescent="0.25"/>
    <row r="133958" customFormat="1" x14ac:dyDescent="0.25"/>
    <row r="133959" customFormat="1" x14ac:dyDescent="0.25"/>
    <row r="133960" customFormat="1" x14ac:dyDescent="0.25"/>
    <row r="133961" customFormat="1" x14ac:dyDescent="0.25"/>
    <row r="133962" customFormat="1" x14ac:dyDescent="0.25"/>
    <row r="133963" customFormat="1" x14ac:dyDescent="0.25"/>
    <row r="133964" customFormat="1" x14ac:dyDescent="0.25"/>
    <row r="133965" customFormat="1" x14ac:dyDescent="0.25"/>
    <row r="133966" customFormat="1" x14ac:dyDescent="0.25"/>
    <row r="133967" customFormat="1" x14ac:dyDescent="0.25"/>
    <row r="133968" customFormat="1" x14ac:dyDescent="0.25"/>
    <row r="133969" customFormat="1" x14ac:dyDescent="0.25"/>
    <row r="133970" customFormat="1" x14ac:dyDescent="0.25"/>
    <row r="133971" customFormat="1" x14ac:dyDescent="0.25"/>
    <row r="133972" customFormat="1" x14ac:dyDescent="0.25"/>
    <row r="133973" customFormat="1" x14ac:dyDescent="0.25"/>
    <row r="133974" customFormat="1" x14ac:dyDescent="0.25"/>
    <row r="133975" customFormat="1" x14ac:dyDescent="0.25"/>
    <row r="133976" customFormat="1" x14ac:dyDescent="0.25"/>
    <row r="133977" customFormat="1" x14ac:dyDescent="0.25"/>
    <row r="133978" customFormat="1" x14ac:dyDescent="0.25"/>
    <row r="133979" customFormat="1" x14ac:dyDescent="0.25"/>
    <row r="133980" customFormat="1" x14ac:dyDescent="0.25"/>
    <row r="133981" customFormat="1" x14ac:dyDescent="0.25"/>
    <row r="133982" customFormat="1" x14ac:dyDescent="0.25"/>
    <row r="133983" customFormat="1" x14ac:dyDescent="0.25"/>
    <row r="133984" customFormat="1" x14ac:dyDescent="0.25"/>
    <row r="133985" customFormat="1" x14ac:dyDescent="0.25"/>
    <row r="133986" customFormat="1" x14ac:dyDescent="0.25"/>
    <row r="133987" customFormat="1" x14ac:dyDescent="0.25"/>
    <row r="133988" customFormat="1" x14ac:dyDescent="0.25"/>
    <row r="133989" customFormat="1" x14ac:dyDescent="0.25"/>
    <row r="133990" customFormat="1" x14ac:dyDescent="0.25"/>
    <row r="133991" customFormat="1" x14ac:dyDescent="0.25"/>
    <row r="133992" customFormat="1" x14ac:dyDescent="0.25"/>
    <row r="133993" customFormat="1" x14ac:dyDescent="0.25"/>
    <row r="133994" customFormat="1" x14ac:dyDescent="0.25"/>
    <row r="133995" customFormat="1" x14ac:dyDescent="0.25"/>
    <row r="133996" customFormat="1" x14ac:dyDescent="0.25"/>
    <row r="133997" customFormat="1" x14ac:dyDescent="0.25"/>
    <row r="133998" customFormat="1" x14ac:dyDescent="0.25"/>
    <row r="133999" customFormat="1" x14ac:dyDescent="0.25"/>
    <row r="134000" customFormat="1" x14ac:dyDescent="0.25"/>
    <row r="134001" customFormat="1" x14ac:dyDescent="0.25"/>
    <row r="134002" customFormat="1" x14ac:dyDescent="0.25"/>
    <row r="134003" customFormat="1" x14ac:dyDescent="0.25"/>
    <row r="134004" customFormat="1" x14ac:dyDescent="0.25"/>
    <row r="134005" customFormat="1" x14ac:dyDescent="0.25"/>
    <row r="134006" customFormat="1" x14ac:dyDescent="0.25"/>
    <row r="134007" customFormat="1" x14ac:dyDescent="0.25"/>
    <row r="134008" customFormat="1" x14ac:dyDescent="0.25"/>
    <row r="134009" customFormat="1" x14ac:dyDescent="0.25"/>
    <row r="134010" customFormat="1" x14ac:dyDescent="0.25"/>
    <row r="134011" customFormat="1" x14ac:dyDescent="0.25"/>
    <row r="134012" customFormat="1" x14ac:dyDescent="0.25"/>
    <row r="134013" customFormat="1" x14ac:dyDescent="0.25"/>
    <row r="134014" customFormat="1" x14ac:dyDescent="0.25"/>
    <row r="134015" customFormat="1" x14ac:dyDescent="0.25"/>
    <row r="134016" customFormat="1" x14ac:dyDescent="0.25"/>
    <row r="134017" customFormat="1" x14ac:dyDescent="0.25"/>
    <row r="134018" customFormat="1" x14ac:dyDescent="0.25"/>
    <row r="134019" customFormat="1" x14ac:dyDescent="0.25"/>
    <row r="134020" customFormat="1" x14ac:dyDescent="0.25"/>
    <row r="134021" customFormat="1" x14ac:dyDescent="0.25"/>
    <row r="134022" customFormat="1" x14ac:dyDescent="0.25"/>
    <row r="134023" customFormat="1" x14ac:dyDescent="0.25"/>
    <row r="134024" customFormat="1" x14ac:dyDescent="0.25"/>
    <row r="134025" customFormat="1" x14ac:dyDescent="0.25"/>
    <row r="134026" customFormat="1" x14ac:dyDescent="0.25"/>
    <row r="134027" customFormat="1" x14ac:dyDescent="0.25"/>
    <row r="134028" customFormat="1" x14ac:dyDescent="0.25"/>
    <row r="134029" customFormat="1" x14ac:dyDescent="0.25"/>
    <row r="134030" customFormat="1" x14ac:dyDescent="0.25"/>
    <row r="134031" customFormat="1" x14ac:dyDescent="0.25"/>
    <row r="134032" customFormat="1" x14ac:dyDescent="0.25"/>
    <row r="134033" customFormat="1" x14ac:dyDescent="0.25"/>
    <row r="134034" customFormat="1" x14ac:dyDescent="0.25"/>
    <row r="134035" customFormat="1" x14ac:dyDescent="0.25"/>
    <row r="134036" customFormat="1" x14ac:dyDescent="0.25"/>
    <row r="134037" customFormat="1" x14ac:dyDescent="0.25"/>
    <row r="134038" customFormat="1" x14ac:dyDescent="0.25"/>
    <row r="134039" customFormat="1" x14ac:dyDescent="0.25"/>
    <row r="134040" customFormat="1" x14ac:dyDescent="0.25"/>
    <row r="134041" customFormat="1" x14ac:dyDescent="0.25"/>
    <row r="134042" customFormat="1" x14ac:dyDescent="0.25"/>
    <row r="134043" customFormat="1" x14ac:dyDescent="0.25"/>
    <row r="134044" customFormat="1" x14ac:dyDescent="0.25"/>
    <row r="134045" customFormat="1" x14ac:dyDescent="0.25"/>
    <row r="134046" customFormat="1" x14ac:dyDescent="0.25"/>
    <row r="134047" customFormat="1" x14ac:dyDescent="0.25"/>
    <row r="134048" customFormat="1" x14ac:dyDescent="0.25"/>
    <row r="134049" customFormat="1" x14ac:dyDescent="0.25"/>
    <row r="134050" customFormat="1" x14ac:dyDescent="0.25"/>
    <row r="134051" customFormat="1" x14ac:dyDescent="0.25"/>
    <row r="134052" customFormat="1" x14ac:dyDescent="0.25"/>
    <row r="134053" customFormat="1" x14ac:dyDescent="0.25"/>
    <row r="134054" customFormat="1" x14ac:dyDescent="0.25"/>
    <row r="134055" customFormat="1" x14ac:dyDescent="0.25"/>
    <row r="134056" customFormat="1" x14ac:dyDescent="0.25"/>
    <row r="134057" customFormat="1" x14ac:dyDescent="0.25"/>
    <row r="134058" customFormat="1" x14ac:dyDescent="0.25"/>
    <row r="134059" customFormat="1" x14ac:dyDescent="0.25"/>
    <row r="134060" customFormat="1" x14ac:dyDescent="0.25"/>
    <row r="134061" customFormat="1" x14ac:dyDescent="0.25"/>
    <row r="134062" customFormat="1" x14ac:dyDescent="0.25"/>
    <row r="134063" customFormat="1" x14ac:dyDescent="0.25"/>
    <row r="134064" customFormat="1" x14ac:dyDescent="0.25"/>
    <row r="134065" customFormat="1" x14ac:dyDescent="0.25"/>
    <row r="134066" customFormat="1" x14ac:dyDescent="0.25"/>
    <row r="134067" customFormat="1" x14ac:dyDescent="0.25"/>
    <row r="134068" customFormat="1" x14ac:dyDescent="0.25"/>
    <row r="134069" customFormat="1" x14ac:dyDescent="0.25"/>
    <row r="134070" customFormat="1" x14ac:dyDescent="0.25"/>
    <row r="134071" customFormat="1" x14ac:dyDescent="0.25"/>
    <row r="134072" customFormat="1" x14ac:dyDescent="0.25"/>
    <row r="134073" customFormat="1" x14ac:dyDescent="0.25"/>
    <row r="134074" customFormat="1" x14ac:dyDescent="0.25"/>
    <row r="134075" customFormat="1" x14ac:dyDescent="0.25"/>
    <row r="134076" customFormat="1" x14ac:dyDescent="0.25"/>
    <row r="134077" customFormat="1" x14ac:dyDescent="0.25"/>
    <row r="134078" customFormat="1" x14ac:dyDescent="0.25"/>
    <row r="134079" customFormat="1" x14ac:dyDescent="0.25"/>
    <row r="134080" customFormat="1" x14ac:dyDescent="0.25"/>
    <row r="134081" customFormat="1" x14ac:dyDescent="0.25"/>
    <row r="134082" customFormat="1" x14ac:dyDescent="0.25"/>
    <row r="134083" customFormat="1" x14ac:dyDescent="0.25"/>
    <row r="134084" customFormat="1" x14ac:dyDescent="0.25"/>
    <row r="134085" customFormat="1" x14ac:dyDescent="0.25"/>
    <row r="134086" customFormat="1" x14ac:dyDescent="0.25"/>
    <row r="134087" customFormat="1" x14ac:dyDescent="0.25"/>
    <row r="134088" customFormat="1" x14ac:dyDescent="0.25"/>
    <row r="134089" customFormat="1" x14ac:dyDescent="0.25"/>
    <row r="134090" customFormat="1" x14ac:dyDescent="0.25"/>
    <row r="134091" customFormat="1" x14ac:dyDescent="0.25"/>
    <row r="134092" customFormat="1" x14ac:dyDescent="0.25"/>
    <row r="134093" customFormat="1" x14ac:dyDescent="0.25"/>
    <row r="134094" customFormat="1" x14ac:dyDescent="0.25"/>
    <row r="134095" customFormat="1" x14ac:dyDescent="0.25"/>
    <row r="134096" customFormat="1" x14ac:dyDescent="0.25"/>
    <row r="134097" customFormat="1" x14ac:dyDescent="0.25"/>
    <row r="134098" customFormat="1" x14ac:dyDescent="0.25"/>
    <row r="134099" customFormat="1" x14ac:dyDescent="0.25"/>
    <row r="134100" customFormat="1" x14ac:dyDescent="0.25"/>
    <row r="134101" customFormat="1" x14ac:dyDescent="0.25"/>
    <row r="134102" customFormat="1" x14ac:dyDescent="0.25"/>
    <row r="134103" customFormat="1" x14ac:dyDescent="0.25"/>
    <row r="134104" customFormat="1" x14ac:dyDescent="0.25"/>
    <row r="134105" customFormat="1" x14ac:dyDescent="0.25"/>
    <row r="134106" customFormat="1" x14ac:dyDescent="0.25"/>
    <row r="134107" customFormat="1" x14ac:dyDescent="0.25"/>
    <row r="134108" customFormat="1" x14ac:dyDescent="0.25"/>
    <row r="134109" customFormat="1" x14ac:dyDescent="0.25"/>
    <row r="134110" customFormat="1" x14ac:dyDescent="0.25"/>
    <row r="134111" customFormat="1" x14ac:dyDescent="0.25"/>
    <row r="134112" customFormat="1" x14ac:dyDescent="0.25"/>
    <row r="134113" customFormat="1" x14ac:dyDescent="0.25"/>
    <row r="134114" customFormat="1" x14ac:dyDescent="0.25"/>
    <row r="134115" customFormat="1" x14ac:dyDescent="0.25"/>
    <row r="134116" customFormat="1" x14ac:dyDescent="0.25"/>
    <row r="134117" customFormat="1" x14ac:dyDescent="0.25"/>
    <row r="134118" customFormat="1" x14ac:dyDescent="0.25"/>
    <row r="134119" customFormat="1" x14ac:dyDescent="0.25"/>
    <row r="134120" customFormat="1" x14ac:dyDescent="0.25"/>
    <row r="134121" customFormat="1" x14ac:dyDescent="0.25"/>
    <row r="134122" customFormat="1" x14ac:dyDescent="0.25"/>
    <row r="134123" customFormat="1" x14ac:dyDescent="0.25"/>
    <row r="134124" customFormat="1" x14ac:dyDescent="0.25"/>
    <row r="134125" customFormat="1" x14ac:dyDescent="0.25"/>
    <row r="134126" customFormat="1" x14ac:dyDescent="0.25"/>
    <row r="134127" customFormat="1" x14ac:dyDescent="0.25"/>
    <row r="134128" customFormat="1" x14ac:dyDescent="0.25"/>
    <row r="134129" customFormat="1" x14ac:dyDescent="0.25"/>
    <row r="134130" customFormat="1" x14ac:dyDescent="0.25"/>
    <row r="134131" customFormat="1" x14ac:dyDescent="0.25"/>
    <row r="134132" customFormat="1" x14ac:dyDescent="0.25"/>
    <row r="134133" customFormat="1" x14ac:dyDescent="0.25"/>
    <row r="134134" customFormat="1" x14ac:dyDescent="0.25"/>
    <row r="134135" customFormat="1" x14ac:dyDescent="0.25"/>
    <row r="134136" customFormat="1" x14ac:dyDescent="0.25"/>
    <row r="134137" customFormat="1" x14ac:dyDescent="0.25"/>
    <row r="134138" customFormat="1" x14ac:dyDescent="0.25"/>
    <row r="134139" customFormat="1" x14ac:dyDescent="0.25"/>
    <row r="134140" customFormat="1" x14ac:dyDescent="0.25"/>
    <row r="134141" customFormat="1" x14ac:dyDescent="0.25"/>
    <row r="134142" customFormat="1" x14ac:dyDescent="0.25"/>
    <row r="134143" customFormat="1" x14ac:dyDescent="0.25"/>
    <row r="134144" customFormat="1" x14ac:dyDescent="0.25"/>
    <row r="134145" customFormat="1" x14ac:dyDescent="0.25"/>
    <row r="134146" customFormat="1" x14ac:dyDescent="0.25"/>
    <row r="134147" customFormat="1" x14ac:dyDescent="0.25"/>
    <row r="134148" customFormat="1" x14ac:dyDescent="0.25"/>
    <row r="134149" customFormat="1" x14ac:dyDescent="0.25"/>
    <row r="134150" customFormat="1" x14ac:dyDescent="0.25"/>
    <row r="134151" customFormat="1" x14ac:dyDescent="0.25"/>
    <row r="134152" customFormat="1" x14ac:dyDescent="0.25"/>
    <row r="134153" customFormat="1" x14ac:dyDescent="0.25"/>
    <row r="134154" customFormat="1" x14ac:dyDescent="0.25"/>
    <row r="134155" customFormat="1" x14ac:dyDescent="0.25"/>
    <row r="134156" customFormat="1" x14ac:dyDescent="0.25"/>
    <row r="134157" customFormat="1" x14ac:dyDescent="0.25"/>
    <row r="134158" customFormat="1" x14ac:dyDescent="0.25"/>
    <row r="134159" customFormat="1" x14ac:dyDescent="0.25"/>
    <row r="134160" customFormat="1" x14ac:dyDescent="0.25"/>
    <row r="134161" customFormat="1" x14ac:dyDescent="0.25"/>
    <row r="134162" customFormat="1" x14ac:dyDescent="0.25"/>
    <row r="134163" customFormat="1" x14ac:dyDescent="0.25"/>
    <row r="134164" customFormat="1" x14ac:dyDescent="0.25"/>
    <row r="134165" customFormat="1" x14ac:dyDescent="0.25"/>
    <row r="134166" customFormat="1" x14ac:dyDescent="0.25"/>
    <row r="134167" customFormat="1" x14ac:dyDescent="0.25"/>
    <row r="134168" customFormat="1" x14ac:dyDescent="0.25"/>
    <row r="134169" customFormat="1" x14ac:dyDescent="0.25"/>
    <row r="134170" customFormat="1" x14ac:dyDescent="0.25"/>
    <row r="134171" customFormat="1" x14ac:dyDescent="0.25"/>
    <row r="134172" customFormat="1" x14ac:dyDescent="0.25"/>
    <row r="134173" customFormat="1" x14ac:dyDescent="0.25"/>
    <row r="134174" customFormat="1" x14ac:dyDescent="0.25"/>
    <row r="134175" customFormat="1" x14ac:dyDescent="0.25"/>
    <row r="134176" customFormat="1" x14ac:dyDescent="0.25"/>
    <row r="134177" customFormat="1" x14ac:dyDescent="0.25"/>
    <row r="134178" customFormat="1" x14ac:dyDescent="0.25"/>
    <row r="134179" customFormat="1" x14ac:dyDescent="0.25"/>
    <row r="134180" customFormat="1" x14ac:dyDescent="0.25"/>
    <row r="134181" customFormat="1" x14ac:dyDescent="0.25"/>
    <row r="134182" customFormat="1" x14ac:dyDescent="0.25"/>
    <row r="134183" customFormat="1" x14ac:dyDescent="0.25"/>
    <row r="134184" customFormat="1" x14ac:dyDescent="0.25"/>
    <row r="134185" customFormat="1" x14ac:dyDescent="0.25"/>
    <row r="134186" customFormat="1" x14ac:dyDescent="0.25"/>
    <row r="134187" customFormat="1" x14ac:dyDescent="0.25"/>
    <row r="134188" customFormat="1" x14ac:dyDescent="0.25"/>
    <row r="134189" customFormat="1" x14ac:dyDescent="0.25"/>
    <row r="134190" customFormat="1" x14ac:dyDescent="0.25"/>
    <row r="134191" customFormat="1" x14ac:dyDescent="0.25"/>
    <row r="134192" customFormat="1" x14ac:dyDescent="0.25"/>
    <row r="134193" customFormat="1" x14ac:dyDescent="0.25"/>
    <row r="134194" customFormat="1" x14ac:dyDescent="0.25"/>
    <row r="134195" customFormat="1" x14ac:dyDescent="0.25"/>
    <row r="134196" customFormat="1" x14ac:dyDescent="0.25"/>
    <row r="134197" customFormat="1" x14ac:dyDescent="0.25"/>
    <row r="134198" customFormat="1" x14ac:dyDescent="0.25"/>
    <row r="134199" customFormat="1" x14ac:dyDescent="0.25"/>
    <row r="134200" customFormat="1" x14ac:dyDescent="0.25"/>
    <row r="134201" customFormat="1" x14ac:dyDescent="0.25"/>
    <row r="134202" customFormat="1" x14ac:dyDescent="0.25"/>
    <row r="134203" customFormat="1" x14ac:dyDescent="0.25"/>
    <row r="134204" customFormat="1" x14ac:dyDescent="0.25"/>
    <row r="134205" customFormat="1" x14ac:dyDescent="0.25"/>
    <row r="134206" customFormat="1" x14ac:dyDescent="0.25"/>
    <row r="134207" customFormat="1" x14ac:dyDescent="0.25"/>
    <row r="134208" customFormat="1" x14ac:dyDescent="0.25"/>
    <row r="134209" customFormat="1" x14ac:dyDescent="0.25"/>
    <row r="134210" customFormat="1" x14ac:dyDescent="0.25"/>
    <row r="134211" customFormat="1" x14ac:dyDescent="0.25"/>
    <row r="134212" customFormat="1" x14ac:dyDescent="0.25"/>
    <row r="134213" customFormat="1" x14ac:dyDescent="0.25"/>
    <row r="134214" customFormat="1" x14ac:dyDescent="0.25"/>
    <row r="134215" customFormat="1" x14ac:dyDescent="0.25"/>
    <row r="134216" customFormat="1" x14ac:dyDescent="0.25"/>
    <row r="134217" customFormat="1" x14ac:dyDescent="0.25"/>
    <row r="134218" customFormat="1" x14ac:dyDescent="0.25"/>
    <row r="134219" customFormat="1" x14ac:dyDescent="0.25"/>
    <row r="134220" customFormat="1" x14ac:dyDescent="0.25"/>
    <row r="134221" customFormat="1" x14ac:dyDescent="0.25"/>
    <row r="134222" customFormat="1" x14ac:dyDescent="0.25"/>
    <row r="134223" customFormat="1" x14ac:dyDescent="0.25"/>
    <row r="134224" customFormat="1" x14ac:dyDescent="0.25"/>
    <row r="134225" customFormat="1" x14ac:dyDescent="0.25"/>
    <row r="134226" customFormat="1" x14ac:dyDescent="0.25"/>
    <row r="134227" customFormat="1" x14ac:dyDescent="0.25"/>
    <row r="134228" customFormat="1" x14ac:dyDescent="0.25"/>
    <row r="134229" customFormat="1" x14ac:dyDescent="0.25"/>
    <row r="134230" customFormat="1" x14ac:dyDescent="0.25"/>
    <row r="134231" customFormat="1" x14ac:dyDescent="0.25"/>
    <row r="134232" customFormat="1" x14ac:dyDescent="0.25"/>
    <row r="134233" customFormat="1" x14ac:dyDescent="0.25"/>
    <row r="134234" customFormat="1" x14ac:dyDescent="0.25"/>
    <row r="134235" customFormat="1" x14ac:dyDescent="0.25"/>
    <row r="134236" customFormat="1" x14ac:dyDescent="0.25"/>
    <row r="134237" customFormat="1" x14ac:dyDescent="0.25"/>
    <row r="134238" customFormat="1" x14ac:dyDescent="0.25"/>
    <row r="134239" customFormat="1" x14ac:dyDescent="0.25"/>
    <row r="134240" customFormat="1" x14ac:dyDescent="0.25"/>
    <row r="134241" customFormat="1" x14ac:dyDescent="0.25"/>
    <row r="134242" customFormat="1" x14ac:dyDescent="0.25"/>
    <row r="134243" customFormat="1" x14ac:dyDescent="0.25"/>
    <row r="134244" customFormat="1" x14ac:dyDescent="0.25"/>
    <row r="134245" customFormat="1" x14ac:dyDescent="0.25"/>
    <row r="134246" customFormat="1" x14ac:dyDescent="0.25"/>
    <row r="134247" customFormat="1" x14ac:dyDescent="0.25"/>
    <row r="134248" customFormat="1" x14ac:dyDescent="0.25"/>
    <row r="134249" customFormat="1" x14ac:dyDescent="0.25"/>
    <row r="134250" customFormat="1" x14ac:dyDescent="0.25"/>
    <row r="134251" customFormat="1" x14ac:dyDescent="0.25"/>
    <row r="134252" customFormat="1" x14ac:dyDescent="0.25"/>
    <row r="134253" customFormat="1" x14ac:dyDescent="0.25"/>
    <row r="134254" customFormat="1" x14ac:dyDescent="0.25"/>
    <row r="134255" customFormat="1" x14ac:dyDescent="0.25"/>
    <row r="134256" customFormat="1" x14ac:dyDescent="0.25"/>
    <row r="134257" customFormat="1" x14ac:dyDescent="0.25"/>
    <row r="134258" customFormat="1" x14ac:dyDescent="0.25"/>
    <row r="134259" customFormat="1" x14ac:dyDescent="0.25"/>
    <row r="134260" customFormat="1" x14ac:dyDescent="0.25"/>
    <row r="134261" customFormat="1" x14ac:dyDescent="0.25"/>
    <row r="134262" customFormat="1" x14ac:dyDescent="0.25"/>
    <row r="134263" customFormat="1" x14ac:dyDescent="0.25"/>
    <row r="134264" customFormat="1" x14ac:dyDescent="0.25"/>
    <row r="134265" customFormat="1" x14ac:dyDescent="0.25"/>
    <row r="134266" customFormat="1" x14ac:dyDescent="0.25"/>
    <row r="134267" customFormat="1" x14ac:dyDescent="0.25"/>
    <row r="134268" customFormat="1" x14ac:dyDescent="0.25"/>
    <row r="134269" customFormat="1" x14ac:dyDescent="0.25"/>
    <row r="134270" customFormat="1" x14ac:dyDescent="0.25"/>
    <row r="134271" customFormat="1" x14ac:dyDescent="0.25"/>
    <row r="134272" customFormat="1" x14ac:dyDescent="0.25"/>
    <row r="134273" customFormat="1" x14ac:dyDescent="0.25"/>
    <row r="134274" customFormat="1" x14ac:dyDescent="0.25"/>
    <row r="134275" customFormat="1" x14ac:dyDescent="0.25"/>
    <row r="134276" customFormat="1" x14ac:dyDescent="0.25"/>
    <row r="134277" customFormat="1" x14ac:dyDescent="0.25"/>
    <row r="134278" customFormat="1" x14ac:dyDescent="0.25"/>
    <row r="134279" customFormat="1" x14ac:dyDescent="0.25"/>
    <row r="134280" customFormat="1" x14ac:dyDescent="0.25"/>
    <row r="134281" customFormat="1" x14ac:dyDescent="0.25"/>
    <row r="134282" customFormat="1" x14ac:dyDescent="0.25"/>
    <row r="134283" customFormat="1" x14ac:dyDescent="0.25"/>
    <row r="134284" customFormat="1" x14ac:dyDescent="0.25"/>
    <row r="134285" customFormat="1" x14ac:dyDescent="0.25"/>
    <row r="134286" customFormat="1" x14ac:dyDescent="0.25"/>
    <row r="134287" customFormat="1" x14ac:dyDescent="0.25"/>
    <row r="134288" customFormat="1" x14ac:dyDescent="0.25"/>
    <row r="134289" customFormat="1" x14ac:dyDescent="0.25"/>
    <row r="134290" customFormat="1" x14ac:dyDescent="0.25"/>
    <row r="134291" customFormat="1" x14ac:dyDescent="0.25"/>
    <row r="134292" customFormat="1" x14ac:dyDescent="0.25"/>
    <row r="134293" customFormat="1" x14ac:dyDescent="0.25"/>
    <row r="134294" customFormat="1" x14ac:dyDescent="0.25"/>
    <row r="134295" customFormat="1" x14ac:dyDescent="0.25"/>
    <row r="134296" customFormat="1" x14ac:dyDescent="0.25"/>
    <row r="134297" customFormat="1" x14ac:dyDescent="0.25"/>
    <row r="134298" customFormat="1" x14ac:dyDescent="0.25"/>
    <row r="134299" customFormat="1" x14ac:dyDescent="0.25"/>
    <row r="134300" customFormat="1" x14ac:dyDescent="0.25"/>
    <row r="134301" customFormat="1" x14ac:dyDescent="0.25"/>
    <row r="134302" customFormat="1" x14ac:dyDescent="0.25"/>
    <row r="134303" customFormat="1" x14ac:dyDescent="0.25"/>
    <row r="134304" customFormat="1" x14ac:dyDescent="0.25"/>
    <row r="134305" customFormat="1" x14ac:dyDescent="0.25"/>
    <row r="134306" customFormat="1" x14ac:dyDescent="0.25"/>
    <row r="134307" customFormat="1" x14ac:dyDescent="0.25"/>
    <row r="134308" customFormat="1" x14ac:dyDescent="0.25"/>
    <row r="134309" customFormat="1" x14ac:dyDescent="0.25"/>
    <row r="134310" customFormat="1" x14ac:dyDescent="0.25"/>
    <row r="134311" customFormat="1" x14ac:dyDescent="0.25"/>
    <row r="134312" customFormat="1" x14ac:dyDescent="0.25"/>
    <row r="134313" customFormat="1" x14ac:dyDescent="0.25"/>
    <row r="134314" customFormat="1" x14ac:dyDescent="0.25"/>
    <row r="134315" customFormat="1" x14ac:dyDescent="0.25"/>
    <row r="134316" customFormat="1" x14ac:dyDescent="0.25"/>
    <row r="134317" customFormat="1" x14ac:dyDescent="0.25"/>
    <row r="134318" customFormat="1" x14ac:dyDescent="0.25"/>
    <row r="134319" customFormat="1" x14ac:dyDescent="0.25"/>
    <row r="134320" customFormat="1" x14ac:dyDescent="0.25"/>
    <row r="134321" customFormat="1" x14ac:dyDescent="0.25"/>
    <row r="134322" customFormat="1" x14ac:dyDescent="0.25"/>
    <row r="134323" customFormat="1" x14ac:dyDescent="0.25"/>
    <row r="134324" customFormat="1" x14ac:dyDescent="0.25"/>
    <row r="134325" customFormat="1" x14ac:dyDescent="0.25"/>
    <row r="134326" customFormat="1" x14ac:dyDescent="0.25"/>
    <row r="134327" customFormat="1" x14ac:dyDescent="0.25"/>
    <row r="134328" customFormat="1" x14ac:dyDescent="0.25"/>
    <row r="134329" customFormat="1" x14ac:dyDescent="0.25"/>
    <row r="134330" customFormat="1" x14ac:dyDescent="0.25"/>
    <row r="134331" customFormat="1" x14ac:dyDescent="0.25"/>
    <row r="134332" customFormat="1" x14ac:dyDescent="0.25"/>
    <row r="134333" customFormat="1" x14ac:dyDescent="0.25"/>
    <row r="134334" customFormat="1" x14ac:dyDescent="0.25"/>
    <row r="134335" customFormat="1" x14ac:dyDescent="0.25"/>
    <row r="134336" customFormat="1" x14ac:dyDescent="0.25"/>
    <row r="134337" customFormat="1" x14ac:dyDescent="0.25"/>
    <row r="134338" customFormat="1" x14ac:dyDescent="0.25"/>
    <row r="134339" customFormat="1" x14ac:dyDescent="0.25"/>
    <row r="134340" customFormat="1" x14ac:dyDescent="0.25"/>
    <row r="134341" customFormat="1" x14ac:dyDescent="0.25"/>
    <row r="134342" customFormat="1" x14ac:dyDescent="0.25"/>
    <row r="134343" customFormat="1" x14ac:dyDescent="0.25"/>
    <row r="134344" customFormat="1" x14ac:dyDescent="0.25"/>
    <row r="134345" customFormat="1" x14ac:dyDescent="0.25"/>
    <row r="134346" customFormat="1" x14ac:dyDescent="0.25"/>
    <row r="134347" customFormat="1" x14ac:dyDescent="0.25"/>
    <row r="134348" customFormat="1" x14ac:dyDescent="0.25"/>
    <row r="134349" customFormat="1" x14ac:dyDescent="0.25"/>
    <row r="134350" customFormat="1" x14ac:dyDescent="0.25"/>
    <row r="134351" customFormat="1" x14ac:dyDescent="0.25"/>
    <row r="134352" customFormat="1" x14ac:dyDescent="0.25"/>
    <row r="134353" customFormat="1" x14ac:dyDescent="0.25"/>
    <row r="134354" customFormat="1" x14ac:dyDescent="0.25"/>
    <row r="134355" customFormat="1" x14ac:dyDescent="0.25"/>
    <row r="134356" customFormat="1" x14ac:dyDescent="0.25"/>
    <row r="134357" customFormat="1" x14ac:dyDescent="0.25"/>
    <row r="134358" customFormat="1" x14ac:dyDescent="0.25"/>
    <row r="134359" customFormat="1" x14ac:dyDescent="0.25"/>
    <row r="134360" customFormat="1" x14ac:dyDescent="0.25"/>
    <row r="134361" customFormat="1" x14ac:dyDescent="0.25"/>
    <row r="134362" customFormat="1" x14ac:dyDescent="0.25"/>
    <row r="134363" customFormat="1" x14ac:dyDescent="0.25"/>
    <row r="134364" customFormat="1" x14ac:dyDescent="0.25"/>
    <row r="134365" customFormat="1" x14ac:dyDescent="0.25"/>
    <row r="134366" customFormat="1" x14ac:dyDescent="0.25"/>
    <row r="134367" customFormat="1" x14ac:dyDescent="0.25"/>
    <row r="134368" customFormat="1" x14ac:dyDescent="0.25"/>
    <row r="134369" customFormat="1" x14ac:dyDescent="0.25"/>
    <row r="134370" customFormat="1" x14ac:dyDescent="0.25"/>
    <row r="134371" customFormat="1" x14ac:dyDescent="0.25"/>
    <row r="134372" customFormat="1" x14ac:dyDescent="0.25"/>
    <row r="134373" customFormat="1" x14ac:dyDescent="0.25"/>
    <row r="134374" customFormat="1" x14ac:dyDescent="0.25"/>
    <row r="134375" customFormat="1" x14ac:dyDescent="0.25"/>
    <row r="134376" customFormat="1" x14ac:dyDescent="0.25"/>
    <row r="134377" customFormat="1" x14ac:dyDescent="0.25"/>
    <row r="134378" customFormat="1" x14ac:dyDescent="0.25"/>
    <row r="134379" customFormat="1" x14ac:dyDescent="0.25"/>
    <row r="134380" customFormat="1" x14ac:dyDescent="0.25"/>
    <row r="134381" customFormat="1" x14ac:dyDescent="0.25"/>
    <row r="134382" customFormat="1" x14ac:dyDescent="0.25"/>
    <row r="134383" customFormat="1" x14ac:dyDescent="0.25"/>
    <row r="134384" customFormat="1" x14ac:dyDescent="0.25"/>
    <row r="134385" customFormat="1" x14ac:dyDescent="0.25"/>
    <row r="134386" customFormat="1" x14ac:dyDescent="0.25"/>
    <row r="134387" customFormat="1" x14ac:dyDescent="0.25"/>
    <row r="134388" customFormat="1" x14ac:dyDescent="0.25"/>
    <row r="134389" customFormat="1" x14ac:dyDescent="0.25"/>
    <row r="134390" customFormat="1" x14ac:dyDescent="0.25"/>
    <row r="134391" customFormat="1" x14ac:dyDescent="0.25"/>
    <row r="134392" customFormat="1" x14ac:dyDescent="0.25"/>
    <row r="134393" customFormat="1" x14ac:dyDescent="0.25"/>
    <row r="134394" customFormat="1" x14ac:dyDescent="0.25"/>
    <row r="134395" customFormat="1" x14ac:dyDescent="0.25"/>
    <row r="134396" customFormat="1" x14ac:dyDescent="0.25"/>
    <row r="134397" customFormat="1" x14ac:dyDescent="0.25"/>
    <row r="134398" customFormat="1" x14ac:dyDescent="0.25"/>
    <row r="134399" customFormat="1" x14ac:dyDescent="0.25"/>
    <row r="134400" customFormat="1" x14ac:dyDescent="0.25"/>
    <row r="134401" customFormat="1" x14ac:dyDescent="0.25"/>
    <row r="134402" customFormat="1" x14ac:dyDescent="0.25"/>
    <row r="134403" customFormat="1" x14ac:dyDescent="0.25"/>
    <row r="134404" customFormat="1" x14ac:dyDescent="0.25"/>
    <row r="134405" customFormat="1" x14ac:dyDescent="0.25"/>
    <row r="134406" customFormat="1" x14ac:dyDescent="0.25"/>
    <row r="134407" customFormat="1" x14ac:dyDescent="0.25"/>
    <row r="134408" customFormat="1" x14ac:dyDescent="0.25"/>
    <row r="134409" customFormat="1" x14ac:dyDescent="0.25"/>
    <row r="134410" customFormat="1" x14ac:dyDescent="0.25"/>
    <row r="134411" customFormat="1" x14ac:dyDescent="0.25"/>
    <row r="134412" customFormat="1" x14ac:dyDescent="0.25"/>
    <row r="134413" customFormat="1" x14ac:dyDescent="0.25"/>
    <row r="134414" customFormat="1" x14ac:dyDescent="0.25"/>
    <row r="134415" customFormat="1" x14ac:dyDescent="0.25"/>
    <row r="134416" customFormat="1" x14ac:dyDescent="0.25"/>
    <row r="134417" customFormat="1" x14ac:dyDescent="0.25"/>
    <row r="134418" customFormat="1" x14ac:dyDescent="0.25"/>
    <row r="134419" customFormat="1" x14ac:dyDescent="0.25"/>
    <row r="134420" customFormat="1" x14ac:dyDescent="0.25"/>
    <row r="134421" customFormat="1" x14ac:dyDescent="0.25"/>
    <row r="134422" customFormat="1" x14ac:dyDescent="0.25"/>
    <row r="134423" customFormat="1" x14ac:dyDescent="0.25"/>
    <row r="134424" customFormat="1" x14ac:dyDescent="0.25"/>
    <row r="134425" customFormat="1" x14ac:dyDescent="0.25"/>
    <row r="134426" customFormat="1" x14ac:dyDescent="0.25"/>
    <row r="134427" customFormat="1" x14ac:dyDescent="0.25"/>
    <row r="134428" customFormat="1" x14ac:dyDescent="0.25"/>
    <row r="134429" customFormat="1" x14ac:dyDescent="0.25"/>
    <row r="134430" customFormat="1" x14ac:dyDescent="0.25"/>
    <row r="134431" customFormat="1" x14ac:dyDescent="0.25"/>
    <row r="134432" customFormat="1" x14ac:dyDescent="0.25"/>
    <row r="134433" customFormat="1" x14ac:dyDescent="0.25"/>
    <row r="134434" customFormat="1" x14ac:dyDescent="0.25"/>
    <row r="134435" customFormat="1" x14ac:dyDescent="0.25"/>
    <row r="134436" customFormat="1" x14ac:dyDescent="0.25"/>
    <row r="134437" customFormat="1" x14ac:dyDescent="0.25"/>
    <row r="134438" customFormat="1" x14ac:dyDescent="0.25"/>
    <row r="134439" customFormat="1" x14ac:dyDescent="0.25"/>
    <row r="134440" customFormat="1" x14ac:dyDescent="0.25"/>
    <row r="134441" customFormat="1" x14ac:dyDescent="0.25"/>
    <row r="134442" customFormat="1" x14ac:dyDescent="0.25"/>
    <row r="134443" customFormat="1" x14ac:dyDescent="0.25"/>
    <row r="134444" customFormat="1" x14ac:dyDescent="0.25"/>
    <row r="134445" customFormat="1" x14ac:dyDescent="0.25"/>
    <row r="134446" customFormat="1" x14ac:dyDescent="0.25"/>
    <row r="134447" customFormat="1" x14ac:dyDescent="0.25"/>
    <row r="134448" customFormat="1" x14ac:dyDescent="0.25"/>
    <row r="134449" customFormat="1" x14ac:dyDescent="0.25"/>
    <row r="134450" customFormat="1" x14ac:dyDescent="0.25"/>
    <row r="134451" customFormat="1" x14ac:dyDescent="0.25"/>
    <row r="134452" customFormat="1" x14ac:dyDescent="0.25"/>
    <row r="134453" customFormat="1" x14ac:dyDescent="0.25"/>
    <row r="134454" customFormat="1" x14ac:dyDescent="0.25"/>
    <row r="134455" customFormat="1" x14ac:dyDescent="0.25"/>
    <row r="134456" customFormat="1" x14ac:dyDescent="0.25"/>
    <row r="134457" customFormat="1" x14ac:dyDescent="0.25"/>
    <row r="134458" customFormat="1" x14ac:dyDescent="0.25"/>
    <row r="134459" customFormat="1" x14ac:dyDescent="0.25"/>
    <row r="134460" customFormat="1" x14ac:dyDescent="0.25"/>
    <row r="134461" customFormat="1" x14ac:dyDescent="0.25"/>
    <row r="134462" customFormat="1" x14ac:dyDescent="0.25"/>
    <row r="134463" customFormat="1" x14ac:dyDescent="0.25"/>
    <row r="134464" customFormat="1" x14ac:dyDescent="0.25"/>
    <row r="134465" customFormat="1" x14ac:dyDescent="0.25"/>
    <row r="134466" customFormat="1" x14ac:dyDescent="0.25"/>
    <row r="134467" customFormat="1" x14ac:dyDescent="0.25"/>
    <row r="134468" customFormat="1" x14ac:dyDescent="0.25"/>
    <row r="134469" customFormat="1" x14ac:dyDescent="0.25"/>
    <row r="134470" customFormat="1" x14ac:dyDescent="0.25"/>
    <row r="134471" customFormat="1" x14ac:dyDescent="0.25"/>
    <row r="134472" customFormat="1" x14ac:dyDescent="0.25"/>
    <row r="134473" customFormat="1" x14ac:dyDescent="0.25"/>
    <row r="134474" customFormat="1" x14ac:dyDescent="0.25"/>
    <row r="134475" customFormat="1" x14ac:dyDescent="0.25"/>
    <row r="134476" customFormat="1" x14ac:dyDescent="0.25"/>
    <row r="134477" customFormat="1" x14ac:dyDescent="0.25"/>
    <row r="134478" customFormat="1" x14ac:dyDescent="0.25"/>
    <row r="134479" customFormat="1" x14ac:dyDescent="0.25"/>
    <row r="134480" customFormat="1" x14ac:dyDescent="0.25"/>
    <row r="134481" customFormat="1" x14ac:dyDescent="0.25"/>
    <row r="134482" customFormat="1" x14ac:dyDescent="0.25"/>
    <row r="134483" customFormat="1" x14ac:dyDescent="0.25"/>
    <row r="134484" customFormat="1" x14ac:dyDescent="0.25"/>
    <row r="134485" customFormat="1" x14ac:dyDescent="0.25"/>
    <row r="134486" customFormat="1" x14ac:dyDescent="0.25"/>
    <row r="134487" customFormat="1" x14ac:dyDescent="0.25"/>
    <row r="134488" customFormat="1" x14ac:dyDescent="0.25"/>
    <row r="134489" customFormat="1" x14ac:dyDescent="0.25"/>
    <row r="134490" customFormat="1" x14ac:dyDescent="0.25"/>
    <row r="134491" customFormat="1" x14ac:dyDescent="0.25"/>
    <row r="134492" customFormat="1" x14ac:dyDescent="0.25"/>
    <row r="134493" customFormat="1" x14ac:dyDescent="0.25"/>
    <row r="134494" customFormat="1" x14ac:dyDescent="0.25"/>
    <row r="134495" customFormat="1" x14ac:dyDescent="0.25"/>
    <row r="134496" customFormat="1" x14ac:dyDescent="0.25"/>
    <row r="134497" customFormat="1" x14ac:dyDescent="0.25"/>
    <row r="134498" customFormat="1" x14ac:dyDescent="0.25"/>
    <row r="134499" customFormat="1" x14ac:dyDescent="0.25"/>
    <row r="134500" customFormat="1" x14ac:dyDescent="0.25"/>
    <row r="134501" customFormat="1" x14ac:dyDescent="0.25"/>
    <row r="134502" customFormat="1" x14ac:dyDescent="0.25"/>
    <row r="134503" customFormat="1" x14ac:dyDescent="0.25"/>
    <row r="134504" customFormat="1" x14ac:dyDescent="0.25"/>
    <row r="134505" customFormat="1" x14ac:dyDescent="0.25"/>
    <row r="134506" customFormat="1" x14ac:dyDescent="0.25"/>
    <row r="134507" customFormat="1" x14ac:dyDescent="0.25"/>
    <row r="134508" customFormat="1" x14ac:dyDescent="0.25"/>
    <row r="134509" customFormat="1" x14ac:dyDescent="0.25"/>
    <row r="134510" customFormat="1" x14ac:dyDescent="0.25"/>
    <row r="134511" customFormat="1" x14ac:dyDescent="0.25"/>
    <row r="134512" customFormat="1" x14ac:dyDescent="0.25"/>
    <row r="134513" customFormat="1" x14ac:dyDescent="0.25"/>
    <row r="134514" customFormat="1" x14ac:dyDescent="0.25"/>
    <row r="134515" customFormat="1" x14ac:dyDescent="0.25"/>
    <row r="134516" customFormat="1" x14ac:dyDescent="0.25"/>
    <row r="134517" customFormat="1" x14ac:dyDescent="0.25"/>
    <row r="134518" customFormat="1" x14ac:dyDescent="0.25"/>
    <row r="134519" customFormat="1" x14ac:dyDescent="0.25"/>
    <row r="134520" customFormat="1" x14ac:dyDescent="0.25"/>
    <row r="134521" customFormat="1" x14ac:dyDescent="0.25"/>
    <row r="134522" customFormat="1" x14ac:dyDescent="0.25"/>
    <row r="134523" customFormat="1" x14ac:dyDescent="0.25"/>
    <row r="134524" customFormat="1" x14ac:dyDescent="0.25"/>
    <row r="134525" customFormat="1" x14ac:dyDescent="0.25"/>
    <row r="134526" customFormat="1" x14ac:dyDescent="0.25"/>
    <row r="134527" customFormat="1" x14ac:dyDescent="0.25"/>
    <row r="134528" customFormat="1" x14ac:dyDescent="0.25"/>
    <row r="134529" customFormat="1" x14ac:dyDescent="0.25"/>
    <row r="134530" customFormat="1" x14ac:dyDescent="0.25"/>
    <row r="134531" customFormat="1" x14ac:dyDescent="0.25"/>
    <row r="134532" customFormat="1" x14ac:dyDescent="0.25"/>
    <row r="134533" customFormat="1" x14ac:dyDescent="0.25"/>
    <row r="134534" customFormat="1" x14ac:dyDescent="0.25"/>
    <row r="134535" customFormat="1" x14ac:dyDescent="0.25"/>
    <row r="134536" customFormat="1" x14ac:dyDescent="0.25"/>
    <row r="134537" customFormat="1" x14ac:dyDescent="0.25"/>
    <row r="134538" customFormat="1" x14ac:dyDescent="0.25"/>
    <row r="134539" customFormat="1" x14ac:dyDescent="0.25"/>
    <row r="134540" customFormat="1" x14ac:dyDescent="0.25"/>
    <row r="134541" customFormat="1" x14ac:dyDescent="0.25"/>
    <row r="134542" customFormat="1" x14ac:dyDescent="0.25"/>
    <row r="134543" customFormat="1" x14ac:dyDescent="0.25"/>
    <row r="134544" customFormat="1" x14ac:dyDescent="0.25"/>
    <row r="134545" customFormat="1" x14ac:dyDescent="0.25"/>
    <row r="134546" customFormat="1" x14ac:dyDescent="0.25"/>
    <row r="134547" customFormat="1" x14ac:dyDescent="0.25"/>
    <row r="134548" customFormat="1" x14ac:dyDescent="0.25"/>
    <row r="134549" customFormat="1" x14ac:dyDescent="0.25"/>
    <row r="134550" customFormat="1" x14ac:dyDescent="0.25"/>
    <row r="134551" customFormat="1" x14ac:dyDescent="0.25"/>
    <row r="134552" customFormat="1" x14ac:dyDescent="0.25"/>
    <row r="134553" customFormat="1" x14ac:dyDescent="0.25"/>
    <row r="134554" customFormat="1" x14ac:dyDescent="0.25"/>
    <row r="134555" customFormat="1" x14ac:dyDescent="0.25"/>
    <row r="134556" customFormat="1" x14ac:dyDescent="0.25"/>
    <row r="134557" customFormat="1" x14ac:dyDescent="0.25"/>
    <row r="134558" customFormat="1" x14ac:dyDescent="0.25"/>
    <row r="134559" customFormat="1" x14ac:dyDescent="0.25"/>
    <row r="134560" customFormat="1" x14ac:dyDescent="0.25"/>
    <row r="134561" customFormat="1" x14ac:dyDescent="0.25"/>
    <row r="134562" customFormat="1" x14ac:dyDescent="0.25"/>
    <row r="134563" customFormat="1" x14ac:dyDescent="0.25"/>
    <row r="134564" customFormat="1" x14ac:dyDescent="0.25"/>
    <row r="134565" customFormat="1" x14ac:dyDescent="0.25"/>
    <row r="134566" customFormat="1" x14ac:dyDescent="0.25"/>
    <row r="134567" customFormat="1" x14ac:dyDescent="0.25"/>
    <row r="134568" customFormat="1" x14ac:dyDescent="0.25"/>
    <row r="134569" customFormat="1" x14ac:dyDescent="0.25"/>
    <row r="134570" customFormat="1" x14ac:dyDescent="0.25"/>
    <row r="134571" customFormat="1" x14ac:dyDescent="0.25"/>
    <row r="134572" customFormat="1" x14ac:dyDescent="0.25"/>
    <row r="134573" customFormat="1" x14ac:dyDescent="0.25"/>
    <row r="134574" customFormat="1" x14ac:dyDescent="0.25"/>
    <row r="134575" customFormat="1" x14ac:dyDescent="0.25"/>
    <row r="134576" customFormat="1" x14ac:dyDescent="0.25"/>
    <row r="134577" customFormat="1" x14ac:dyDescent="0.25"/>
    <row r="134578" customFormat="1" x14ac:dyDescent="0.25"/>
    <row r="134579" customFormat="1" x14ac:dyDescent="0.25"/>
    <row r="134580" customFormat="1" x14ac:dyDescent="0.25"/>
    <row r="134581" customFormat="1" x14ac:dyDescent="0.25"/>
    <row r="134582" customFormat="1" x14ac:dyDescent="0.25"/>
    <row r="134583" customFormat="1" x14ac:dyDescent="0.25"/>
    <row r="134584" customFormat="1" x14ac:dyDescent="0.25"/>
    <row r="134585" customFormat="1" x14ac:dyDescent="0.25"/>
    <row r="134586" customFormat="1" x14ac:dyDescent="0.25"/>
    <row r="134587" customFormat="1" x14ac:dyDescent="0.25"/>
    <row r="134588" customFormat="1" x14ac:dyDescent="0.25"/>
    <row r="134589" customFormat="1" x14ac:dyDescent="0.25"/>
    <row r="134590" customFormat="1" x14ac:dyDescent="0.25"/>
    <row r="134591" customFormat="1" x14ac:dyDescent="0.25"/>
    <row r="134592" customFormat="1" x14ac:dyDescent="0.25"/>
    <row r="134593" customFormat="1" x14ac:dyDescent="0.25"/>
    <row r="134594" customFormat="1" x14ac:dyDescent="0.25"/>
    <row r="134595" customFormat="1" x14ac:dyDescent="0.25"/>
    <row r="134596" customFormat="1" x14ac:dyDescent="0.25"/>
    <row r="134597" customFormat="1" x14ac:dyDescent="0.25"/>
    <row r="134598" customFormat="1" x14ac:dyDescent="0.25"/>
    <row r="134599" customFormat="1" x14ac:dyDescent="0.25"/>
    <row r="134600" customFormat="1" x14ac:dyDescent="0.25"/>
    <row r="134601" customFormat="1" x14ac:dyDescent="0.25"/>
    <row r="134602" customFormat="1" x14ac:dyDescent="0.25"/>
    <row r="134603" customFormat="1" x14ac:dyDescent="0.25"/>
    <row r="134604" customFormat="1" x14ac:dyDescent="0.25"/>
    <row r="134605" customFormat="1" x14ac:dyDescent="0.25"/>
    <row r="134606" customFormat="1" x14ac:dyDescent="0.25"/>
    <row r="134607" customFormat="1" x14ac:dyDescent="0.25"/>
    <row r="134608" customFormat="1" x14ac:dyDescent="0.25"/>
    <row r="134609" customFormat="1" x14ac:dyDescent="0.25"/>
    <row r="134610" customFormat="1" x14ac:dyDescent="0.25"/>
    <row r="134611" customFormat="1" x14ac:dyDescent="0.25"/>
    <row r="134612" customFormat="1" x14ac:dyDescent="0.25"/>
    <row r="134613" customFormat="1" x14ac:dyDescent="0.25"/>
    <row r="134614" customFormat="1" x14ac:dyDescent="0.25"/>
    <row r="134615" customFormat="1" x14ac:dyDescent="0.25"/>
    <row r="134616" customFormat="1" x14ac:dyDescent="0.25"/>
    <row r="134617" customFormat="1" x14ac:dyDescent="0.25"/>
    <row r="134618" customFormat="1" x14ac:dyDescent="0.25"/>
    <row r="134619" customFormat="1" x14ac:dyDescent="0.25"/>
    <row r="134620" customFormat="1" x14ac:dyDescent="0.25"/>
    <row r="134621" customFormat="1" x14ac:dyDescent="0.25"/>
    <row r="134622" customFormat="1" x14ac:dyDescent="0.25"/>
    <row r="134623" customFormat="1" x14ac:dyDescent="0.25"/>
    <row r="134624" customFormat="1" x14ac:dyDescent="0.25"/>
    <row r="134625" customFormat="1" x14ac:dyDescent="0.25"/>
    <row r="134626" customFormat="1" x14ac:dyDescent="0.25"/>
    <row r="134627" customFormat="1" x14ac:dyDescent="0.25"/>
    <row r="134628" customFormat="1" x14ac:dyDescent="0.25"/>
    <row r="134629" customFormat="1" x14ac:dyDescent="0.25"/>
    <row r="134630" customFormat="1" x14ac:dyDescent="0.25"/>
    <row r="134631" customFormat="1" x14ac:dyDescent="0.25"/>
    <row r="134632" customFormat="1" x14ac:dyDescent="0.25"/>
    <row r="134633" customFormat="1" x14ac:dyDescent="0.25"/>
    <row r="134634" customFormat="1" x14ac:dyDescent="0.25"/>
    <row r="134635" customFormat="1" x14ac:dyDescent="0.25"/>
    <row r="134636" customFormat="1" x14ac:dyDescent="0.25"/>
    <row r="134637" customFormat="1" x14ac:dyDescent="0.25"/>
    <row r="134638" customFormat="1" x14ac:dyDescent="0.25"/>
    <row r="134639" customFormat="1" x14ac:dyDescent="0.25"/>
    <row r="134640" customFormat="1" x14ac:dyDescent="0.25"/>
    <row r="134641" customFormat="1" x14ac:dyDescent="0.25"/>
    <row r="134642" customFormat="1" x14ac:dyDescent="0.25"/>
    <row r="134643" customFormat="1" x14ac:dyDescent="0.25"/>
    <row r="134644" customFormat="1" x14ac:dyDescent="0.25"/>
    <row r="134645" customFormat="1" x14ac:dyDescent="0.25"/>
    <row r="134646" customFormat="1" x14ac:dyDescent="0.25"/>
    <row r="134647" customFormat="1" x14ac:dyDescent="0.25"/>
    <row r="134648" customFormat="1" x14ac:dyDescent="0.25"/>
    <row r="134649" customFormat="1" x14ac:dyDescent="0.25"/>
    <row r="134650" customFormat="1" x14ac:dyDescent="0.25"/>
    <row r="134651" customFormat="1" x14ac:dyDescent="0.25"/>
    <row r="134652" customFormat="1" x14ac:dyDescent="0.25"/>
    <row r="134653" customFormat="1" x14ac:dyDescent="0.25"/>
    <row r="134654" customFormat="1" x14ac:dyDescent="0.25"/>
    <row r="134655" customFormat="1" x14ac:dyDescent="0.25"/>
    <row r="134656" customFormat="1" x14ac:dyDescent="0.25"/>
    <row r="134657" customFormat="1" x14ac:dyDescent="0.25"/>
    <row r="134658" customFormat="1" x14ac:dyDescent="0.25"/>
    <row r="134659" customFormat="1" x14ac:dyDescent="0.25"/>
    <row r="134660" customFormat="1" x14ac:dyDescent="0.25"/>
    <row r="134661" customFormat="1" x14ac:dyDescent="0.25"/>
    <row r="134662" customFormat="1" x14ac:dyDescent="0.25"/>
    <row r="134663" customFormat="1" x14ac:dyDescent="0.25"/>
    <row r="134664" customFormat="1" x14ac:dyDescent="0.25"/>
    <row r="134665" customFormat="1" x14ac:dyDescent="0.25"/>
    <row r="134666" customFormat="1" x14ac:dyDescent="0.25"/>
    <row r="134667" customFormat="1" x14ac:dyDescent="0.25"/>
    <row r="134668" customFormat="1" x14ac:dyDescent="0.25"/>
    <row r="134669" customFormat="1" x14ac:dyDescent="0.25"/>
    <row r="134670" customFormat="1" x14ac:dyDescent="0.25"/>
    <row r="134671" customFormat="1" x14ac:dyDescent="0.25"/>
    <row r="134672" customFormat="1" x14ac:dyDescent="0.25"/>
    <row r="134673" customFormat="1" x14ac:dyDescent="0.25"/>
    <row r="134674" customFormat="1" x14ac:dyDescent="0.25"/>
    <row r="134675" customFormat="1" x14ac:dyDescent="0.25"/>
    <row r="134676" customFormat="1" x14ac:dyDescent="0.25"/>
    <row r="134677" customFormat="1" x14ac:dyDescent="0.25"/>
    <row r="134678" customFormat="1" x14ac:dyDescent="0.25"/>
    <row r="134679" customFormat="1" x14ac:dyDescent="0.25"/>
    <row r="134680" customFormat="1" x14ac:dyDescent="0.25"/>
    <row r="134681" customFormat="1" x14ac:dyDescent="0.25"/>
    <row r="134682" customFormat="1" x14ac:dyDescent="0.25"/>
    <row r="134683" customFormat="1" x14ac:dyDescent="0.25"/>
    <row r="134684" customFormat="1" x14ac:dyDescent="0.25"/>
    <row r="134685" customFormat="1" x14ac:dyDescent="0.25"/>
    <row r="134686" customFormat="1" x14ac:dyDescent="0.25"/>
    <row r="134687" customFormat="1" x14ac:dyDescent="0.25"/>
    <row r="134688" customFormat="1" x14ac:dyDescent="0.25"/>
    <row r="134689" customFormat="1" x14ac:dyDescent="0.25"/>
    <row r="134690" customFormat="1" x14ac:dyDescent="0.25"/>
    <row r="134691" customFormat="1" x14ac:dyDescent="0.25"/>
    <row r="134692" customFormat="1" x14ac:dyDescent="0.25"/>
    <row r="134693" customFormat="1" x14ac:dyDescent="0.25"/>
    <row r="134694" customFormat="1" x14ac:dyDescent="0.25"/>
    <row r="134695" customFormat="1" x14ac:dyDescent="0.25"/>
    <row r="134696" customFormat="1" x14ac:dyDescent="0.25"/>
    <row r="134697" customFormat="1" x14ac:dyDescent="0.25"/>
    <row r="134698" customFormat="1" x14ac:dyDescent="0.25"/>
    <row r="134699" customFormat="1" x14ac:dyDescent="0.25"/>
    <row r="134700" customFormat="1" x14ac:dyDescent="0.25"/>
    <row r="134701" customFormat="1" x14ac:dyDescent="0.25"/>
    <row r="134702" customFormat="1" x14ac:dyDescent="0.25"/>
    <row r="134703" customFormat="1" x14ac:dyDescent="0.25"/>
    <row r="134704" customFormat="1" x14ac:dyDescent="0.25"/>
    <row r="134705" customFormat="1" x14ac:dyDescent="0.25"/>
    <row r="134706" customFormat="1" x14ac:dyDescent="0.25"/>
    <row r="134707" customFormat="1" x14ac:dyDescent="0.25"/>
    <row r="134708" customFormat="1" x14ac:dyDescent="0.25"/>
    <row r="134709" customFormat="1" x14ac:dyDescent="0.25"/>
    <row r="134710" customFormat="1" x14ac:dyDescent="0.25"/>
    <row r="134711" customFormat="1" x14ac:dyDescent="0.25"/>
    <row r="134712" customFormat="1" x14ac:dyDescent="0.25"/>
    <row r="134713" customFormat="1" x14ac:dyDescent="0.25"/>
    <row r="134714" customFormat="1" x14ac:dyDescent="0.25"/>
    <row r="134715" customFormat="1" x14ac:dyDescent="0.25"/>
    <row r="134716" customFormat="1" x14ac:dyDescent="0.25"/>
    <row r="134717" customFormat="1" x14ac:dyDescent="0.25"/>
    <row r="134718" customFormat="1" x14ac:dyDescent="0.25"/>
    <row r="134719" customFormat="1" x14ac:dyDescent="0.25"/>
    <row r="134720" customFormat="1" x14ac:dyDescent="0.25"/>
    <row r="134721" customFormat="1" x14ac:dyDescent="0.25"/>
    <row r="134722" customFormat="1" x14ac:dyDescent="0.25"/>
    <row r="134723" customFormat="1" x14ac:dyDescent="0.25"/>
    <row r="134724" customFormat="1" x14ac:dyDescent="0.25"/>
    <row r="134725" customFormat="1" x14ac:dyDescent="0.25"/>
    <row r="134726" customFormat="1" x14ac:dyDescent="0.25"/>
    <row r="134727" customFormat="1" x14ac:dyDescent="0.25"/>
    <row r="134728" customFormat="1" x14ac:dyDescent="0.25"/>
    <row r="134729" customFormat="1" x14ac:dyDescent="0.25"/>
    <row r="134730" customFormat="1" x14ac:dyDescent="0.25"/>
    <row r="134731" customFormat="1" x14ac:dyDescent="0.25"/>
    <row r="134732" customFormat="1" x14ac:dyDescent="0.25"/>
    <row r="134733" customFormat="1" x14ac:dyDescent="0.25"/>
    <row r="134734" customFormat="1" x14ac:dyDescent="0.25"/>
    <row r="134735" customFormat="1" x14ac:dyDescent="0.25"/>
    <row r="134736" customFormat="1" x14ac:dyDescent="0.25"/>
    <row r="134737" customFormat="1" x14ac:dyDescent="0.25"/>
    <row r="134738" customFormat="1" x14ac:dyDescent="0.25"/>
    <row r="134739" customFormat="1" x14ac:dyDescent="0.25"/>
    <row r="134740" customFormat="1" x14ac:dyDescent="0.25"/>
    <row r="134741" customFormat="1" x14ac:dyDescent="0.25"/>
    <row r="134742" customFormat="1" x14ac:dyDescent="0.25"/>
    <row r="134743" customFormat="1" x14ac:dyDescent="0.25"/>
    <row r="134744" customFormat="1" x14ac:dyDescent="0.25"/>
    <row r="134745" customFormat="1" x14ac:dyDescent="0.25"/>
    <row r="134746" customFormat="1" x14ac:dyDescent="0.25"/>
    <row r="134747" customFormat="1" x14ac:dyDescent="0.25"/>
    <row r="134748" customFormat="1" x14ac:dyDescent="0.25"/>
    <row r="134749" customFormat="1" x14ac:dyDescent="0.25"/>
    <row r="134750" customFormat="1" x14ac:dyDescent="0.25"/>
    <row r="134751" customFormat="1" x14ac:dyDescent="0.25"/>
    <row r="134752" customFormat="1" x14ac:dyDescent="0.25"/>
    <row r="134753" customFormat="1" x14ac:dyDescent="0.25"/>
    <row r="134754" customFormat="1" x14ac:dyDescent="0.25"/>
    <row r="134755" customFormat="1" x14ac:dyDescent="0.25"/>
    <row r="134756" customFormat="1" x14ac:dyDescent="0.25"/>
    <row r="134757" customFormat="1" x14ac:dyDescent="0.25"/>
    <row r="134758" customFormat="1" x14ac:dyDescent="0.25"/>
    <row r="134759" customFormat="1" x14ac:dyDescent="0.25"/>
    <row r="134760" customFormat="1" x14ac:dyDescent="0.25"/>
    <row r="134761" customFormat="1" x14ac:dyDescent="0.25"/>
    <row r="134762" customFormat="1" x14ac:dyDescent="0.25"/>
    <row r="134763" customFormat="1" x14ac:dyDescent="0.25"/>
    <row r="134764" customFormat="1" x14ac:dyDescent="0.25"/>
    <row r="134765" customFormat="1" x14ac:dyDescent="0.25"/>
    <row r="134766" customFormat="1" x14ac:dyDescent="0.25"/>
    <row r="134767" customFormat="1" x14ac:dyDescent="0.25"/>
    <row r="134768" customFormat="1" x14ac:dyDescent="0.25"/>
    <row r="134769" customFormat="1" x14ac:dyDescent="0.25"/>
    <row r="134770" customFormat="1" x14ac:dyDescent="0.25"/>
    <row r="134771" customFormat="1" x14ac:dyDescent="0.25"/>
    <row r="134772" customFormat="1" x14ac:dyDescent="0.25"/>
    <row r="134773" customFormat="1" x14ac:dyDescent="0.25"/>
    <row r="134774" customFormat="1" x14ac:dyDescent="0.25"/>
    <row r="134775" customFormat="1" x14ac:dyDescent="0.25"/>
    <row r="134776" customFormat="1" x14ac:dyDescent="0.25"/>
    <row r="134777" customFormat="1" x14ac:dyDescent="0.25"/>
    <row r="134778" customFormat="1" x14ac:dyDescent="0.25"/>
    <row r="134779" customFormat="1" x14ac:dyDescent="0.25"/>
    <row r="134780" customFormat="1" x14ac:dyDescent="0.25"/>
    <row r="134781" customFormat="1" x14ac:dyDescent="0.25"/>
    <row r="134782" customFormat="1" x14ac:dyDescent="0.25"/>
    <row r="134783" customFormat="1" x14ac:dyDescent="0.25"/>
    <row r="134784" customFormat="1" x14ac:dyDescent="0.25"/>
    <row r="134785" customFormat="1" x14ac:dyDescent="0.25"/>
    <row r="134786" customFormat="1" x14ac:dyDescent="0.25"/>
    <row r="134787" customFormat="1" x14ac:dyDescent="0.25"/>
    <row r="134788" customFormat="1" x14ac:dyDescent="0.25"/>
    <row r="134789" customFormat="1" x14ac:dyDescent="0.25"/>
    <row r="134790" customFormat="1" x14ac:dyDescent="0.25"/>
    <row r="134791" customFormat="1" x14ac:dyDescent="0.25"/>
    <row r="134792" customFormat="1" x14ac:dyDescent="0.25"/>
    <row r="134793" customFormat="1" x14ac:dyDescent="0.25"/>
    <row r="134794" customFormat="1" x14ac:dyDescent="0.25"/>
    <row r="134795" customFormat="1" x14ac:dyDescent="0.25"/>
    <row r="134796" customFormat="1" x14ac:dyDescent="0.25"/>
    <row r="134797" customFormat="1" x14ac:dyDescent="0.25"/>
    <row r="134798" customFormat="1" x14ac:dyDescent="0.25"/>
    <row r="134799" customFormat="1" x14ac:dyDescent="0.25"/>
    <row r="134800" customFormat="1" x14ac:dyDescent="0.25"/>
    <row r="134801" customFormat="1" x14ac:dyDescent="0.25"/>
    <row r="134802" customFormat="1" x14ac:dyDescent="0.25"/>
    <row r="134803" customFormat="1" x14ac:dyDescent="0.25"/>
    <row r="134804" customFormat="1" x14ac:dyDescent="0.25"/>
    <row r="134805" customFormat="1" x14ac:dyDescent="0.25"/>
    <row r="134806" customFormat="1" x14ac:dyDescent="0.25"/>
    <row r="134807" customFormat="1" x14ac:dyDescent="0.25"/>
    <row r="134808" customFormat="1" x14ac:dyDescent="0.25"/>
    <row r="134809" customFormat="1" x14ac:dyDescent="0.25"/>
    <row r="134810" customFormat="1" x14ac:dyDescent="0.25"/>
    <row r="134811" customFormat="1" x14ac:dyDescent="0.25"/>
    <row r="134812" customFormat="1" x14ac:dyDescent="0.25"/>
    <row r="134813" customFormat="1" x14ac:dyDescent="0.25"/>
    <row r="134814" customFormat="1" x14ac:dyDescent="0.25"/>
    <row r="134815" customFormat="1" x14ac:dyDescent="0.25"/>
    <row r="134816" customFormat="1" x14ac:dyDescent="0.25"/>
    <row r="134817" customFormat="1" x14ac:dyDescent="0.25"/>
    <row r="134818" customFormat="1" x14ac:dyDescent="0.25"/>
    <row r="134819" customFormat="1" x14ac:dyDescent="0.25"/>
    <row r="134820" customFormat="1" x14ac:dyDescent="0.25"/>
    <row r="134821" customFormat="1" x14ac:dyDescent="0.25"/>
    <row r="134822" customFormat="1" x14ac:dyDescent="0.25"/>
    <row r="134823" customFormat="1" x14ac:dyDescent="0.25"/>
    <row r="134824" customFormat="1" x14ac:dyDescent="0.25"/>
    <row r="134825" customFormat="1" x14ac:dyDescent="0.25"/>
    <row r="134826" customFormat="1" x14ac:dyDescent="0.25"/>
    <row r="134827" customFormat="1" x14ac:dyDescent="0.25"/>
    <row r="134828" customFormat="1" x14ac:dyDescent="0.25"/>
    <row r="134829" customFormat="1" x14ac:dyDescent="0.25"/>
    <row r="134830" customFormat="1" x14ac:dyDescent="0.25"/>
    <row r="134831" customFormat="1" x14ac:dyDescent="0.25"/>
    <row r="134832" customFormat="1" x14ac:dyDescent="0.25"/>
    <row r="134833" customFormat="1" x14ac:dyDescent="0.25"/>
    <row r="134834" customFormat="1" x14ac:dyDescent="0.25"/>
    <row r="134835" customFormat="1" x14ac:dyDescent="0.25"/>
    <row r="134836" customFormat="1" x14ac:dyDescent="0.25"/>
    <row r="134837" customFormat="1" x14ac:dyDescent="0.25"/>
    <row r="134838" customFormat="1" x14ac:dyDescent="0.25"/>
    <row r="134839" customFormat="1" x14ac:dyDescent="0.25"/>
    <row r="134840" customFormat="1" x14ac:dyDescent="0.25"/>
    <row r="134841" customFormat="1" x14ac:dyDescent="0.25"/>
    <row r="134842" customFormat="1" x14ac:dyDescent="0.25"/>
    <row r="134843" customFormat="1" x14ac:dyDescent="0.25"/>
    <row r="134844" customFormat="1" x14ac:dyDescent="0.25"/>
    <row r="134845" customFormat="1" x14ac:dyDescent="0.25"/>
    <row r="134846" customFormat="1" x14ac:dyDescent="0.25"/>
    <row r="134847" customFormat="1" x14ac:dyDescent="0.25"/>
    <row r="134848" customFormat="1" x14ac:dyDescent="0.25"/>
    <row r="134849" customFormat="1" x14ac:dyDescent="0.25"/>
    <row r="134850" customFormat="1" x14ac:dyDescent="0.25"/>
    <row r="134851" customFormat="1" x14ac:dyDescent="0.25"/>
    <row r="134852" customFormat="1" x14ac:dyDescent="0.25"/>
    <row r="134853" customFormat="1" x14ac:dyDescent="0.25"/>
    <row r="134854" customFormat="1" x14ac:dyDescent="0.25"/>
    <row r="134855" customFormat="1" x14ac:dyDescent="0.25"/>
    <row r="134856" customFormat="1" x14ac:dyDescent="0.25"/>
    <row r="134857" customFormat="1" x14ac:dyDescent="0.25"/>
    <row r="134858" customFormat="1" x14ac:dyDescent="0.25"/>
    <row r="134859" customFormat="1" x14ac:dyDescent="0.25"/>
    <row r="134860" customFormat="1" x14ac:dyDescent="0.25"/>
    <row r="134861" customFormat="1" x14ac:dyDescent="0.25"/>
    <row r="134862" customFormat="1" x14ac:dyDescent="0.25"/>
    <row r="134863" customFormat="1" x14ac:dyDescent="0.25"/>
    <row r="134864" customFormat="1" x14ac:dyDescent="0.25"/>
    <row r="134865" customFormat="1" x14ac:dyDescent="0.25"/>
    <row r="134866" customFormat="1" x14ac:dyDescent="0.25"/>
    <row r="134867" customFormat="1" x14ac:dyDescent="0.25"/>
    <row r="134868" customFormat="1" x14ac:dyDescent="0.25"/>
    <row r="134869" customFormat="1" x14ac:dyDescent="0.25"/>
    <row r="134870" customFormat="1" x14ac:dyDescent="0.25"/>
    <row r="134871" customFormat="1" x14ac:dyDescent="0.25"/>
    <row r="134872" customFormat="1" x14ac:dyDescent="0.25"/>
    <row r="134873" customFormat="1" x14ac:dyDescent="0.25"/>
    <row r="134874" customFormat="1" x14ac:dyDescent="0.25"/>
    <row r="134875" customFormat="1" x14ac:dyDescent="0.25"/>
    <row r="134876" customFormat="1" x14ac:dyDescent="0.25"/>
    <row r="134877" customFormat="1" x14ac:dyDescent="0.25"/>
    <row r="134878" customFormat="1" x14ac:dyDescent="0.25"/>
    <row r="134879" customFormat="1" x14ac:dyDescent="0.25"/>
    <row r="134880" customFormat="1" x14ac:dyDescent="0.25"/>
    <row r="134881" customFormat="1" x14ac:dyDescent="0.25"/>
    <row r="134882" customFormat="1" x14ac:dyDescent="0.25"/>
    <row r="134883" customFormat="1" x14ac:dyDescent="0.25"/>
    <row r="134884" customFormat="1" x14ac:dyDescent="0.25"/>
    <row r="134885" customFormat="1" x14ac:dyDescent="0.25"/>
    <row r="134886" customFormat="1" x14ac:dyDescent="0.25"/>
    <row r="134887" customFormat="1" x14ac:dyDescent="0.25"/>
    <row r="134888" customFormat="1" x14ac:dyDescent="0.25"/>
    <row r="134889" customFormat="1" x14ac:dyDescent="0.25"/>
    <row r="134890" customFormat="1" x14ac:dyDescent="0.25"/>
    <row r="134891" customFormat="1" x14ac:dyDescent="0.25"/>
    <row r="134892" customFormat="1" x14ac:dyDescent="0.25"/>
    <row r="134893" customFormat="1" x14ac:dyDescent="0.25"/>
    <row r="134894" customFormat="1" x14ac:dyDescent="0.25"/>
    <row r="134895" customFormat="1" x14ac:dyDescent="0.25"/>
    <row r="134896" customFormat="1" x14ac:dyDescent="0.25"/>
    <row r="134897" customFormat="1" x14ac:dyDescent="0.25"/>
    <row r="134898" customFormat="1" x14ac:dyDescent="0.25"/>
    <row r="134899" customFormat="1" x14ac:dyDescent="0.25"/>
    <row r="134900" customFormat="1" x14ac:dyDescent="0.25"/>
    <row r="134901" customFormat="1" x14ac:dyDescent="0.25"/>
    <row r="134902" customFormat="1" x14ac:dyDescent="0.25"/>
    <row r="134903" customFormat="1" x14ac:dyDescent="0.25"/>
    <row r="134904" customFormat="1" x14ac:dyDescent="0.25"/>
    <row r="134905" customFormat="1" x14ac:dyDescent="0.25"/>
    <row r="134906" customFormat="1" x14ac:dyDescent="0.25"/>
    <row r="134907" customFormat="1" x14ac:dyDescent="0.25"/>
    <row r="134908" customFormat="1" x14ac:dyDescent="0.25"/>
    <row r="134909" customFormat="1" x14ac:dyDescent="0.25"/>
    <row r="134910" customFormat="1" x14ac:dyDescent="0.25"/>
    <row r="134911" customFormat="1" x14ac:dyDescent="0.25"/>
    <row r="134912" customFormat="1" x14ac:dyDescent="0.25"/>
    <row r="134913" customFormat="1" x14ac:dyDescent="0.25"/>
    <row r="134914" customFormat="1" x14ac:dyDescent="0.25"/>
    <row r="134915" customFormat="1" x14ac:dyDescent="0.25"/>
    <row r="134916" customFormat="1" x14ac:dyDescent="0.25"/>
    <row r="134917" customFormat="1" x14ac:dyDescent="0.25"/>
    <row r="134918" customFormat="1" x14ac:dyDescent="0.25"/>
    <row r="134919" customFormat="1" x14ac:dyDescent="0.25"/>
    <row r="134920" customFormat="1" x14ac:dyDescent="0.25"/>
    <row r="134921" customFormat="1" x14ac:dyDescent="0.25"/>
    <row r="134922" customFormat="1" x14ac:dyDescent="0.25"/>
    <row r="134923" customFormat="1" x14ac:dyDescent="0.25"/>
    <row r="134924" customFormat="1" x14ac:dyDescent="0.25"/>
    <row r="134925" customFormat="1" x14ac:dyDescent="0.25"/>
    <row r="134926" customFormat="1" x14ac:dyDescent="0.25"/>
    <row r="134927" customFormat="1" x14ac:dyDescent="0.25"/>
    <row r="134928" customFormat="1" x14ac:dyDescent="0.25"/>
    <row r="134929" customFormat="1" x14ac:dyDescent="0.25"/>
    <row r="134930" customFormat="1" x14ac:dyDescent="0.25"/>
    <row r="134931" customFormat="1" x14ac:dyDescent="0.25"/>
    <row r="134932" customFormat="1" x14ac:dyDescent="0.25"/>
    <row r="134933" customFormat="1" x14ac:dyDescent="0.25"/>
    <row r="134934" customFormat="1" x14ac:dyDescent="0.25"/>
    <row r="134935" customFormat="1" x14ac:dyDescent="0.25"/>
    <row r="134936" customFormat="1" x14ac:dyDescent="0.25"/>
    <row r="134937" customFormat="1" x14ac:dyDescent="0.25"/>
    <row r="134938" customFormat="1" x14ac:dyDescent="0.25"/>
    <row r="134939" customFormat="1" x14ac:dyDescent="0.25"/>
    <row r="134940" customFormat="1" x14ac:dyDescent="0.25"/>
    <row r="134941" customFormat="1" x14ac:dyDescent="0.25"/>
    <row r="134942" customFormat="1" x14ac:dyDescent="0.25"/>
    <row r="134943" customFormat="1" x14ac:dyDescent="0.25"/>
    <row r="134944" customFormat="1" x14ac:dyDescent="0.25"/>
    <row r="134945" customFormat="1" x14ac:dyDescent="0.25"/>
    <row r="134946" customFormat="1" x14ac:dyDescent="0.25"/>
    <row r="134947" customFormat="1" x14ac:dyDescent="0.25"/>
    <row r="134948" customFormat="1" x14ac:dyDescent="0.25"/>
    <row r="134949" customFormat="1" x14ac:dyDescent="0.25"/>
    <row r="134950" customFormat="1" x14ac:dyDescent="0.25"/>
    <row r="134951" customFormat="1" x14ac:dyDescent="0.25"/>
    <row r="134952" customFormat="1" x14ac:dyDescent="0.25"/>
    <row r="134953" customFormat="1" x14ac:dyDescent="0.25"/>
    <row r="134954" customFormat="1" x14ac:dyDescent="0.25"/>
    <row r="134955" customFormat="1" x14ac:dyDescent="0.25"/>
    <row r="134956" customFormat="1" x14ac:dyDescent="0.25"/>
    <row r="134957" customFormat="1" x14ac:dyDescent="0.25"/>
    <row r="134958" customFormat="1" x14ac:dyDescent="0.25"/>
    <row r="134959" customFormat="1" x14ac:dyDescent="0.25"/>
    <row r="134960" customFormat="1" x14ac:dyDescent="0.25"/>
    <row r="134961" customFormat="1" x14ac:dyDescent="0.25"/>
    <row r="134962" customFormat="1" x14ac:dyDescent="0.25"/>
    <row r="134963" customFormat="1" x14ac:dyDescent="0.25"/>
    <row r="134964" customFormat="1" x14ac:dyDescent="0.25"/>
    <row r="134965" customFormat="1" x14ac:dyDescent="0.25"/>
    <row r="134966" customFormat="1" x14ac:dyDescent="0.25"/>
    <row r="134967" customFormat="1" x14ac:dyDescent="0.25"/>
    <row r="134968" customFormat="1" x14ac:dyDescent="0.25"/>
    <row r="134969" customFormat="1" x14ac:dyDescent="0.25"/>
    <row r="134970" customFormat="1" x14ac:dyDescent="0.25"/>
    <row r="134971" customFormat="1" x14ac:dyDescent="0.25"/>
    <row r="134972" customFormat="1" x14ac:dyDescent="0.25"/>
    <row r="134973" customFormat="1" x14ac:dyDescent="0.25"/>
    <row r="134974" customFormat="1" x14ac:dyDescent="0.25"/>
    <row r="134975" customFormat="1" x14ac:dyDescent="0.25"/>
    <row r="134976" customFormat="1" x14ac:dyDescent="0.25"/>
    <row r="134977" customFormat="1" x14ac:dyDescent="0.25"/>
    <row r="134978" customFormat="1" x14ac:dyDescent="0.25"/>
    <row r="134979" customFormat="1" x14ac:dyDescent="0.25"/>
    <row r="134980" customFormat="1" x14ac:dyDescent="0.25"/>
    <row r="134981" customFormat="1" x14ac:dyDescent="0.25"/>
    <row r="134982" customFormat="1" x14ac:dyDescent="0.25"/>
    <row r="134983" customFormat="1" x14ac:dyDescent="0.25"/>
    <row r="134984" customFormat="1" x14ac:dyDescent="0.25"/>
    <row r="134985" customFormat="1" x14ac:dyDescent="0.25"/>
    <row r="134986" customFormat="1" x14ac:dyDescent="0.25"/>
    <row r="134987" customFormat="1" x14ac:dyDescent="0.25"/>
    <row r="134988" customFormat="1" x14ac:dyDescent="0.25"/>
    <row r="134989" customFormat="1" x14ac:dyDescent="0.25"/>
    <row r="134990" customFormat="1" x14ac:dyDescent="0.25"/>
    <row r="134991" customFormat="1" x14ac:dyDescent="0.25"/>
    <row r="134992" customFormat="1" x14ac:dyDescent="0.25"/>
    <row r="134993" customFormat="1" x14ac:dyDescent="0.25"/>
    <row r="134994" customFormat="1" x14ac:dyDescent="0.25"/>
    <row r="134995" customFormat="1" x14ac:dyDescent="0.25"/>
    <row r="134996" customFormat="1" x14ac:dyDescent="0.25"/>
    <row r="134997" customFormat="1" x14ac:dyDescent="0.25"/>
    <row r="134998" customFormat="1" x14ac:dyDescent="0.25"/>
    <row r="134999" customFormat="1" x14ac:dyDescent="0.25"/>
    <row r="135000" customFormat="1" x14ac:dyDescent="0.25"/>
    <row r="135001" customFormat="1" x14ac:dyDescent="0.25"/>
    <row r="135002" customFormat="1" x14ac:dyDescent="0.25"/>
    <row r="135003" customFormat="1" x14ac:dyDescent="0.25"/>
    <row r="135004" customFormat="1" x14ac:dyDescent="0.25"/>
    <row r="135005" customFormat="1" x14ac:dyDescent="0.25"/>
    <row r="135006" customFormat="1" x14ac:dyDescent="0.25"/>
    <row r="135007" customFormat="1" x14ac:dyDescent="0.25"/>
    <row r="135008" customFormat="1" x14ac:dyDescent="0.25"/>
    <row r="135009" customFormat="1" x14ac:dyDescent="0.25"/>
    <row r="135010" customFormat="1" x14ac:dyDescent="0.25"/>
    <row r="135011" customFormat="1" x14ac:dyDescent="0.25"/>
    <row r="135012" customFormat="1" x14ac:dyDescent="0.25"/>
    <row r="135013" customFormat="1" x14ac:dyDescent="0.25"/>
    <row r="135014" customFormat="1" x14ac:dyDescent="0.25"/>
    <row r="135015" customFormat="1" x14ac:dyDescent="0.25"/>
    <row r="135016" customFormat="1" x14ac:dyDescent="0.25"/>
    <row r="135017" customFormat="1" x14ac:dyDescent="0.25"/>
    <row r="135018" customFormat="1" x14ac:dyDescent="0.25"/>
    <row r="135019" customFormat="1" x14ac:dyDescent="0.25"/>
    <row r="135020" customFormat="1" x14ac:dyDescent="0.25"/>
    <row r="135021" customFormat="1" x14ac:dyDescent="0.25"/>
    <row r="135022" customFormat="1" x14ac:dyDescent="0.25"/>
    <row r="135023" customFormat="1" x14ac:dyDescent="0.25"/>
    <row r="135024" customFormat="1" x14ac:dyDescent="0.25"/>
    <row r="135025" customFormat="1" x14ac:dyDescent="0.25"/>
    <row r="135026" customFormat="1" x14ac:dyDescent="0.25"/>
    <row r="135027" customFormat="1" x14ac:dyDescent="0.25"/>
    <row r="135028" customFormat="1" x14ac:dyDescent="0.25"/>
    <row r="135029" customFormat="1" x14ac:dyDescent="0.25"/>
    <row r="135030" customFormat="1" x14ac:dyDescent="0.25"/>
    <row r="135031" customFormat="1" x14ac:dyDescent="0.25"/>
    <row r="135032" customFormat="1" x14ac:dyDescent="0.25"/>
    <row r="135033" customFormat="1" x14ac:dyDescent="0.25"/>
    <row r="135034" customFormat="1" x14ac:dyDescent="0.25"/>
    <row r="135035" customFormat="1" x14ac:dyDescent="0.25"/>
    <row r="135036" customFormat="1" x14ac:dyDescent="0.25"/>
    <row r="135037" customFormat="1" x14ac:dyDescent="0.25"/>
    <row r="135038" customFormat="1" x14ac:dyDescent="0.25"/>
    <row r="135039" customFormat="1" x14ac:dyDescent="0.25"/>
    <row r="135040" customFormat="1" x14ac:dyDescent="0.25"/>
    <row r="135041" customFormat="1" x14ac:dyDescent="0.25"/>
    <row r="135042" customFormat="1" x14ac:dyDescent="0.25"/>
    <row r="135043" customFormat="1" x14ac:dyDescent="0.25"/>
    <row r="135044" customFormat="1" x14ac:dyDescent="0.25"/>
    <row r="135045" customFormat="1" x14ac:dyDescent="0.25"/>
    <row r="135046" customFormat="1" x14ac:dyDescent="0.25"/>
    <row r="135047" customFormat="1" x14ac:dyDescent="0.25"/>
    <row r="135048" customFormat="1" x14ac:dyDescent="0.25"/>
    <row r="135049" customFormat="1" x14ac:dyDescent="0.25"/>
    <row r="135050" customFormat="1" x14ac:dyDescent="0.25"/>
    <row r="135051" customFormat="1" x14ac:dyDescent="0.25"/>
    <row r="135052" customFormat="1" x14ac:dyDescent="0.25"/>
    <row r="135053" customFormat="1" x14ac:dyDescent="0.25"/>
    <row r="135054" customFormat="1" x14ac:dyDescent="0.25"/>
    <row r="135055" customFormat="1" x14ac:dyDescent="0.25"/>
    <row r="135056" customFormat="1" x14ac:dyDescent="0.25"/>
    <row r="135057" customFormat="1" x14ac:dyDescent="0.25"/>
    <row r="135058" customFormat="1" x14ac:dyDescent="0.25"/>
    <row r="135059" customFormat="1" x14ac:dyDescent="0.25"/>
    <row r="135060" customFormat="1" x14ac:dyDescent="0.25"/>
    <row r="135061" customFormat="1" x14ac:dyDescent="0.25"/>
    <row r="135062" customFormat="1" x14ac:dyDescent="0.25"/>
    <row r="135063" customFormat="1" x14ac:dyDescent="0.25"/>
    <row r="135064" customFormat="1" x14ac:dyDescent="0.25"/>
    <row r="135065" customFormat="1" x14ac:dyDescent="0.25"/>
    <row r="135066" customFormat="1" x14ac:dyDescent="0.25"/>
    <row r="135067" customFormat="1" x14ac:dyDescent="0.25"/>
    <row r="135068" customFormat="1" x14ac:dyDescent="0.25"/>
    <row r="135069" customFormat="1" x14ac:dyDescent="0.25"/>
    <row r="135070" customFormat="1" x14ac:dyDescent="0.25"/>
    <row r="135071" customFormat="1" x14ac:dyDescent="0.25"/>
    <row r="135072" customFormat="1" x14ac:dyDescent="0.25"/>
    <row r="135073" customFormat="1" x14ac:dyDescent="0.25"/>
    <row r="135074" customFormat="1" x14ac:dyDescent="0.25"/>
    <row r="135075" customFormat="1" x14ac:dyDescent="0.25"/>
    <row r="135076" customFormat="1" x14ac:dyDescent="0.25"/>
    <row r="135077" customFormat="1" x14ac:dyDescent="0.25"/>
    <row r="135078" customFormat="1" x14ac:dyDescent="0.25"/>
    <row r="135079" customFormat="1" x14ac:dyDescent="0.25"/>
    <row r="135080" customFormat="1" x14ac:dyDescent="0.25"/>
    <row r="135081" customFormat="1" x14ac:dyDescent="0.25"/>
    <row r="135082" customFormat="1" x14ac:dyDescent="0.25"/>
    <row r="135083" customFormat="1" x14ac:dyDescent="0.25"/>
    <row r="135084" customFormat="1" x14ac:dyDescent="0.25"/>
    <row r="135085" customFormat="1" x14ac:dyDescent="0.25"/>
    <row r="135086" customFormat="1" x14ac:dyDescent="0.25"/>
    <row r="135087" customFormat="1" x14ac:dyDescent="0.25"/>
    <row r="135088" customFormat="1" x14ac:dyDescent="0.25"/>
    <row r="135089" customFormat="1" x14ac:dyDescent="0.25"/>
    <row r="135090" customFormat="1" x14ac:dyDescent="0.25"/>
    <row r="135091" customFormat="1" x14ac:dyDescent="0.25"/>
    <row r="135092" customFormat="1" x14ac:dyDescent="0.25"/>
    <row r="135093" customFormat="1" x14ac:dyDescent="0.25"/>
    <row r="135094" customFormat="1" x14ac:dyDescent="0.25"/>
    <row r="135095" customFormat="1" x14ac:dyDescent="0.25"/>
    <row r="135096" customFormat="1" x14ac:dyDescent="0.25"/>
    <row r="135097" customFormat="1" x14ac:dyDescent="0.25"/>
    <row r="135098" customFormat="1" x14ac:dyDescent="0.25"/>
    <row r="135099" customFormat="1" x14ac:dyDescent="0.25"/>
    <row r="135100" customFormat="1" x14ac:dyDescent="0.25"/>
    <row r="135101" customFormat="1" x14ac:dyDescent="0.25"/>
    <row r="135102" customFormat="1" x14ac:dyDescent="0.25"/>
    <row r="135103" customFormat="1" x14ac:dyDescent="0.25"/>
    <row r="135104" customFormat="1" x14ac:dyDescent="0.25"/>
    <row r="135105" customFormat="1" x14ac:dyDescent="0.25"/>
    <row r="135106" customFormat="1" x14ac:dyDescent="0.25"/>
    <row r="135107" customFormat="1" x14ac:dyDescent="0.25"/>
    <row r="135108" customFormat="1" x14ac:dyDescent="0.25"/>
    <row r="135109" customFormat="1" x14ac:dyDescent="0.25"/>
    <row r="135110" customFormat="1" x14ac:dyDescent="0.25"/>
    <row r="135111" customFormat="1" x14ac:dyDescent="0.25"/>
    <row r="135112" customFormat="1" x14ac:dyDescent="0.25"/>
    <row r="135113" customFormat="1" x14ac:dyDescent="0.25"/>
    <row r="135114" customFormat="1" x14ac:dyDescent="0.25"/>
    <row r="135115" customFormat="1" x14ac:dyDescent="0.25"/>
    <row r="135116" customFormat="1" x14ac:dyDescent="0.25"/>
    <row r="135117" customFormat="1" x14ac:dyDescent="0.25"/>
    <row r="135118" customFormat="1" x14ac:dyDescent="0.25"/>
    <row r="135119" customFormat="1" x14ac:dyDescent="0.25"/>
    <row r="135120" customFormat="1" x14ac:dyDescent="0.25"/>
    <row r="135121" customFormat="1" x14ac:dyDescent="0.25"/>
    <row r="135122" customFormat="1" x14ac:dyDescent="0.25"/>
    <row r="135123" customFormat="1" x14ac:dyDescent="0.25"/>
    <row r="135124" customFormat="1" x14ac:dyDescent="0.25"/>
    <row r="135125" customFormat="1" x14ac:dyDescent="0.25"/>
    <row r="135126" customFormat="1" x14ac:dyDescent="0.25"/>
    <row r="135127" customFormat="1" x14ac:dyDescent="0.25"/>
    <row r="135128" customFormat="1" x14ac:dyDescent="0.25"/>
    <row r="135129" customFormat="1" x14ac:dyDescent="0.25"/>
    <row r="135130" customFormat="1" x14ac:dyDescent="0.25"/>
    <row r="135131" customFormat="1" x14ac:dyDescent="0.25"/>
    <row r="135132" customFormat="1" x14ac:dyDescent="0.25"/>
    <row r="135133" customFormat="1" x14ac:dyDescent="0.25"/>
    <row r="135134" customFormat="1" x14ac:dyDescent="0.25"/>
    <row r="135135" customFormat="1" x14ac:dyDescent="0.25"/>
    <row r="135136" customFormat="1" x14ac:dyDescent="0.25"/>
    <row r="135137" customFormat="1" x14ac:dyDescent="0.25"/>
    <row r="135138" customFormat="1" x14ac:dyDescent="0.25"/>
    <row r="135139" customFormat="1" x14ac:dyDescent="0.25"/>
    <row r="135140" customFormat="1" x14ac:dyDescent="0.25"/>
    <row r="135141" customFormat="1" x14ac:dyDescent="0.25"/>
    <row r="135142" customFormat="1" x14ac:dyDescent="0.25"/>
    <row r="135143" customFormat="1" x14ac:dyDescent="0.25"/>
    <row r="135144" customFormat="1" x14ac:dyDescent="0.25"/>
    <row r="135145" customFormat="1" x14ac:dyDescent="0.25"/>
    <row r="135146" customFormat="1" x14ac:dyDescent="0.25"/>
    <row r="135147" customFormat="1" x14ac:dyDescent="0.25"/>
    <row r="135148" customFormat="1" x14ac:dyDescent="0.25"/>
    <row r="135149" customFormat="1" x14ac:dyDescent="0.25"/>
    <row r="135150" customFormat="1" x14ac:dyDescent="0.25"/>
    <row r="135151" customFormat="1" x14ac:dyDescent="0.25"/>
    <row r="135152" customFormat="1" x14ac:dyDescent="0.25"/>
    <row r="135153" customFormat="1" x14ac:dyDescent="0.25"/>
    <row r="135154" customFormat="1" x14ac:dyDescent="0.25"/>
    <row r="135155" customFormat="1" x14ac:dyDescent="0.25"/>
    <row r="135156" customFormat="1" x14ac:dyDescent="0.25"/>
    <row r="135157" customFormat="1" x14ac:dyDescent="0.25"/>
    <row r="135158" customFormat="1" x14ac:dyDescent="0.25"/>
    <row r="135159" customFormat="1" x14ac:dyDescent="0.25"/>
    <row r="135160" customFormat="1" x14ac:dyDescent="0.25"/>
    <row r="135161" customFormat="1" x14ac:dyDescent="0.25"/>
    <row r="135162" customFormat="1" x14ac:dyDescent="0.25"/>
    <row r="135163" customFormat="1" x14ac:dyDescent="0.25"/>
    <row r="135164" customFormat="1" x14ac:dyDescent="0.25"/>
    <row r="135165" customFormat="1" x14ac:dyDescent="0.25"/>
    <row r="135166" customFormat="1" x14ac:dyDescent="0.25"/>
    <row r="135167" customFormat="1" x14ac:dyDescent="0.25"/>
    <row r="135168" customFormat="1" x14ac:dyDescent="0.25"/>
    <row r="135169" customFormat="1" x14ac:dyDescent="0.25"/>
    <row r="135170" customFormat="1" x14ac:dyDescent="0.25"/>
    <row r="135171" customFormat="1" x14ac:dyDescent="0.25"/>
    <row r="135172" customFormat="1" x14ac:dyDescent="0.25"/>
    <row r="135173" customFormat="1" x14ac:dyDescent="0.25"/>
    <row r="135174" customFormat="1" x14ac:dyDescent="0.25"/>
    <row r="135175" customFormat="1" x14ac:dyDescent="0.25"/>
    <row r="135176" customFormat="1" x14ac:dyDescent="0.25"/>
    <row r="135177" customFormat="1" x14ac:dyDescent="0.25"/>
    <row r="135178" customFormat="1" x14ac:dyDescent="0.25"/>
    <row r="135179" customFormat="1" x14ac:dyDescent="0.25"/>
    <row r="135180" customFormat="1" x14ac:dyDescent="0.25"/>
    <row r="135181" customFormat="1" x14ac:dyDescent="0.25"/>
    <row r="135182" customFormat="1" x14ac:dyDescent="0.25"/>
    <row r="135183" customFormat="1" x14ac:dyDescent="0.25"/>
    <row r="135184" customFormat="1" x14ac:dyDescent="0.25"/>
    <row r="135185" customFormat="1" x14ac:dyDescent="0.25"/>
    <row r="135186" customFormat="1" x14ac:dyDescent="0.25"/>
    <row r="135187" customFormat="1" x14ac:dyDescent="0.25"/>
    <row r="135188" customFormat="1" x14ac:dyDescent="0.25"/>
    <row r="135189" customFormat="1" x14ac:dyDescent="0.25"/>
    <row r="135190" customFormat="1" x14ac:dyDescent="0.25"/>
    <row r="135191" customFormat="1" x14ac:dyDescent="0.25"/>
    <row r="135192" customFormat="1" x14ac:dyDescent="0.25"/>
    <row r="135193" customFormat="1" x14ac:dyDescent="0.25"/>
    <row r="135194" customFormat="1" x14ac:dyDescent="0.25"/>
    <row r="135195" customFormat="1" x14ac:dyDescent="0.25"/>
    <row r="135196" customFormat="1" x14ac:dyDescent="0.25"/>
    <row r="135197" customFormat="1" x14ac:dyDescent="0.25"/>
    <row r="135198" customFormat="1" x14ac:dyDescent="0.25"/>
    <row r="135199" customFormat="1" x14ac:dyDescent="0.25"/>
    <row r="135200" customFormat="1" x14ac:dyDescent="0.25"/>
    <row r="135201" customFormat="1" x14ac:dyDescent="0.25"/>
    <row r="135202" customFormat="1" x14ac:dyDescent="0.25"/>
    <row r="135203" customFormat="1" x14ac:dyDescent="0.25"/>
    <row r="135204" customFormat="1" x14ac:dyDescent="0.25"/>
    <row r="135205" customFormat="1" x14ac:dyDescent="0.25"/>
    <row r="135206" customFormat="1" x14ac:dyDescent="0.25"/>
    <row r="135207" customFormat="1" x14ac:dyDescent="0.25"/>
    <row r="135208" customFormat="1" x14ac:dyDescent="0.25"/>
    <row r="135209" customFormat="1" x14ac:dyDescent="0.25"/>
    <row r="135210" customFormat="1" x14ac:dyDescent="0.25"/>
    <row r="135211" customFormat="1" x14ac:dyDescent="0.25"/>
    <row r="135212" customFormat="1" x14ac:dyDescent="0.25"/>
    <row r="135213" customFormat="1" x14ac:dyDescent="0.25"/>
    <row r="135214" customFormat="1" x14ac:dyDescent="0.25"/>
    <row r="135215" customFormat="1" x14ac:dyDescent="0.25"/>
    <row r="135216" customFormat="1" x14ac:dyDescent="0.25"/>
    <row r="135217" customFormat="1" x14ac:dyDescent="0.25"/>
    <row r="135218" customFormat="1" x14ac:dyDescent="0.25"/>
    <row r="135219" customFormat="1" x14ac:dyDescent="0.25"/>
    <row r="135220" customFormat="1" x14ac:dyDescent="0.25"/>
    <row r="135221" customFormat="1" x14ac:dyDescent="0.25"/>
    <row r="135222" customFormat="1" x14ac:dyDescent="0.25"/>
    <row r="135223" customFormat="1" x14ac:dyDescent="0.25"/>
    <row r="135224" customFormat="1" x14ac:dyDescent="0.25"/>
    <row r="135225" customFormat="1" x14ac:dyDescent="0.25"/>
    <row r="135226" customFormat="1" x14ac:dyDescent="0.25"/>
    <row r="135227" customFormat="1" x14ac:dyDescent="0.25"/>
    <row r="135228" customFormat="1" x14ac:dyDescent="0.25"/>
    <row r="135229" customFormat="1" x14ac:dyDescent="0.25"/>
    <row r="135230" customFormat="1" x14ac:dyDescent="0.25"/>
    <row r="135231" customFormat="1" x14ac:dyDescent="0.25"/>
    <row r="135232" customFormat="1" x14ac:dyDescent="0.25"/>
    <row r="135233" customFormat="1" x14ac:dyDescent="0.25"/>
    <row r="135234" customFormat="1" x14ac:dyDescent="0.25"/>
    <row r="135235" customFormat="1" x14ac:dyDescent="0.25"/>
    <row r="135236" customFormat="1" x14ac:dyDescent="0.25"/>
    <row r="135237" customFormat="1" x14ac:dyDescent="0.25"/>
    <row r="135238" customFormat="1" x14ac:dyDescent="0.25"/>
    <row r="135239" customFormat="1" x14ac:dyDescent="0.25"/>
    <row r="135240" customFormat="1" x14ac:dyDescent="0.25"/>
    <row r="135241" customFormat="1" x14ac:dyDescent="0.25"/>
    <row r="135242" customFormat="1" x14ac:dyDescent="0.25"/>
    <row r="135243" customFormat="1" x14ac:dyDescent="0.25"/>
    <row r="135244" customFormat="1" x14ac:dyDescent="0.25"/>
    <row r="135245" customFormat="1" x14ac:dyDescent="0.25"/>
    <row r="135246" customFormat="1" x14ac:dyDescent="0.25"/>
    <row r="135247" customFormat="1" x14ac:dyDescent="0.25"/>
    <row r="135248" customFormat="1" x14ac:dyDescent="0.25"/>
    <row r="135249" customFormat="1" x14ac:dyDescent="0.25"/>
    <row r="135250" customFormat="1" x14ac:dyDescent="0.25"/>
    <row r="135251" customFormat="1" x14ac:dyDescent="0.25"/>
    <row r="135252" customFormat="1" x14ac:dyDescent="0.25"/>
    <row r="135253" customFormat="1" x14ac:dyDescent="0.25"/>
    <row r="135254" customFormat="1" x14ac:dyDescent="0.25"/>
    <row r="135255" customFormat="1" x14ac:dyDescent="0.25"/>
    <row r="135256" customFormat="1" x14ac:dyDescent="0.25"/>
    <row r="135257" customFormat="1" x14ac:dyDescent="0.25"/>
    <row r="135258" customFormat="1" x14ac:dyDescent="0.25"/>
    <row r="135259" customFormat="1" x14ac:dyDescent="0.25"/>
    <row r="135260" customFormat="1" x14ac:dyDescent="0.25"/>
    <row r="135261" customFormat="1" x14ac:dyDescent="0.25"/>
    <row r="135262" customFormat="1" x14ac:dyDescent="0.25"/>
    <row r="135263" customFormat="1" x14ac:dyDescent="0.25"/>
    <row r="135264" customFormat="1" x14ac:dyDescent="0.25"/>
    <row r="135265" customFormat="1" x14ac:dyDescent="0.25"/>
    <row r="135266" customFormat="1" x14ac:dyDescent="0.25"/>
    <row r="135267" customFormat="1" x14ac:dyDescent="0.25"/>
    <row r="135268" customFormat="1" x14ac:dyDescent="0.25"/>
    <row r="135269" customFormat="1" x14ac:dyDescent="0.25"/>
    <row r="135270" customFormat="1" x14ac:dyDescent="0.25"/>
    <row r="135271" customFormat="1" x14ac:dyDescent="0.25"/>
    <row r="135272" customFormat="1" x14ac:dyDescent="0.25"/>
    <row r="135273" customFormat="1" x14ac:dyDescent="0.25"/>
    <row r="135274" customFormat="1" x14ac:dyDescent="0.25"/>
    <row r="135275" customFormat="1" x14ac:dyDescent="0.25"/>
    <row r="135276" customFormat="1" x14ac:dyDescent="0.25"/>
    <row r="135277" customFormat="1" x14ac:dyDescent="0.25"/>
    <row r="135278" customFormat="1" x14ac:dyDescent="0.25"/>
    <row r="135279" customFormat="1" x14ac:dyDescent="0.25"/>
    <row r="135280" customFormat="1" x14ac:dyDescent="0.25"/>
    <row r="135281" customFormat="1" x14ac:dyDescent="0.25"/>
    <row r="135282" customFormat="1" x14ac:dyDescent="0.25"/>
    <row r="135283" customFormat="1" x14ac:dyDescent="0.25"/>
    <row r="135284" customFormat="1" x14ac:dyDescent="0.25"/>
    <row r="135285" customFormat="1" x14ac:dyDescent="0.25"/>
    <row r="135286" customFormat="1" x14ac:dyDescent="0.25"/>
    <row r="135287" customFormat="1" x14ac:dyDescent="0.25"/>
    <row r="135288" customFormat="1" x14ac:dyDescent="0.25"/>
    <row r="135289" customFormat="1" x14ac:dyDescent="0.25"/>
    <row r="135290" customFormat="1" x14ac:dyDescent="0.25"/>
    <row r="135291" customFormat="1" x14ac:dyDescent="0.25"/>
    <row r="135292" customFormat="1" x14ac:dyDescent="0.25"/>
    <row r="135293" customFormat="1" x14ac:dyDescent="0.25"/>
    <row r="135294" customFormat="1" x14ac:dyDescent="0.25"/>
    <row r="135295" customFormat="1" x14ac:dyDescent="0.25"/>
    <row r="135296" customFormat="1" x14ac:dyDescent="0.25"/>
    <row r="135297" customFormat="1" x14ac:dyDescent="0.25"/>
    <row r="135298" customFormat="1" x14ac:dyDescent="0.25"/>
    <row r="135299" customFormat="1" x14ac:dyDescent="0.25"/>
    <row r="135300" customFormat="1" x14ac:dyDescent="0.25"/>
    <row r="135301" customFormat="1" x14ac:dyDescent="0.25"/>
    <row r="135302" customFormat="1" x14ac:dyDescent="0.25"/>
    <row r="135303" customFormat="1" x14ac:dyDescent="0.25"/>
    <row r="135304" customFormat="1" x14ac:dyDescent="0.25"/>
    <row r="135305" customFormat="1" x14ac:dyDescent="0.25"/>
    <row r="135306" customFormat="1" x14ac:dyDescent="0.25"/>
    <row r="135307" customFormat="1" x14ac:dyDescent="0.25"/>
    <row r="135308" customFormat="1" x14ac:dyDescent="0.25"/>
    <row r="135309" customFormat="1" x14ac:dyDescent="0.25"/>
    <row r="135310" customFormat="1" x14ac:dyDescent="0.25"/>
    <row r="135311" customFormat="1" x14ac:dyDescent="0.25"/>
    <row r="135312" customFormat="1" x14ac:dyDescent="0.25"/>
    <row r="135313" customFormat="1" x14ac:dyDescent="0.25"/>
    <row r="135314" customFormat="1" x14ac:dyDescent="0.25"/>
    <row r="135315" customFormat="1" x14ac:dyDescent="0.25"/>
    <row r="135316" customFormat="1" x14ac:dyDescent="0.25"/>
    <row r="135317" customFormat="1" x14ac:dyDescent="0.25"/>
    <row r="135318" customFormat="1" x14ac:dyDescent="0.25"/>
    <row r="135319" customFormat="1" x14ac:dyDescent="0.25"/>
    <row r="135320" customFormat="1" x14ac:dyDescent="0.25"/>
    <row r="135321" customFormat="1" x14ac:dyDescent="0.25"/>
    <row r="135322" customFormat="1" x14ac:dyDescent="0.25"/>
    <row r="135323" customFormat="1" x14ac:dyDescent="0.25"/>
    <row r="135324" customFormat="1" x14ac:dyDescent="0.25"/>
    <row r="135325" customFormat="1" x14ac:dyDescent="0.25"/>
    <row r="135326" customFormat="1" x14ac:dyDescent="0.25"/>
    <row r="135327" customFormat="1" x14ac:dyDescent="0.25"/>
    <row r="135328" customFormat="1" x14ac:dyDescent="0.25"/>
    <row r="135329" customFormat="1" x14ac:dyDescent="0.25"/>
    <row r="135330" customFormat="1" x14ac:dyDescent="0.25"/>
    <row r="135331" customFormat="1" x14ac:dyDescent="0.25"/>
    <row r="135332" customFormat="1" x14ac:dyDescent="0.25"/>
    <row r="135333" customFormat="1" x14ac:dyDescent="0.25"/>
    <row r="135334" customFormat="1" x14ac:dyDescent="0.25"/>
    <row r="135335" customFormat="1" x14ac:dyDescent="0.25"/>
    <row r="135336" customFormat="1" x14ac:dyDescent="0.25"/>
    <row r="135337" customFormat="1" x14ac:dyDescent="0.25"/>
    <row r="135338" customFormat="1" x14ac:dyDescent="0.25"/>
    <row r="135339" customFormat="1" x14ac:dyDescent="0.25"/>
    <row r="135340" customFormat="1" x14ac:dyDescent="0.25"/>
    <row r="135341" customFormat="1" x14ac:dyDescent="0.25"/>
    <row r="135342" customFormat="1" x14ac:dyDescent="0.25"/>
    <row r="135343" customFormat="1" x14ac:dyDescent="0.25"/>
    <row r="135344" customFormat="1" x14ac:dyDescent="0.25"/>
    <row r="135345" customFormat="1" x14ac:dyDescent="0.25"/>
    <row r="135346" customFormat="1" x14ac:dyDescent="0.25"/>
    <row r="135347" customFormat="1" x14ac:dyDescent="0.25"/>
    <row r="135348" customFormat="1" x14ac:dyDescent="0.25"/>
    <row r="135349" customFormat="1" x14ac:dyDescent="0.25"/>
    <row r="135350" customFormat="1" x14ac:dyDescent="0.25"/>
    <row r="135351" customFormat="1" x14ac:dyDescent="0.25"/>
    <row r="135352" customFormat="1" x14ac:dyDescent="0.25"/>
    <row r="135353" customFormat="1" x14ac:dyDescent="0.25"/>
    <row r="135354" customFormat="1" x14ac:dyDescent="0.25"/>
    <row r="135355" customFormat="1" x14ac:dyDescent="0.25"/>
    <row r="135356" customFormat="1" x14ac:dyDescent="0.25"/>
    <row r="135357" customFormat="1" x14ac:dyDescent="0.25"/>
    <row r="135358" customFormat="1" x14ac:dyDescent="0.25"/>
    <row r="135359" customFormat="1" x14ac:dyDescent="0.25"/>
    <row r="135360" customFormat="1" x14ac:dyDescent="0.25"/>
    <row r="135361" customFormat="1" x14ac:dyDescent="0.25"/>
    <row r="135362" customFormat="1" x14ac:dyDescent="0.25"/>
    <row r="135363" customFormat="1" x14ac:dyDescent="0.25"/>
    <row r="135364" customFormat="1" x14ac:dyDescent="0.25"/>
    <row r="135365" customFormat="1" x14ac:dyDescent="0.25"/>
    <row r="135366" customFormat="1" x14ac:dyDescent="0.25"/>
    <row r="135367" customFormat="1" x14ac:dyDescent="0.25"/>
    <row r="135368" customFormat="1" x14ac:dyDescent="0.25"/>
    <row r="135369" customFormat="1" x14ac:dyDescent="0.25"/>
    <row r="135370" customFormat="1" x14ac:dyDescent="0.25"/>
    <row r="135371" customFormat="1" x14ac:dyDescent="0.25"/>
    <row r="135372" customFormat="1" x14ac:dyDescent="0.25"/>
    <row r="135373" customFormat="1" x14ac:dyDescent="0.25"/>
    <row r="135374" customFormat="1" x14ac:dyDescent="0.25"/>
    <row r="135375" customFormat="1" x14ac:dyDescent="0.25"/>
    <row r="135376" customFormat="1" x14ac:dyDescent="0.25"/>
    <row r="135377" customFormat="1" x14ac:dyDescent="0.25"/>
    <row r="135378" customFormat="1" x14ac:dyDescent="0.25"/>
    <row r="135379" customFormat="1" x14ac:dyDescent="0.25"/>
    <row r="135380" customFormat="1" x14ac:dyDescent="0.25"/>
    <row r="135381" customFormat="1" x14ac:dyDescent="0.25"/>
    <row r="135382" customFormat="1" x14ac:dyDescent="0.25"/>
    <row r="135383" customFormat="1" x14ac:dyDescent="0.25"/>
    <row r="135384" customFormat="1" x14ac:dyDescent="0.25"/>
    <row r="135385" customFormat="1" x14ac:dyDescent="0.25"/>
    <row r="135386" customFormat="1" x14ac:dyDescent="0.25"/>
    <row r="135387" customFormat="1" x14ac:dyDescent="0.25"/>
    <row r="135388" customFormat="1" x14ac:dyDescent="0.25"/>
    <row r="135389" customFormat="1" x14ac:dyDescent="0.25"/>
    <row r="135390" customFormat="1" x14ac:dyDescent="0.25"/>
    <row r="135391" customFormat="1" x14ac:dyDescent="0.25"/>
    <row r="135392" customFormat="1" x14ac:dyDescent="0.25"/>
    <row r="135393" customFormat="1" x14ac:dyDescent="0.25"/>
    <row r="135394" customFormat="1" x14ac:dyDescent="0.25"/>
    <row r="135395" customFormat="1" x14ac:dyDescent="0.25"/>
    <row r="135396" customFormat="1" x14ac:dyDescent="0.25"/>
    <row r="135397" customFormat="1" x14ac:dyDescent="0.25"/>
    <row r="135398" customFormat="1" x14ac:dyDescent="0.25"/>
    <row r="135399" customFormat="1" x14ac:dyDescent="0.25"/>
    <row r="135400" customFormat="1" x14ac:dyDescent="0.25"/>
    <row r="135401" customFormat="1" x14ac:dyDescent="0.25"/>
    <row r="135402" customFormat="1" x14ac:dyDescent="0.25"/>
    <row r="135403" customFormat="1" x14ac:dyDescent="0.25"/>
    <row r="135404" customFormat="1" x14ac:dyDescent="0.25"/>
    <row r="135405" customFormat="1" x14ac:dyDescent="0.25"/>
    <row r="135406" customFormat="1" x14ac:dyDescent="0.25"/>
    <row r="135407" customFormat="1" x14ac:dyDescent="0.25"/>
    <row r="135408" customFormat="1" x14ac:dyDescent="0.25"/>
    <row r="135409" customFormat="1" x14ac:dyDescent="0.25"/>
    <row r="135410" customFormat="1" x14ac:dyDescent="0.25"/>
    <row r="135411" customFormat="1" x14ac:dyDescent="0.25"/>
    <row r="135412" customFormat="1" x14ac:dyDescent="0.25"/>
    <row r="135413" customFormat="1" x14ac:dyDescent="0.25"/>
    <row r="135414" customFormat="1" x14ac:dyDescent="0.25"/>
    <row r="135415" customFormat="1" x14ac:dyDescent="0.25"/>
    <row r="135416" customFormat="1" x14ac:dyDescent="0.25"/>
    <row r="135417" customFormat="1" x14ac:dyDescent="0.25"/>
    <row r="135418" customFormat="1" x14ac:dyDescent="0.25"/>
    <row r="135419" customFormat="1" x14ac:dyDescent="0.25"/>
    <row r="135420" customFormat="1" x14ac:dyDescent="0.25"/>
    <row r="135421" customFormat="1" x14ac:dyDescent="0.25"/>
    <row r="135422" customFormat="1" x14ac:dyDescent="0.25"/>
    <row r="135423" customFormat="1" x14ac:dyDescent="0.25"/>
    <row r="135424" customFormat="1" x14ac:dyDescent="0.25"/>
    <row r="135425" customFormat="1" x14ac:dyDescent="0.25"/>
    <row r="135426" customFormat="1" x14ac:dyDescent="0.25"/>
    <row r="135427" customFormat="1" x14ac:dyDescent="0.25"/>
    <row r="135428" customFormat="1" x14ac:dyDescent="0.25"/>
    <row r="135429" customFormat="1" x14ac:dyDescent="0.25"/>
    <row r="135430" customFormat="1" x14ac:dyDescent="0.25"/>
    <row r="135431" customFormat="1" x14ac:dyDescent="0.25"/>
    <row r="135432" customFormat="1" x14ac:dyDescent="0.25"/>
    <row r="135433" customFormat="1" x14ac:dyDescent="0.25"/>
    <row r="135434" customFormat="1" x14ac:dyDescent="0.25"/>
    <row r="135435" customFormat="1" x14ac:dyDescent="0.25"/>
    <row r="135436" customFormat="1" x14ac:dyDescent="0.25"/>
    <row r="135437" customFormat="1" x14ac:dyDescent="0.25"/>
    <row r="135438" customFormat="1" x14ac:dyDescent="0.25"/>
    <row r="135439" customFormat="1" x14ac:dyDescent="0.25"/>
    <row r="135440" customFormat="1" x14ac:dyDescent="0.25"/>
    <row r="135441" customFormat="1" x14ac:dyDescent="0.25"/>
    <row r="135442" customFormat="1" x14ac:dyDescent="0.25"/>
    <row r="135443" customFormat="1" x14ac:dyDescent="0.25"/>
    <row r="135444" customFormat="1" x14ac:dyDescent="0.25"/>
    <row r="135445" customFormat="1" x14ac:dyDescent="0.25"/>
    <row r="135446" customFormat="1" x14ac:dyDescent="0.25"/>
    <row r="135447" customFormat="1" x14ac:dyDescent="0.25"/>
    <row r="135448" customFormat="1" x14ac:dyDescent="0.25"/>
    <row r="135449" customFormat="1" x14ac:dyDescent="0.25"/>
    <row r="135450" customFormat="1" x14ac:dyDescent="0.25"/>
    <row r="135451" customFormat="1" x14ac:dyDescent="0.25"/>
    <row r="135452" customFormat="1" x14ac:dyDescent="0.25"/>
    <row r="135453" customFormat="1" x14ac:dyDescent="0.25"/>
    <row r="135454" customFormat="1" x14ac:dyDescent="0.25"/>
    <row r="135455" customFormat="1" x14ac:dyDescent="0.25"/>
    <row r="135456" customFormat="1" x14ac:dyDescent="0.25"/>
    <row r="135457" customFormat="1" x14ac:dyDescent="0.25"/>
    <row r="135458" customFormat="1" x14ac:dyDescent="0.25"/>
    <row r="135459" customFormat="1" x14ac:dyDescent="0.25"/>
    <row r="135460" customFormat="1" x14ac:dyDescent="0.25"/>
    <row r="135461" customFormat="1" x14ac:dyDescent="0.25"/>
    <row r="135462" customFormat="1" x14ac:dyDescent="0.25"/>
    <row r="135463" customFormat="1" x14ac:dyDescent="0.25"/>
    <row r="135464" customFormat="1" x14ac:dyDescent="0.25"/>
    <row r="135465" customFormat="1" x14ac:dyDescent="0.25"/>
    <row r="135466" customFormat="1" x14ac:dyDescent="0.25"/>
    <row r="135467" customFormat="1" x14ac:dyDescent="0.25"/>
    <row r="135468" customFormat="1" x14ac:dyDescent="0.25"/>
    <row r="135469" customFormat="1" x14ac:dyDescent="0.25"/>
    <row r="135470" customFormat="1" x14ac:dyDescent="0.25"/>
    <row r="135471" customFormat="1" x14ac:dyDescent="0.25"/>
    <row r="135472" customFormat="1" x14ac:dyDescent="0.25"/>
    <row r="135473" customFormat="1" x14ac:dyDescent="0.25"/>
    <row r="135474" customFormat="1" x14ac:dyDescent="0.25"/>
    <row r="135475" customFormat="1" x14ac:dyDescent="0.25"/>
    <row r="135476" customFormat="1" x14ac:dyDescent="0.25"/>
    <row r="135477" customFormat="1" x14ac:dyDescent="0.25"/>
    <row r="135478" customFormat="1" x14ac:dyDescent="0.25"/>
    <row r="135479" customFormat="1" x14ac:dyDescent="0.25"/>
    <row r="135480" customFormat="1" x14ac:dyDescent="0.25"/>
    <row r="135481" customFormat="1" x14ac:dyDescent="0.25"/>
    <row r="135482" customFormat="1" x14ac:dyDescent="0.25"/>
    <row r="135483" customFormat="1" x14ac:dyDescent="0.25"/>
    <row r="135484" customFormat="1" x14ac:dyDescent="0.25"/>
    <row r="135485" customFormat="1" x14ac:dyDescent="0.25"/>
    <row r="135486" customFormat="1" x14ac:dyDescent="0.25"/>
    <row r="135487" customFormat="1" x14ac:dyDescent="0.25"/>
    <row r="135488" customFormat="1" x14ac:dyDescent="0.25"/>
    <row r="135489" customFormat="1" x14ac:dyDescent="0.25"/>
    <row r="135490" customFormat="1" x14ac:dyDescent="0.25"/>
    <row r="135491" customFormat="1" x14ac:dyDescent="0.25"/>
    <row r="135492" customFormat="1" x14ac:dyDescent="0.25"/>
    <row r="135493" customFormat="1" x14ac:dyDescent="0.25"/>
    <row r="135494" customFormat="1" x14ac:dyDescent="0.25"/>
    <row r="135495" customFormat="1" x14ac:dyDescent="0.25"/>
    <row r="135496" customFormat="1" x14ac:dyDescent="0.25"/>
    <row r="135497" customFormat="1" x14ac:dyDescent="0.25"/>
    <row r="135498" customFormat="1" x14ac:dyDescent="0.25"/>
    <row r="135499" customFormat="1" x14ac:dyDescent="0.25"/>
    <row r="135500" customFormat="1" x14ac:dyDescent="0.25"/>
    <row r="135501" customFormat="1" x14ac:dyDescent="0.25"/>
    <row r="135502" customFormat="1" x14ac:dyDescent="0.25"/>
    <row r="135503" customFormat="1" x14ac:dyDescent="0.25"/>
    <row r="135504" customFormat="1" x14ac:dyDescent="0.25"/>
    <row r="135505" customFormat="1" x14ac:dyDescent="0.25"/>
    <row r="135506" customFormat="1" x14ac:dyDescent="0.25"/>
    <row r="135507" customFormat="1" x14ac:dyDescent="0.25"/>
    <row r="135508" customFormat="1" x14ac:dyDescent="0.25"/>
    <row r="135509" customFormat="1" x14ac:dyDescent="0.25"/>
    <row r="135510" customFormat="1" x14ac:dyDescent="0.25"/>
    <row r="135511" customFormat="1" x14ac:dyDescent="0.25"/>
    <row r="135512" customFormat="1" x14ac:dyDescent="0.25"/>
    <row r="135513" customFormat="1" x14ac:dyDescent="0.25"/>
    <row r="135514" customFormat="1" x14ac:dyDescent="0.25"/>
    <row r="135515" customFormat="1" x14ac:dyDescent="0.25"/>
    <row r="135516" customFormat="1" x14ac:dyDescent="0.25"/>
    <row r="135517" customFormat="1" x14ac:dyDescent="0.25"/>
    <row r="135518" customFormat="1" x14ac:dyDescent="0.25"/>
    <row r="135519" customFormat="1" x14ac:dyDescent="0.25"/>
    <row r="135520" customFormat="1" x14ac:dyDescent="0.25"/>
    <row r="135521" customFormat="1" x14ac:dyDescent="0.25"/>
    <row r="135522" customFormat="1" x14ac:dyDescent="0.25"/>
    <row r="135523" customFormat="1" x14ac:dyDescent="0.25"/>
    <row r="135524" customFormat="1" x14ac:dyDescent="0.25"/>
    <row r="135525" customFormat="1" x14ac:dyDescent="0.25"/>
    <row r="135526" customFormat="1" x14ac:dyDescent="0.25"/>
    <row r="135527" customFormat="1" x14ac:dyDescent="0.25"/>
    <row r="135528" customFormat="1" x14ac:dyDescent="0.25"/>
    <row r="135529" customFormat="1" x14ac:dyDescent="0.25"/>
    <row r="135530" customFormat="1" x14ac:dyDescent="0.25"/>
    <row r="135531" customFormat="1" x14ac:dyDescent="0.25"/>
    <row r="135532" customFormat="1" x14ac:dyDescent="0.25"/>
    <row r="135533" customFormat="1" x14ac:dyDescent="0.25"/>
    <row r="135534" customFormat="1" x14ac:dyDescent="0.25"/>
    <row r="135535" customFormat="1" x14ac:dyDescent="0.25"/>
    <row r="135536" customFormat="1" x14ac:dyDescent="0.25"/>
    <row r="135537" customFormat="1" x14ac:dyDescent="0.25"/>
    <row r="135538" customFormat="1" x14ac:dyDescent="0.25"/>
    <row r="135539" customFormat="1" x14ac:dyDescent="0.25"/>
    <row r="135540" customFormat="1" x14ac:dyDescent="0.25"/>
    <row r="135541" customFormat="1" x14ac:dyDescent="0.25"/>
    <row r="135542" customFormat="1" x14ac:dyDescent="0.25"/>
    <row r="135543" customFormat="1" x14ac:dyDescent="0.25"/>
    <row r="135544" customFormat="1" x14ac:dyDescent="0.25"/>
    <row r="135545" customFormat="1" x14ac:dyDescent="0.25"/>
    <row r="135546" customFormat="1" x14ac:dyDescent="0.25"/>
    <row r="135547" customFormat="1" x14ac:dyDescent="0.25"/>
    <row r="135548" customFormat="1" x14ac:dyDescent="0.25"/>
    <row r="135549" customFormat="1" x14ac:dyDescent="0.25"/>
    <row r="135550" customFormat="1" x14ac:dyDescent="0.25"/>
    <row r="135551" customFormat="1" x14ac:dyDescent="0.25"/>
    <row r="135552" customFormat="1" x14ac:dyDescent="0.25"/>
    <row r="135553" customFormat="1" x14ac:dyDescent="0.25"/>
    <row r="135554" customFormat="1" x14ac:dyDescent="0.25"/>
    <row r="135555" customFormat="1" x14ac:dyDescent="0.25"/>
    <row r="135556" customFormat="1" x14ac:dyDescent="0.25"/>
    <row r="135557" customFormat="1" x14ac:dyDescent="0.25"/>
    <row r="135558" customFormat="1" x14ac:dyDescent="0.25"/>
    <row r="135559" customFormat="1" x14ac:dyDescent="0.25"/>
    <row r="135560" customFormat="1" x14ac:dyDescent="0.25"/>
    <row r="135561" customFormat="1" x14ac:dyDescent="0.25"/>
    <row r="135562" customFormat="1" x14ac:dyDescent="0.25"/>
    <row r="135563" customFormat="1" x14ac:dyDescent="0.25"/>
    <row r="135564" customFormat="1" x14ac:dyDescent="0.25"/>
    <row r="135565" customFormat="1" x14ac:dyDescent="0.25"/>
    <row r="135566" customFormat="1" x14ac:dyDescent="0.25"/>
    <row r="135567" customFormat="1" x14ac:dyDescent="0.25"/>
    <row r="135568" customFormat="1" x14ac:dyDescent="0.25"/>
    <row r="135569" customFormat="1" x14ac:dyDescent="0.25"/>
    <row r="135570" customFormat="1" x14ac:dyDescent="0.25"/>
    <row r="135571" customFormat="1" x14ac:dyDescent="0.25"/>
    <row r="135572" customFormat="1" x14ac:dyDescent="0.25"/>
    <row r="135573" customFormat="1" x14ac:dyDescent="0.25"/>
    <row r="135574" customFormat="1" x14ac:dyDescent="0.25"/>
    <row r="135575" customFormat="1" x14ac:dyDescent="0.25"/>
    <row r="135576" customFormat="1" x14ac:dyDescent="0.25"/>
    <row r="135577" customFormat="1" x14ac:dyDescent="0.25"/>
    <row r="135578" customFormat="1" x14ac:dyDescent="0.25"/>
    <row r="135579" customFormat="1" x14ac:dyDescent="0.25"/>
    <row r="135580" customFormat="1" x14ac:dyDescent="0.25"/>
    <row r="135581" customFormat="1" x14ac:dyDescent="0.25"/>
    <row r="135582" customFormat="1" x14ac:dyDescent="0.25"/>
    <row r="135583" customFormat="1" x14ac:dyDescent="0.25"/>
    <row r="135584" customFormat="1" x14ac:dyDescent="0.25"/>
    <row r="135585" customFormat="1" x14ac:dyDescent="0.25"/>
    <row r="135586" customFormat="1" x14ac:dyDescent="0.25"/>
    <row r="135587" customFormat="1" x14ac:dyDescent="0.25"/>
    <row r="135588" customFormat="1" x14ac:dyDescent="0.25"/>
    <row r="135589" customFormat="1" x14ac:dyDescent="0.25"/>
    <row r="135590" customFormat="1" x14ac:dyDescent="0.25"/>
    <row r="135591" customFormat="1" x14ac:dyDescent="0.25"/>
    <row r="135592" customFormat="1" x14ac:dyDescent="0.25"/>
    <row r="135593" customFormat="1" x14ac:dyDescent="0.25"/>
    <row r="135594" customFormat="1" x14ac:dyDescent="0.25"/>
    <row r="135595" customFormat="1" x14ac:dyDescent="0.25"/>
    <row r="135596" customFormat="1" x14ac:dyDescent="0.25"/>
    <row r="135597" customFormat="1" x14ac:dyDescent="0.25"/>
    <row r="135598" customFormat="1" x14ac:dyDescent="0.25"/>
    <row r="135599" customFormat="1" x14ac:dyDescent="0.25"/>
    <row r="135600" customFormat="1" x14ac:dyDescent="0.25"/>
    <row r="135601" customFormat="1" x14ac:dyDescent="0.25"/>
    <row r="135602" customFormat="1" x14ac:dyDescent="0.25"/>
    <row r="135603" customFormat="1" x14ac:dyDescent="0.25"/>
    <row r="135604" customFormat="1" x14ac:dyDescent="0.25"/>
    <row r="135605" customFormat="1" x14ac:dyDescent="0.25"/>
    <row r="135606" customFormat="1" x14ac:dyDescent="0.25"/>
    <row r="135607" customFormat="1" x14ac:dyDescent="0.25"/>
    <row r="135608" customFormat="1" x14ac:dyDescent="0.25"/>
    <row r="135609" customFormat="1" x14ac:dyDescent="0.25"/>
    <row r="135610" customFormat="1" x14ac:dyDescent="0.25"/>
    <row r="135611" customFormat="1" x14ac:dyDescent="0.25"/>
    <row r="135612" customFormat="1" x14ac:dyDescent="0.25"/>
    <row r="135613" customFormat="1" x14ac:dyDescent="0.25"/>
    <row r="135614" customFormat="1" x14ac:dyDescent="0.25"/>
    <row r="135615" customFormat="1" x14ac:dyDescent="0.25"/>
    <row r="135616" customFormat="1" x14ac:dyDescent="0.25"/>
    <row r="135617" customFormat="1" x14ac:dyDescent="0.25"/>
    <row r="135618" customFormat="1" x14ac:dyDescent="0.25"/>
    <row r="135619" customFormat="1" x14ac:dyDescent="0.25"/>
    <row r="135620" customFormat="1" x14ac:dyDescent="0.25"/>
    <row r="135621" customFormat="1" x14ac:dyDescent="0.25"/>
    <row r="135622" customFormat="1" x14ac:dyDescent="0.25"/>
    <row r="135623" customFormat="1" x14ac:dyDescent="0.25"/>
    <row r="135624" customFormat="1" x14ac:dyDescent="0.25"/>
    <row r="135625" customFormat="1" x14ac:dyDescent="0.25"/>
    <row r="135626" customFormat="1" x14ac:dyDescent="0.25"/>
    <row r="135627" customFormat="1" x14ac:dyDescent="0.25"/>
    <row r="135628" customFormat="1" x14ac:dyDescent="0.25"/>
    <row r="135629" customFormat="1" x14ac:dyDescent="0.25"/>
    <row r="135630" customFormat="1" x14ac:dyDescent="0.25"/>
    <row r="135631" customFormat="1" x14ac:dyDescent="0.25"/>
    <row r="135632" customFormat="1" x14ac:dyDescent="0.25"/>
    <row r="135633" customFormat="1" x14ac:dyDescent="0.25"/>
    <row r="135634" customFormat="1" x14ac:dyDescent="0.25"/>
    <row r="135635" customFormat="1" x14ac:dyDescent="0.25"/>
    <row r="135636" customFormat="1" x14ac:dyDescent="0.25"/>
    <row r="135637" customFormat="1" x14ac:dyDescent="0.25"/>
    <row r="135638" customFormat="1" x14ac:dyDescent="0.25"/>
    <row r="135639" customFormat="1" x14ac:dyDescent="0.25"/>
    <row r="135640" customFormat="1" x14ac:dyDescent="0.25"/>
    <row r="135641" customFormat="1" x14ac:dyDescent="0.25"/>
    <row r="135642" customFormat="1" x14ac:dyDescent="0.25"/>
    <row r="135643" customFormat="1" x14ac:dyDescent="0.25"/>
    <row r="135644" customFormat="1" x14ac:dyDescent="0.25"/>
    <row r="135645" customFormat="1" x14ac:dyDescent="0.25"/>
    <row r="135646" customFormat="1" x14ac:dyDescent="0.25"/>
    <row r="135647" customFormat="1" x14ac:dyDescent="0.25"/>
    <row r="135648" customFormat="1" x14ac:dyDescent="0.25"/>
    <row r="135649" customFormat="1" x14ac:dyDescent="0.25"/>
    <row r="135650" customFormat="1" x14ac:dyDescent="0.25"/>
    <row r="135651" customFormat="1" x14ac:dyDescent="0.25"/>
    <row r="135652" customFormat="1" x14ac:dyDescent="0.25"/>
    <row r="135653" customFormat="1" x14ac:dyDescent="0.25"/>
    <row r="135654" customFormat="1" x14ac:dyDescent="0.25"/>
    <row r="135655" customFormat="1" x14ac:dyDescent="0.25"/>
    <row r="135656" customFormat="1" x14ac:dyDescent="0.25"/>
    <row r="135657" customFormat="1" x14ac:dyDescent="0.25"/>
    <row r="135658" customFormat="1" x14ac:dyDescent="0.25"/>
    <row r="135659" customFormat="1" x14ac:dyDescent="0.25"/>
    <row r="135660" customFormat="1" x14ac:dyDescent="0.25"/>
    <row r="135661" customFormat="1" x14ac:dyDescent="0.25"/>
    <row r="135662" customFormat="1" x14ac:dyDescent="0.25"/>
    <row r="135663" customFormat="1" x14ac:dyDescent="0.25"/>
    <row r="135664" customFormat="1" x14ac:dyDescent="0.25"/>
    <row r="135665" customFormat="1" x14ac:dyDescent="0.25"/>
    <row r="135666" customFormat="1" x14ac:dyDescent="0.25"/>
    <row r="135667" customFormat="1" x14ac:dyDescent="0.25"/>
    <row r="135668" customFormat="1" x14ac:dyDescent="0.25"/>
    <row r="135669" customFormat="1" x14ac:dyDescent="0.25"/>
    <row r="135670" customFormat="1" x14ac:dyDescent="0.25"/>
    <row r="135671" customFormat="1" x14ac:dyDescent="0.25"/>
    <row r="135672" customFormat="1" x14ac:dyDescent="0.25"/>
    <row r="135673" customFormat="1" x14ac:dyDescent="0.25"/>
    <row r="135674" customFormat="1" x14ac:dyDescent="0.25"/>
    <row r="135675" customFormat="1" x14ac:dyDescent="0.25"/>
    <row r="135676" customFormat="1" x14ac:dyDescent="0.25"/>
    <row r="135677" customFormat="1" x14ac:dyDescent="0.25"/>
    <row r="135678" customFormat="1" x14ac:dyDescent="0.25"/>
    <row r="135679" customFormat="1" x14ac:dyDescent="0.25"/>
    <row r="135680" customFormat="1" x14ac:dyDescent="0.25"/>
    <row r="135681" customFormat="1" x14ac:dyDescent="0.25"/>
    <row r="135682" customFormat="1" x14ac:dyDescent="0.25"/>
    <row r="135683" customFormat="1" x14ac:dyDescent="0.25"/>
    <row r="135684" customFormat="1" x14ac:dyDescent="0.25"/>
    <row r="135685" customFormat="1" x14ac:dyDescent="0.25"/>
    <row r="135686" customFormat="1" x14ac:dyDescent="0.25"/>
    <row r="135687" customFormat="1" x14ac:dyDescent="0.25"/>
    <row r="135688" customFormat="1" x14ac:dyDescent="0.25"/>
    <row r="135689" customFormat="1" x14ac:dyDescent="0.25"/>
    <row r="135690" customFormat="1" x14ac:dyDescent="0.25"/>
    <row r="135691" customFormat="1" x14ac:dyDescent="0.25"/>
    <row r="135692" customFormat="1" x14ac:dyDescent="0.25"/>
    <row r="135693" customFormat="1" x14ac:dyDescent="0.25"/>
    <row r="135694" customFormat="1" x14ac:dyDescent="0.25"/>
    <row r="135695" customFormat="1" x14ac:dyDescent="0.25"/>
    <row r="135696" customFormat="1" x14ac:dyDescent="0.25"/>
    <row r="135697" customFormat="1" x14ac:dyDescent="0.25"/>
    <row r="135698" customFormat="1" x14ac:dyDescent="0.25"/>
    <row r="135699" customFormat="1" x14ac:dyDescent="0.25"/>
    <row r="135700" customFormat="1" x14ac:dyDescent="0.25"/>
    <row r="135701" customFormat="1" x14ac:dyDescent="0.25"/>
    <row r="135702" customFormat="1" x14ac:dyDescent="0.25"/>
    <row r="135703" customFormat="1" x14ac:dyDescent="0.25"/>
    <row r="135704" customFormat="1" x14ac:dyDescent="0.25"/>
    <row r="135705" customFormat="1" x14ac:dyDescent="0.25"/>
    <row r="135706" customFormat="1" x14ac:dyDescent="0.25"/>
    <row r="135707" customFormat="1" x14ac:dyDescent="0.25"/>
    <row r="135708" customFormat="1" x14ac:dyDescent="0.25"/>
    <row r="135709" customFormat="1" x14ac:dyDescent="0.25"/>
    <row r="135710" customFormat="1" x14ac:dyDescent="0.25"/>
    <row r="135711" customFormat="1" x14ac:dyDescent="0.25"/>
    <row r="135712" customFormat="1" x14ac:dyDescent="0.25"/>
    <row r="135713" customFormat="1" x14ac:dyDescent="0.25"/>
    <row r="135714" customFormat="1" x14ac:dyDescent="0.25"/>
    <row r="135715" customFormat="1" x14ac:dyDescent="0.25"/>
    <row r="135716" customFormat="1" x14ac:dyDescent="0.25"/>
    <row r="135717" customFormat="1" x14ac:dyDescent="0.25"/>
    <row r="135718" customFormat="1" x14ac:dyDescent="0.25"/>
    <row r="135719" customFormat="1" x14ac:dyDescent="0.25"/>
    <row r="135720" customFormat="1" x14ac:dyDescent="0.25"/>
    <row r="135721" customFormat="1" x14ac:dyDescent="0.25"/>
    <row r="135722" customFormat="1" x14ac:dyDescent="0.25"/>
    <row r="135723" customFormat="1" x14ac:dyDescent="0.25"/>
    <row r="135724" customFormat="1" x14ac:dyDescent="0.25"/>
    <row r="135725" customFormat="1" x14ac:dyDescent="0.25"/>
    <row r="135726" customFormat="1" x14ac:dyDescent="0.25"/>
    <row r="135727" customFormat="1" x14ac:dyDescent="0.25"/>
    <row r="135728" customFormat="1" x14ac:dyDescent="0.25"/>
    <row r="135729" customFormat="1" x14ac:dyDescent="0.25"/>
    <row r="135730" customFormat="1" x14ac:dyDescent="0.25"/>
    <row r="135731" customFormat="1" x14ac:dyDescent="0.25"/>
    <row r="135732" customFormat="1" x14ac:dyDescent="0.25"/>
    <row r="135733" customFormat="1" x14ac:dyDescent="0.25"/>
    <row r="135734" customFormat="1" x14ac:dyDescent="0.25"/>
    <row r="135735" customFormat="1" x14ac:dyDescent="0.25"/>
    <row r="135736" customFormat="1" x14ac:dyDescent="0.25"/>
    <row r="135737" customFormat="1" x14ac:dyDescent="0.25"/>
    <row r="135738" customFormat="1" x14ac:dyDescent="0.25"/>
    <row r="135739" customFormat="1" x14ac:dyDescent="0.25"/>
    <row r="135740" customFormat="1" x14ac:dyDescent="0.25"/>
    <row r="135741" customFormat="1" x14ac:dyDescent="0.25"/>
    <row r="135742" customFormat="1" x14ac:dyDescent="0.25"/>
    <row r="135743" customFormat="1" x14ac:dyDescent="0.25"/>
    <row r="135744" customFormat="1" x14ac:dyDescent="0.25"/>
    <row r="135745" customFormat="1" x14ac:dyDescent="0.25"/>
    <row r="135746" customFormat="1" x14ac:dyDescent="0.25"/>
    <row r="135747" customFormat="1" x14ac:dyDescent="0.25"/>
    <row r="135748" customFormat="1" x14ac:dyDescent="0.25"/>
    <row r="135749" customFormat="1" x14ac:dyDescent="0.25"/>
    <row r="135750" customFormat="1" x14ac:dyDescent="0.25"/>
    <row r="135751" customFormat="1" x14ac:dyDescent="0.25"/>
    <row r="135752" customFormat="1" x14ac:dyDescent="0.25"/>
    <row r="135753" customFormat="1" x14ac:dyDescent="0.25"/>
    <row r="135754" customFormat="1" x14ac:dyDescent="0.25"/>
    <row r="135755" customFormat="1" x14ac:dyDescent="0.25"/>
    <row r="135756" customFormat="1" x14ac:dyDescent="0.25"/>
    <row r="135757" customFormat="1" x14ac:dyDescent="0.25"/>
    <row r="135758" customFormat="1" x14ac:dyDescent="0.25"/>
    <row r="135759" customFormat="1" x14ac:dyDescent="0.25"/>
    <row r="135760" customFormat="1" x14ac:dyDescent="0.25"/>
    <row r="135761" customFormat="1" x14ac:dyDescent="0.25"/>
    <row r="135762" customFormat="1" x14ac:dyDescent="0.25"/>
    <row r="135763" customFormat="1" x14ac:dyDescent="0.25"/>
    <row r="135764" customFormat="1" x14ac:dyDescent="0.25"/>
    <row r="135765" customFormat="1" x14ac:dyDescent="0.25"/>
    <row r="135766" customFormat="1" x14ac:dyDescent="0.25"/>
    <row r="135767" customFormat="1" x14ac:dyDescent="0.25"/>
    <row r="135768" customFormat="1" x14ac:dyDescent="0.25"/>
    <row r="135769" customFormat="1" x14ac:dyDescent="0.25"/>
    <row r="135770" customFormat="1" x14ac:dyDescent="0.25"/>
    <row r="135771" customFormat="1" x14ac:dyDescent="0.25"/>
    <row r="135772" customFormat="1" x14ac:dyDescent="0.25"/>
    <row r="135773" customFormat="1" x14ac:dyDescent="0.25"/>
    <row r="135774" customFormat="1" x14ac:dyDescent="0.25"/>
    <row r="135775" customFormat="1" x14ac:dyDescent="0.25"/>
    <row r="135776" customFormat="1" x14ac:dyDescent="0.25"/>
    <row r="135777" customFormat="1" x14ac:dyDescent="0.25"/>
    <row r="135778" customFormat="1" x14ac:dyDescent="0.25"/>
    <row r="135779" customFormat="1" x14ac:dyDescent="0.25"/>
    <row r="135780" customFormat="1" x14ac:dyDescent="0.25"/>
    <row r="135781" customFormat="1" x14ac:dyDescent="0.25"/>
    <row r="135782" customFormat="1" x14ac:dyDescent="0.25"/>
    <row r="135783" customFormat="1" x14ac:dyDescent="0.25"/>
    <row r="135784" customFormat="1" x14ac:dyDescent="0.25"/>
    <row r="135785" customFormat="1" x14ac:dyDescent="0.25"/>
    <row r="135786" customFormat="1" x14ac:dyDescent="0.25"/>
    <row r="135787" customFormat="1" x14ac:dyDescent="0.25"/>
    <row r="135788" customFormat="1" x14ac:dyDescent="0.25"/>
    <row r="135789" customFormat="1" x14ac:dyDescent="0.25"/>
    <row r="135790" customFormat="1" x14ac:dyDescent="0.25"/>
    <row r="135791" customFormat="1" x14ac:dyDescent="0.25"/>
    <row r="135792" customFormat="1" x14ac:dyDescent="0.25"/>
    <row r="135793" customFormat="1" x14ac:dyDescent="0.25"/>
    <row r="135794" customFormat="1" x14ac:dyDescent="0.25"/>
    <row r="135795" customFormat="1" x14ac:dyDescent="0.25"/>
    <row r="135796" customFormat="1" x14ac:dyDescent="0.25"/>
    <row r="135797" customFormat="1" x14ac:dyDescent="0.25"/>
    <row r="135798" customFormat="1" x14ac:dyDescent="0.25"/>
    <row r="135799" customFormat="1" x14ac:dyDescent="0.25"/>
    <row r="135800" customFormat="1" x14ac:dyDescent="0.25"/>
    <row r="135801" customFormat="1" x14ac:dyDescent="0.25"/>
    <row r="135802" customFormat="1" x14ac:dyDescent="0.25"/>
    <row r="135803" customFormat="1" x14ac:dyDescent="0.25"/>
    <row r="135804" customFormat="1" x14ac:dyDescent="0.25"/>
    <row r="135805" customFormat="1" x14ac:dyDescent="0.25"/>
    <row r="135806" customFormat="1" x14ac:dyDescent="0.25"/>
    <row r="135807" customFormat="1" x14ac:dyDescent="0.25"/>
    <row r="135808" customFormat="1" x14ac:dyDescent="0.25"/>
    <row r="135809" customFormat="1" x14ac:dyDescent="0.25"/>
    <row r="135810" customFormat="1" x14ac:dyDescent="0.25"/>
    <row r="135811" customFormat="1" x14ac:dyDescent="0.25"/>
    <row r="135812" customFormat="1" x14ac:dyDescent="0.25"/>
    <row r="135813" customFormat="1" x14ac:dyDescent="0.25"/>
    <row r="135814" customFormat="1" x14ac:dyDescent="0.25"/>
    <row r="135815" customFormat="1" x14ac:dyDescent="0.25"/>
    <row r="135816" customFormat="1" x14ac:dyDescent="0.25"/>
    <row r="135817" customFormat="1" x14ac:dyDescent="0.25"/>
    <row r="135818" customFormat="1" x14ac:dyDescent="0.25"/>
    <row r="135819" customFormat="1" x14ac:dyDescent="0.25"/>
    <row r="135820" customFormat="1" x14ac:dyDescent="0.25"/>
    <row r="135821" customFormat="1" x14ac:dyDescent="0.25"/>
    <row r="135822" customFormat="1" x14ac:dyDescent="0.25"/>
    <row r="135823" customFormat="1" x14ac:dyDescent="0.25"/>
    <row r="135824" customFormat="1" x14ac:dyDescent="0.25"/>
    <row r="135825" customFormat="1" x14ac:dyDescent="0.25"/>
    <row r="135826" customFormat="1" x14ac:dyDescent="0.25"/>
    <row r="135827" customFormat="1" x14ac:dyDescent="0.25"/>
    <row r="135828" customFormat="1" x14ac:dyDescent="0.25"/>
    <row r="135829" customFormat="1" x14ac:dyDescent="0.25"/>
    <row r="135830" customFormat="1" x14ac:dyDescent="0.25"/>
    <row r="135831" customFormat="1" x14ac:dyDescent="0.25"/>
    <row r="135832" customFormat="1" x14ac:dyDescent="0.25"/>
    <row r="135833" customFormat="1" x14ac:dyDescent="0.25"/>
    <row r="135834" customFormat="1" x14ac:dyDescent="0.25"/>
    <row r="135835" customFormat="1" x14ac:dyDescent="0.25"/>
    <row r="135836" customFormat="1" x14ac:dyDescent="0.25"/>
    <row r="135837" customFormat="1" x14ac:dyDescent="0.25"/>
    <row r="135838" customFormat="1" x14ac:dyDescent="0.25"/>
    <row r="135839" customFormat="1" x14ac:dyDescent="0.25"/>
    <row r="135840" customFormat="1" x14ac:dyDescent="0.25"/>
    <row r="135841" customFormat="1" x14ac:dyDescent="0.25"/>
    <row r="135842" customFormat="1" x14ac:dyDescent="0.25"/>
    <row r="135843" customFormat="1" x14ac:dyDescent="0.25"/>
    <row r="135844" customFormat="1" x14ac:dyDescent="0.25"/>
    <row r="135845" customFormat="1" x14ac:dyDescent="0.25"/>
    <row r="135846" customFormat="1" x14ac:dyDescent="0.25"/>
    <row r="135847" customFormat="1" x14ac:dyDescent="0.25"/>
    <row r="135848" customFormat="1" x14ac:dyDescent="0.25"/>
    <row r="135849" customFormat="1" x14ac:dyDescent="0.25"/>
    <row r="135850" customFormat="1" x14ac:dyDescent="0.25"/>
    <row r="135851" customFormat="1" x14ac:dyDescent="0.25"/>
    <row r="135852" customFormat="1" x14ac:dyDescent="0.25"/>
    <row r="135853" customFormat="1" x14ac:dyDescent="0.25"/>
    <row r="135854" customFormat="1" x14ac:dyDescent="0.25"/>
    <row r="135855" customFormat="1" x14ac:dyDescent="0.25"/>
    <row r="135856" customFormat="1" x14ac:dyDescent="0.25"/>
    <row r="135857" customFormat="1" x14ac:dyDescent="0.25"/>
    <row r="135858" customFormat="1" x14ac:dyDescent="0.25"/>
    <row r="135859" customFormat="1" x14ac:dyDescent="0.25"/>
    <row r="135860" customFormat="1" x14ac:dyDescent="0.25"/>
    <row r="135861" customFormat="1" x14ac:dyDescent="0.25"/>
    <row r="135862" customFormat="1" x14ac:dyDescent="0.25"/>
    <row r="135863" customFormat="1" x14ac:dyDescent="0.25"/>
    <row r="135864" customFormat="1" x14ac:dyDescent="0.25"/>
    <row r="135865" customFormat="1" x14ac:dyDescent="0.25"/>
    <row r="135866" customFormat="1" x14ac:dyDescent="0.25"/>
    <row r="135867" customFormat="1" x14ac:dyDescent="0.25"/>
    <row r="135868" customFormat="1" x14ac:dyDescent="0.25"/>
    <row r="135869" customFormat="1" x14ac:dyDescent="0.25"/>
    <row r="135870" customFormat="1" x14ac:dyDescent="0.25"/>
    <row r="135871" customFormat="1" x14ac:dyDescent="0.25"/>
    <row r="135872" customFormat="1" x14ac:dyDescent="0.25"/>
    <row r="135873" customFormat="1" x14ac:dyDescent="0.25"/>
    <row r="135874" customFormat="1" x14ac:dyDescent="0.25"/>
    <row r="135875" customFormat="1" x14ac:dyDescent="0.25"/>
    <row r="135876" customFormat="1" x14ac:dyDescent="0.25"/>
    <row r="135877" customFormat="1" x14ac:dyDescent="0.25"/>
    <row r="135878" customFormat="1" x14ac:dyDescent="0.25"/>
    <row r="135879" customFormat="1" x14ac:dyDescent="0.25"/>
    <row r="135880" customFormat="1" x14ac:dyDescent="0.25"/>
    <row r="135881" customFormat="1" x14ac:dyDescent="0.25"/>
    <row r="135882" customFormat="1" x14ac:dyDescent="0.25"/>
    <row r="135883" customFormat="1" x14ac:dyDescent="0.25"/>
    <row r="135884" customFormat="1" x14ac:dyDescent="0.25"/>
    <row r="135885" customFormat="1" x14ac:dyDescent="0.25"/>
    <row r="135886" customFormat="1" x14ac:dyDescent="0.25"/>
    <row r="135887" customFormat="1" x14ac:dyDescent="0.25"/>
    <row r="135888" customFormat="1" x14ac:dyDescent="0.25"/>
    <row r="135889" customFormat="1" x14ac:dyDescent="0.25"/>
    <row r="135890" customFormat="1" x14ac:dyDescent="0.25"/>
    <row r="135891" customFormat="1" x14ac:dyDescent="0.25"/>
    <row r="135892" customFormat="1" x14ac:dyDescent="0.25"/>
    <row r="135893" customFormat="1" x14ac:dyDescent="0.25"/>
    <row r="135894" customFormat="1" x14ac:dyDescent="0.25"/>
    <row r="135895" customFormat="1" x14ac:dyDescent="0.25"/>
    <row r="135896" customFormat="1" x14ac:dyDescent="0.25"/>
    <row r="135897" customFormat="1" x14ac:dyDescent="0.25"/>
    <row r="135898" customFormat="1" x14ac:dyDescent="0.25"/>
    <row r="135899" customFormat="1" x14ac:dyDescent="0.25"/>
    <row r="135900" customFormat="1" x14ac:dyDescent="0.25"/>
    <row r="135901" customFormat="1" x14ac:dyDescent="0.25"/>
    <row r="135902" customFormat="1" x14ac:dyDescent="0.25"/>
    <row r="135903" customFormat="1" x14ac:dyDescent="0.25"/>
    <row r="135904" customFormat="1" x14ac:dyDescent="0.25"/>
    <row r="135905" customFormat="1" x14ac:dyDescent="0.25"/>
    <row r="135906" customFormat="1" x14ac:dyDescent="0.25"/>
    <row r="135907" customFormat="1" x14ac:dyDescent="0.25"/>
    <row r="135908" customFormat="1" x14ac:dyDescent="0.25"/>
    <row r="135909" customFormat="1" x14ac:dyDescent="0.25"/>
    <row r="135910" customFormat="1" x14ac:dyDescent="0.25"/>
    <row r="135911" customFormat="1" x14ac:dyDescent="0.25"/>
    <row r="135912" customFormat="1" x14ac:dyDescent="0.25"/>
    <row r="135913" customFormat="1" x14ac:dyDescent="0.25"/>
    <row r="135914" customFormat="1" x14ac:dyDescent="0.25"/>
    <row r="135915" customFormat="1" x14ac:dyDescent="0.25"/>
    <row r="135916" customFormat="1" x14ac:dyDescent="0.25"/>
    <row r="135917" customFormat="1" x14ac:dyDescent="0.25"/>
    <row r="135918" customFormat="1" x14ac:dyDescent="0.25"/>
    <row r="135919" customFormat="1" x14ac:dyDescent="0.25"/>
    <row r="135920" customFormat="1" x14ac:dyDescent="0.25"/>
    <row r="135921" customFormat="1" x14ac:dyDescent="0.25"/>
    <row r="135922" customFormat="1" x14ac:dyDescent="0.25"/>
    <row r="135923" customFormat="1" x14ac:dyDescent="0.25"/>
    <row r="135924" customFormat="1" x14ac:dyDescent="0.25"/>
    <row r="135925" customFormat="1" x14ac:dyDescent="0.25"/>
    <row r="135926" customFormat="1" x14ac:dyDescent="0.25"/>
    <row r="135927" customFormat="1" x14ac:dyDescent="0.25"/>
    <row r="135928" customFormat="1" x14ac:dyDescent="0.25"/>
    <row r="135929" customFormat="1" x14ac:dyDescent="0.25"/>
    <row r="135930" customFormat="1" x14ac:dyDescent="0.25"/>
    <row r="135931" customFormat="1" x14ac:dyDescent="0.25"/>
    <row r="135932" customFormat="1" x14ac:dyDescent="0.25"/>
    <row r="135933" customFormat="1" x14ac:dyDescent="0.25"/>
    <row r="135934" customFormat="1" x14ac:dyDescent="0.25"/>
    <row r="135935" customFormat="1" x14ac:dyDescent="0.25"/>
    <row r="135936" customFormat="1" x14ac:dyDescent="0.25"/>
    <row r="135937" customFormat="1" x14ac:dyDescent="0.25"/>
    <row r="135938" customFormat="1" x14ac:dyDescent="0.25"/>
    <row r="135939" customFormat="1" x14ac:dyDescent="0.25"/>
    <row r="135940" customFormat="1" x14ac:dyDescent="0.25"/>
    <row r="135941" customFormat="1" x14ac:dyDescent="0.25"/>
    <row r="135942" customFormat="1" x14ac:dyDescent="0.25"/>
    <row r="135943" customFormat="1" x14ac:dyDescent="0.25"/>
    <row r="135944" customFormat="1" x14ac:dyDescent="0.25"/>
    <row r="135945" customFormat="1" x14ac:dyDescent="0.25"/>
    <row r="135946" customFormat="1" x14ac:dyDescent="0.25"/>
    <row r="135947" customFormat="1" x14ac:dyDescent="0.25"/>
    <row r="135948" customFormat="1" x14ac:dyDescent="0.25"/>
    <row r="135949" customFormat="1" x14ac:dyDescent="0.25"/>
    <row r="135950" customFormat="1" x14ac:dyDescent="0.25"/>
    <row r="135951" customFormat="1" x14ac:dyDescent="0.25"/>
    <row r="135952" customFormat="1" x14ac:dyDescent="0.25"/>
    <row r="135953" customFormat="1" x14ac:dyDescent="0.25"/>
    <row r="135954" customFormat="1" x14ac:dyDescent="0.25"/>
    <row r="135955" customFormat="1" x14ac:dyDescent="0.25"/>
    <row r="135956" customFormat="1" x14ac:dyDescent="0.25"/>
    <row r="135957" customFormat="1" x14ac:dyDescent="0.25"/>
    <row r="135958" customFormat="1" x14ac:dyDescent="0.25"/>
    <row r="135959" customFormat="1" x14ac:dyDescent="0.25"/>
    <row r="135960" customFormat="1" x14ac:dyDescent="0.25"/>
    <row r="135961" customFormat="1" x14ac:dyDescent="0.25"/>
    <row r="135962" customFormat="1" x14ac:dyDescent="0.25"/>
    <row r="135963" customFormat="1" x14ac:dyDescent="0.25"/>
    <row r="135964" customFormat="1" x14ac:dyDescent="0.25"/>
    <row r="135965" customFormat="1" x14ac:dyDescent="0.25"/>
    <row r="135966" customFormat="1" x14ac:dyDescent="0.25"/>
    <row r="135967" customFormat="1" x14ac:dyDescent="0.25"/>
    <row r="135968" customFormat="1" x14ac:dyDescent="0.25"/>
    <row r="135969" customFormat="1" x14ac:dyDescent="0.25"/>
    <row r="135970" customFormat="1" x14ac:dyDescent="0.25"/>
    <row r="135971" customFormat="1" x14ac:dyDescent="0.25"/>
    <row r="135972" customFormat="1" x14ac:dyDescent="0.25"/>
    <row r="135973" customFormat="1" x14ac:dyDescent="0.25"/>
    <row r="135974" customFormat="1" x14ac:dyDescent="0.25"/>
    <row r="135975" customFormat="1" x14ac:dyDescent="0.25"/>
    <row r="135976" customFormat="1" x14ac:dyDescent="0.25"/>
    <row r="135977" customFormat="1" x14ac:dyDescent="0.25"/>
    <row r="135978" customFormat="1" x14ac:dyDescent="0.25"/>
    <row r="135979" customFormat="1" x14ac:dyDescent="0.25"/>
    <row r="135980" customFormat="1" x14ac:dyDescent="0.25"/>
    <row r="135981" customFormat="1" x14ac:dyDescent="0.25"/>
    <row r="135982" customFormat="1" x14ac:dyDescent="0.25"/>
    <row r="135983" customFormat="1" x14ac:dyDescent="0.25"/>
    <row r="135984" customFormat="1" x14ac:dyDescent="0.25"/>
    <row r="135985" customFormat="1" x14ac:dyDescent="0.25"/>
    <row r="135986" customFormat="1" x14ac:dyDescent="0.25"/>
    <row r="135987" customFormat="1" x14ac:dyDescent="0.25"/>
    <row r="135988" customFormat="1" x14ac:dyDescent="0.25"/>
    <row r="135989" customFormat="1" x14ac:dyDescent="0.25"/>
    <row r="135990" customFormat="1" x14ac:dyDescent="0.25"/>
    <row r="135991" customFormat="1" x14ac:dyDescent="0.25"/>
    <row r="135992" customFormat="1" x14ac:dyDescent="0.25"/>
    <row r="135993" customFormat="1" x14ac:dyDescent="0.25"/>
    <row r="135994" customFormat="1" x14ac:dyDescent="0.25"/>
    <row r="135995" customFormat="1" x14ac:dyDescent="0.25"/>
    <row r="135996" customFormat="1" x14ac:dyDescent="0.25"/>
    <row r="135997" customFormat="1" x14ac:dyDescent="0.25"/>
    <row r="135998" customFormat="1" x14ac:dyDescent="0.25"/>
    <row r="135999" customFormat="1" x14ac:dyDescent="0.25"/>
    <row r="136000" customFormat="1" x14ac:dyDescent="0.25"/>
    <row r="136001" customFormat="1" x14ac:dyDescent="0.25"/>
    <row r="136002" customFormat="1" x14ac:dyDescent="0.25"/>
    <row r="136003" customFormat="1" x14ac:dyDescent="0.25"/>
    <row r="136004" customFormat="1" x14ac:dyDescent="0.25"/>
    <row r="136005" customFormat="1" x14ac:dyDescent="0.25"/>
    <row r="136006" customFormat="1" x14ac:dyDescent="0.25"/>
    <row r="136007" customFormat="1" x14ac:dyDescent="0.25"/>
    <row r="136008" customFormat="1" x14ac:dyDescent="0.25"/>
    <row r="136009" customFormat="1" x14ac:dyDescent="0.25"/>
    <row r="136010" customFormat="1" x14ac:dyDescent="0.25"/>
    <row r="136011" customFormat="1" x14ac:dyDescent="0.25"/>
    <row r="136012" customFormat="1" x14ac:dyDescent="0.25"/>
    <row r="136013" customFormat="1" x14ac:dyDescent="0.25"/>
    <row r="136014" customFormat="1" x14ac:dyDescent="0.25"/>
    <row r="136015" customFormat="1" x14ac:dyDescent="0.25"/>
    <row r="136016" customFormat="1" x14ac:dyDescent="0.25"/>
    <row r="136017" customFormat="1" x14ac:dyDescent="0.25"/>
    <row r="136018" customFormat="1" x14ac:dyDescent="0.25"/>
    <row r="136019" customFormat="1" x14ac:dyDescent="0.25"/>
    <row r="136020" customFormat="1" x14ac:dyDescent="0.25"/>
    <row r="136021" customFormat="1" x14ac:dyDescent="0.25"/>
    <row r="136022" customFormat="1" x14ac:dyDescent="0.25"/>
    <row r="136023" customFormat="1" x14ac:dyDescent="0.25"/>
    <row r="136024" customFormat="1" x14ac:dyDescent="0.25"/>
    <row r="136025" customFormat="1" x14ac:dyDescent="0.25"/>
    <row r="136026" customFormat="1" x14ac:dyDescent="0.25"/>
    <row r="136027" customFormat="1" x14ac:dyDescent="0.25"/>
    <row r="136028" customFormat="1" x14ac:dyDescent="0.25"/>
    <row r="136029" customFormat="1" x14ac:dyDescent="0.25"/>
    <row r="136030" customFormat="1" x14ac:dyDescent="0.25"/>
    <row r="136031" customFormat="1" x14ac:dyDescent="0.25"/>
    <row r="136032" customFormat="1" x14ac:dyDescent="0.25"/>
    <row r="136033" customFormat="1" x14ac:dyDescent="0.25"/>
    <row r="136034" customFormat="1" x14ac:dyDescent="0.25"/>
    <row r="136035" customFormat="1" x14ac:dyDescent="0.25"/>
    <row r="136036" customFormat="1" x14ac:dyDescent="0.25"/>
    <row r="136037" customFormat="1" x14ac:dyDescent="0.25"/>
    <row r="136038" customFormat="1" x14ac:dyDescent="0.25"/>
    <row r="136039" customFormat="1" x14ac:dyDescent="0.25"/>
    <row r="136040" customFormat="1" x14ac:dyDescent="0.25"/>
    <row r="136041" customFormat="1" x14ac:dyDescent="0.25"/>
    <row r="136042" customFormat="1" x14ac:dyDescent="0.25"/>
    <row r="136043" customFormat="1" x14ac:dyDescent="0.25"/>
    <row r="136044" customFormat="1" x14ac:dyDescent="0.25"/>
    <row r="136045" customFormat="1" x14ac:dyDescent="0.25"/>
    <row r="136046" customFormat="1" x14ac:dyDescent="0.25"/>
    <row r="136047" customFormat="1" x14ac:dyDescent="0.25"/>
    <row r="136048" customFormat="1" x14ac:dyDescent="0.25"/>
    <row r="136049" customFormat="1" x14ac:dyDescent="0.25"/>
    <row r="136050" customFormat="1" x14ac:dyDescent="0.25"/>
    <row r="136051" customFormat="1" x14ac:dyDescent="0.25"/>
    <row r="136052" customFormat="1" x14ac:dyDescent="0.25"/>
    <row r="136053" customFormat="1" x14ac:dyDescent="0.25"/>
    <row r="136054" customFormat="1" x14ac:dyDescent="0.25"/>
    <row r="136055" customFormat="1" x14ac:dyDescent="0.25"/>
    <row r="136056" customFormat="1" x14ac:dyDescent="0.25"/>
    <row r="136057" customFormat="1" x14ac:dyDescent="0.25"/>
    <row r="136058" customFormat="1" x14ac:dyDescent="0.25"/>
    <row r="136059" customFormat="1" x14ac:dyDescent="0.25"/>
    <row r="136060" customFormat="1" x14ac:dyDescent="0.25"/>
    <row r="136061" customFormat="1" x14ac:dyDescent="0.25"/>
    <row r="136062" customFormat="1" x14ac:dyDescent="0.25"/>
    <row r="136063" customFormat="1" x14ac:dyDescent="0.25"/>
    <row r="136064" customFormat="1" x14ac:dyDescent="0.25"/>
    <row r="136065" customFormat="1" x14ac:dyDescent="0.25"/>
    <row r="136066" customFormat="1" x14ac:dyDescent="0.25"/>
    <row r="136067" customFormat="1" x14ac:dyDescent="0.25"/>
    <row r="136068" customFormat="1" x14ac:dyDescent="0.25"/>
    <row r="136069" customFormat="1" x14ac:dyDescent="0.25"/>
    <row r="136070" customFormat="1" x14ac:dyDescent="0.25"/>
    <row r="136071" customFormat="1" x14ac:dyDescent="0.25"/>
    <row r="136072" customFormat="1" x14ac:dyDescent="0.25"/>
    <row r="136073" customFormat="1" x14ac:dyDescent="0.25"/>
    <row r="136074" customFormat="1" x14ac:dyDescent="0.25"/>
    <row r="136075" customFormat="1" x14ac:dyDescent="0.25"/>
    <row r="136076" customFormat="1" x14ac:dyDescent="0.25"/>
    <row r="136077" customFormat="1" x14ac:dyDescent="0.25"/>
    <row r="136078" customFormat="1" x14ac:dyDescent="0.25"/>
    <row r="136079" customFormat="1" x14ac:dyDescent="0.25"/>
    <row r="136080" customFormat="1" x14ac:dyDescent="0.25"/>
    <row r="136081" customFormat="1" x14ac:dyDescent="0.25"/>
    <row r="136082" customFormat="1" x14ac:dyDescent="0.25"/>
    <row r="136083" customFormat="1" x14ac:dyDescent="0.25"/>
    <row r="136084" customFormat="1" x14ac:dyDescent="0.25"/>
    <row r="136085" customFormat="1" x14ac:dyDescent="0.25"/>
    <row r="136086" customFormat="1" x14ac:dyDescent="0.25"/>
    <row r="136087" customFormat="1" x14ac:dyDescent="0.25"/>
    <row r="136088" customFormat="1" x14ac:dyDescent="0.25"/>
    <row r="136089" customFormat="1" x14ac:dyDescent="0.25"/>
    <row r="136090" customFormat="1" x14ac:dyDescent="0.25"/>
    <row r="136091" customFormat="1" x14ac:dyDescent="0.25"/>
    <row r="136092" customFormat="1" x14ac:dyDescent="0.25"/>
    <row r="136093" customFormat="1" x14ac:dyDescent="0.25"/>
    <row r="136094" customFormat="1" x14ac:dyDescent="0.25"/>
    <row r="136095" customFormat="1" x14ac:dyDescent="0.25"/>
    <row r="136096" customFormat="1" x14ac:dyDescent="0.25"/>
    <row r="136097" customFormat="1" x14ac:dyDescent="0.25"/>
    <row r="136098" customFormat="1" x14ac:dyDescent="0.25"/>
    <row r="136099" customFormat="1" x14ac:dyDescent="0.25"/>
    <row r="136100" customFormat="1" x14ac:dyDescent="0.25"/>
    <row r="136101" customFormat="1" x14ac:dyDescent="0.25"/>
    <row r="136102" customFormat="1" x14ac:dyDescent="0.25"/>
    <row r="136103" customFormat="1" x14ac:dyDescent="0.25"/>
    <row r="136104" customFormat="1" x14ac:dyDescent="0.25"/>
    <row r="136105" customFormat="1" x14ac:dyDescent="0.25"/>
    <row r="136106" customFormat="1" x14ac:dyDescent="0.25"/>
    <row r="136107" customFormat="1" x14ac:dyDescent="0.25"/>
    <row r="136108" customFormat="1" x14ac:dyDescent="0.25"/>
    <row r="136109" customFormat="1" x14ac:dyDescent="0.25"/>
    <row r="136110" customFormat="1" x14ac:dyDescent="0.25"/>
    <row r="136111" customFormat="1" x14ac:dyDescent="0.25"/>
    <row r="136112" customFormat="1" x14ac:dyDescent="0.25"/>
    <row r="136113" customFormat="1" x14ac:dyDescent="0.25"/>
    <row r="136114" customFormat="1" x14ac:dyDescent="0.25"/>
    <row r="136115" customFormat="1" x14ac:dyDescent="0.25"/>
    <row r="136116" customFormat="1" x14ac:dyDescent="0.25"/>
    <row r="136117" customFormat="1" x14ac:dyDescent="0.25"/>
    <row r="136118" customFormat="1" x14ac:dyDescent="0.25"/>
    <row r="136119" customFormat="1" x14ac:dyDescent="0.25"/>
    <row r="136120" customFormat="1" x14ac:dyDescent="0.25"/>
    <row r="136121" customFormat="1" x14ac:dyDescent="0.25"/>
    <row r="136122" customFormat="1" x14ac:dyDescent="0.25"/>
    <row r="136123" customFormat="1" x14ac:dyDescent="0.25"/>
    <row r="136124" customFormat="1" x14ac:dyDescent="0.25"/>
    <row r="136125" customFormat="1" x14ac:dyDescent="0.25"/>
    <row r="136126" customFormat="1" x14ac:dyDescent="0.25"/>
    <row r="136127" customFormat="1" x14ac:dyDescent="0.25"/>
    <row r="136128" customFormat="1" x14ac:dyDescent="0.25"/>
    <row r="136129" customFormat="1" x14ac:dyDescent="0.25"/>
    <row r="136130" customFormat="1" x14ac:dyDescent="0.25"/>
    <row r="136131" customFormat="1" x14ac:dyDescent="0.25"/>
    <row r="136132" customFormat="1" x14ac:dyDescent="0.25"/>
    <row r="136133" customFormat="1" x14ac:dyDescent="0.25"/>
    <row r="136134" customFormat="1" x14ac:dyDescent="0.25"/>
    <row r="136135" customFormat="1" x14ac:dyDescent="0.25"/>
    <row r="136136" customFormat="1" x14ac:dyDescent="0.25"/>
    <row r="136137" customFormat="1" x14ac:dyDescent="0.25"/>
    <row r="136138" customFormat="1" x14ac:dyDescent="0.25"/>
    <row r="136139" customFormat="1" x14ac:dyDescent="0.25"/>
    <row r="136140" customFormat="1" x14ac:dyDescent="0.25"/>
    <row r="136141" customFormat="1" x14ac:dyDescent="0.25"/>
    <row r="136142" customFormat="1" x14ac:dyDescent="0.25"/>
    <row r="136143" customFormat="1" x14ac:dyDescent="0.25"/>
    <row r="136144" customFormat="1" x14ac:dyDescent="0.25"/>
    <row r="136145" customFormat="1" x14ac:dyDescent="0.25"/>
    <row r="136146" customFormat="1" x14ac:dyDescent="0.25"/>
    <row r="136147" customFormat="1" x14ac:dyDescent="0.25"/>
    <row r="136148" customFormat="1" x14ac:dyDescent="0.25"/>
    <row r="136149" customFormat="1" x14ac:dyDescent="0.25"/>
    <row r="136150" customFormat="1" x14ac:dyDescent="0.25"/>
    <row r="136151" customFormat="1" x14ac:dyDescent="0.25"/>
    <row r="136152" customFormat="1" x14ac:dyDescent="0.25"/>
    <row r="136153" customFormat="1" x14ac:dyDescent="0.25"/>
    <row r="136154" customFormat="1" x14ac:dyDescent="0.25"/>
    <row r="136155" customFormat="1" x14ac:dyDescent="0.25"/>
    <row r="136156" customFormat="1" x14ac:dyDescent="0.25"/>
    <row r="136157" customFormat="1" x14ac:dyDescent="0.25"/>
    <row r="136158" customFormat="1" x14ac:dyDescent="0.25"/>
    <row r="136159" customFormat="1" x14ac:dyDescent="0.25"/>
    <row r="136160" customFormat="1" x14ac:dyDescent="0.25"/>
    <row r="136161" customFormat="1" x14ac:dyDescent="0.25"/>
    <row r="136162" customFormat="1" x14ac:dyDescent="0.25"/>
    <row r="136163" customFormat="1" x14ac:dyDescent="0.25"/>
    <row r="136164" customFormat="1" x14ac:dyDescent="0.25"/>
    <row r="136165" customFormat="1" x14ac:dyDescent="0.25"/>
    <row r="136166" customFormat="1" x14ac:dyDescent="0.25"/>
    <row r="136167" customFormat="1" x14ac:dyDescent="0.25"/>
    <row r="136168" customFormat="1" x14ac:dyDescent="0.25"/>
    <row r="136169" customFormat="1" x14ac:dyDescent="0.25"/>
    <row r="136170" customFormat="1" x14ac:dyDescent="0.25"/>
    <row r="136171" customFormat="1" x14ac:dyDescent="0.25"/>
    <row r="136172" customFormat="1" x14ac:dyDescent="0.25"/>
    <row r="136173" customFormat="1" x14ac:dyDescent="0.25"/>
    <row r="136174" customFormat="1" x14ac:dyDescent="0.25"/>
    <row r="136175" customFormat="1" x14ac:dyDescent="0.25"/>
    <row r="136176" customFormat="1" x14ac:dyDescent="0.25"/>
    <row r="136177" customFormat="1" x14ac:dyDescent="0.25"/>
    <row r="136178" customFormat="1" x14ac:dyDescent="0.25"/>
    <row r="136179" customFormat="1" x14ac:dyDescent="0.25"/>
    <row r="136180" customFormat="1" x14ac:dyDescent="0.25"/>
    <row r="136181" customFormat="1" x14ac:dyDescent="0.25"/>
    <row r="136182" customFormat="1" x14ac:dyDescent="0.25"/>
    <row r="136183" customFormat="1" x14ac:dyDescent="0.25"/>
    <row r="136184" customFormat="1" x14ac:dyDescent="0.25"/>
    <row r="136185" customFormat="1" x14ac:dyDescent="0.25"/>
    <row r="136186" customFormat="1" x14ac:dyDescent="0.25"/>
    <row r="136187" customFormat="1" x14ac:dyDescent="0.25"/>
    <row r="136188" customFormat="1" x14ac:dyDescent="0.25"/>
    <row r="136189" customFormat="1" x14ac:dyDescent="0.25"/>
    <row r="136190" customFormat="1" x14ac:dyDescent="0.25"/>
    <row r="136191" customFormat="1" x14ac:dyDescent="0.25"/>
    <row r="136192" customFormat="1" x14ac:dyDescent="0.25"/>
    <row r="136193" customFormat="1" x14ac:dyDescent="0.25"/>
    <row r="136194" customFormat="1" x14ac:dyDescent="0.25"/>
    <row r="136195" customFormat="1" x14ac:dyDescent="0.25"/>
    <row r="136196" customFormat="1" x14ac:dyDescent="0.25"/>
    <row r="136197" customFormat="1" x14ac:dyDescent="0.25"/>
    <row r="136198" customFormat="1" x14ac:dyDescent="0.25"/>
    <row r="136199" customFormat="1" x14ac:dyDescent="0.25"/>
    <row r="136200" customFormat="1" x14ac:dyDescent="0.25"/>
    <row r="136201" customFormat="1" x14ac:dyDescent="0.25"/>
    <row r="136202" customFormat="1" x14ac:dyDescent="0.25"/>
    <row r="136203" customFormat="1" x14ac:dyDescent="0.25"/>
    <row r="136204" customFormat="1" x14ac:dyDescent="0.25"/>
    <row r="136205" customFormat="1" x14ac:dyDescent="0.25"/>
    <row r="136206" customFormat="1" x14ac:dyDescent="0.25"/>
    <row r="136207" customFormat="1" x14ac:dyDescent="0.25"/>
    <row r="136208" customFormat="1" x14ac:dyDescent="0.25"/>
    <row r="136209" customFormat="1" x14ac:dyDescent="0.25"/>
    <row r="136210" customFormat="1" x14ac:dyDescent="0.25"/>
    <row r="136211" customFormat="1" x14ac:dyDescent="0.25"/>
    <row r="136212" customFormat="1" x14ac:dyDescent="0.25"/>
    <row r="136213" customFormat="1" x14ac:dyDescent="0.25"/>
    <row r="136214" customFormat="1" x14ac:dyDescent="0.25"/>
    <row r="136215" customFormat="1" x14ac:dyDescent="0.25"/>
    <row r="136216" customFormat="1" x14ac:dyDescent="0.25"/>
    <row r="136217" customFormat="1" x14ac:dyDescent="0.25"/>
    <row r="136218" customFormat="1" x14ac:dyDescent="0.25"/>
    <row r="136219" customFormat="1" x14ac:dyDescent="0.25"/>
    <row r="136220" customFormat="1" x14ac:dyDescent="0.25"/>
    <row r="136221" customFormat="1" x14ac:dyDescent="0.25"/>
    <row r="136222" customFormat="1" x14ac:dyDescent="0.25"/>
    <row r="136223" customFormat="1" x14ac:dyDescent="0.25"/>
    <row r="136224" customFormat="1" x14ac:dyDescent="0.25"/>
    <row r="136225" customFormat="1" x14ac:dyDescent="0.25"/>
    <row r="136226" customFormat="1" x14ac:dyDescent="0.25"/>
    <row r="136227" customFormat="1" x14ac:dyDescent="0.25"/>
    <row r="136228" customFormat="1" x14ac:dyDescent="0.25"/>
    <row r="136229" customFormat="1" x14ac:dyDescent="0.25"/>
    <row r="136230" customFormat="1" x14ac:dyDescent="0.25"/>
    <row r="136231" customFormat="1" x14ac:dyDescent="0.25"/>
    <row r="136232" customFormat="1" x14ac:dyDescent="0.25"/>
    <row r="136233" customFormat="1" x14ac:dyDescent="0.25"/>
    <row r="136234" customFormat="1" x14ac:dyDescent="0.25"/>
    <row r="136235" customFormat="1" x14ac:dyDescent="0.25"/>
    <row r="136236" customFormat="1" x14ac:dyDescent="0.25"/>
    <row r="136237" customFormat="1" x14ac:dyDescent="0.25"/>
    <row r="136238" customFormat="1" x14ac:dyDescent="0.25"/>
    <row r="136239" customFormat="1" x14ac:dyDescent="0.25"/>
    <row r="136240" customFormat="1" x14ac:dyDescent="0.25"/>
    <row r="136241" customFormat="1" x14ac:dyDescent="0.25"/>
    <row r="136242" customFormat="1" x14ac:dyDescent="0.25"/>
    <row r="136243" customFormat="1" x14ac:dyDescent="0.25"/>
    <row r="136244" customFormat="1" x14ac:dyDescent="0.25"/>
    <row r="136245" customFormat="1" x14ac:dyDescent="0.25"/>
    <row r="136246" customFormat="1" x14ac:dyDescent="0.25"/>
    <row r="136247" customFormat="1" x14ac:dyDescent="0.25"/>
    <row r="136248" customFormat="1" x14ac:dyDescent="0.25"/>
    <row r="136249" customFormat="1" x14ac:dyDescent="0.25"/>
    <row r="136250" customFormat="1" x14ac:dyDescent="0.25"/>
    <row r="136251" customFormat="1" x14ac:dyDescent="0.25"/>
    <row r="136252" customFormat="1" x14ac:dyDescent="0.25"/>
    <row r="136253" customFormat="1" x14ac:dyDescent="0.25"/>
    <row r="136254" customFormat="1" x14ac:dyDescent="0.25"/>
    <row r="136255" customFormat="1" x14ac:dyDescent="0.25"/>
    <row r="136256" customFormat="1" x14ac:dyDescent="0.25"/>
    <row r="136257" customFormat="1" x14ac:dyDescent="0.25"/>
    <row r="136258" customFormat="1" x14ac:dyDescent="0.25"/>
    <row r="136259" customFormat="1" x14ac:dyDescent="0.25"/>
    <row r="136260" customFormat="1" x14ac:dyDescent="0.25"/>
    <row r="136261" customFormat="1" x14ac:dyDescent="0.25"/>
    <row r="136262" customFormat="1" x14ac:dyDescent="0.25"/>
    <row r="136263" customFormat="1" x14ac:dyDescent="0.25"/>
    <row r="136264" customFormat="1" x14ac:dyDescent="0.25"/>
    <row r="136265" customFormat="1" x14ac:dyDescent="0.25"/>
    <row r="136266" customFormat="1" x14ac:dyDescent="0.25"/>
    <row r="136267" customFormat="1" x14ac:dyDescent="0.25"/>
    <row r="136268" customFormat="1" x14ac:dyDescent="0.25"/>
    <row r="136269" customFormat="1" x14ac:dyDescent="0.25"/>
    <row r="136270" customFormat="1" x14ac:dyDescent="0.25"/>
    <row r="136271" customFormat="1" x14ac:dyDescent="0.25"/>
    <row r="136272" customFormat="1" x14ac:dyDescent="0.25"/>
    <row r="136273" customFormat="1" x14ac:dyDescent="0.25"/>
    <row r="136274" customFormat="1" x14ac:dyDescent="0.25"/>
    <row r="136275" customFormat="1" x14ac:dyDescent="0.25"/>
    <row r="136276" customFormat="1" x14ac:dyDescent="0.25"/>
    <row r="136277" customFormat="1" x14ac:dyDescent="0.25"/>
    <row r="136278" customFormat="1" x14ac:dyDescent="0.25"/>
    <row r="136279" customFormat="1" x14ac:dyDescent="0.25"/>
    <row r="136280" customFormat="1" x14ac:dyDescent="0.25"/>
    <row r="136281" customFormat="1" x14ac:dyDescent="0.25"/>
    <row r="136282" customFormat="1" x14ac:dyDescent="0.25"/>
    <row r="136283" customFormat="1" x14ac:dyDescent="0.25"/>
    <row r="136284" customFormat="1" x14ac:dyDescent="0.25"/>
    <row r="136285" customFormat="1" x14ac:dyDescent="0.25"/>
    <row r="136286" customFormat="1" x14ac:dyDescent="0.25"/>
    <row r="136287" customFormat="1" x14ac:dyDescent="0.25"/>
    <row r="136288" customFormat="1" x14ac:dyDescent="0.25"/>
    <row r="136289" customFormat="1" x14ac:dyDescent="0.25"/>
    <row r="136290" customFormat="1" x14ac:dyDescent="0.25"/>
    <row r="136291" customFormat="1" x14ac:dyDescent="0.25"/>
    <row r="136292" customFormat="1" x14ac:dyDescent="0.25"/>
    <row r="136293" customFormat="1" x14ac:dyDescent="0.25"/>
    <row r="136294" customFormat="1" x14ac:dyDescent="0.25"/>
    <row r="136295" customFormat="1" x14ac:dyDescent="0.25"/>
    <row r="136296" customFormat="1" x14ac:dyDescent="0.25"/>
    <row r="136297" customFormat="1" x14ac:dyDescent="0.25"/>
    <row r="136298" customFormat="1" x14ac:dyDescent="0.25"/>
    <row r="136299" customFormat="1" x14ac:dyDescent="0.25"/>
    <row r="136300" customFormat="1" x14ac:dyDescent="0.25"/>
    <row r="136301" customFormat="1" x14ac:dyDescent="0.25"/>
    <row r="136302" customFormat="1" x14ac:dyDescent="0.25"/>
    <row r="136303" customFormat="1" x14ac:dyDescent="0.25"/>
    <row r="136304" customFormat="1" x14ac:dyDescent="0.25"/>
    <row r="136305" customFormat="1" x14ac:dyDescent="0.25"/>
    <row r="136306" customFormat="1" x14ac:dyDescent="0.25"/>
    <row r="136307" customFormat="1" x14ac:dyDescent="0.25"/>
    <row r="136308" customFormat="1" x14ac:dyDescent="0.25"/>
    <row r="136309" customFormat="1" x14ac:dyDescent="0.25"/>
    <row r="136310" customFormat="1" x14ac:dyDescent="0.25"/>
    <row r="136311" customFormat="1" x14ac:dyDescent="0.25"/>
    <row r="136312" customFormat="1" x14ac:dyDescent="0.25"/>
    <row r="136313" customFormat="1" x14ac:dyDescent="0.25"/>
    <row r="136314" customFormat="1" x14ac:dyDescent="0.25"/>
    <row r="136315" customFormat="1" x14ac:dyDescent="0.25"/>
    <row r="136316" customFormat="1" x14ac:dyDescent="0.25"/>
    <row r="136317" customFormat="1" x14ac:dyDescent="0.25"/>
    <row r="136318" customFormat="1" x14ac:dyDescent="0.25"/>
    <row r="136319" customFormat="1" x14ac:dyDescent="0.25"/>
    <row r="136320" customFormat="1" x14ac:dyDescent="0.25"/>
    <row r="136321" customFormat="1" x14ac:dyDescent="0.25"/>
    <row r="136322" customFormat="1" x14ac:dyDescent="0.25"/>
    <row r="136323" customFormat="1" x14ac:dyDescent="0.25"/>
    <row r="136324" customFormat="1" x14ac:dyDescent="0.25"/>
    <row r="136325" customFormat="1" x14ac:dyDescent="0.25"/>
    <row r="136326" customFormat="1" x14ac:dyDescent="0.25"/>
    <row r="136327" customFormat="1" x14ac:dyDescent="0.25"/>
    <row r="136328" customFormat="1" x14ac:dyDescent="0.25"/>
    <row r="136329" customFormat="1" x14ac:dyDescent="0.25"/>
    <row r="136330" customFormat="1" x14ac:dyDescent="0.25"/>
    <row r="136331" customFormat="1" x14ac:dyDescent="0.25"/>
    <row r="136332" customFormat="1" x14ac:dyDescent="0.25"/>
    <row r="136333" customFormat="1" x14ac:dyDescent="0.25"/>
    <row r="136334" customFormat="1" x14ac:dyDescent="0.25"/>
    <row r="136335" customFormat="1" x14ac:dyDescent="0.25"/>
    <row r="136336" customFormat="1" x14ac:dyDescent="0.25"/>
    <row r="136337" customFormat="1" x14ac:dyDescent="0.25"/>
    <row r="136338" customFormat="1" x14ac:dyDescent="0.25"/>
    <row r="136339" customFormat="1" x14ac:dyDescent="0.25"/>
    <row r="136340" customFormat="1" x14ac:dyDescent="0.25"/>
    <row r="136341" customFormat="1" x14ac:dyDescent="0.25"/>
    <row r="136342" customFormat="1" x14ac:dyDescent="0.25"/>
    <row r="136343" customFormat="1" x14ac:dyDescent="0.25"/>
    <row r="136344" customFormat="1" x14ac:dyDescent="0.25"/>
    <row r="136345" customFormat="1" x14ac:dyDescent="0.25"/>
    <row r="136346" customFormat="1" x14ac:dyDescent="0.25"/>
    <row r="136347" customFormat="1" x14ac:dyDescent="0.25"/>
    <row r="136348" customFormat="1" x14ac:dyDescent="0.25"/>
    <row r="136349" customFormat="1" x14ac:dyDescent="0.25"/>
    <row r="136350" customFormat="1" x14ac:dyDescent="0.25"/>
    <row r="136351" customFormat="1" x14ac:dyDescent="0.25"/>
    <row r="136352" customFormat="1" x14ac:dyDescent="0.25"/>
    <row r="136353" customFormat="1" x14ac:dyDescent="0.25"/>
    <row r="136354" customFormat="1" x14ac:dyDescent="0.25"/>
    <row r="136355" customFormat="1" x14ac:dyDescent="0.25"/>
    <row r="136356" customFormat="1" x14ac:dyDescent="0.25"/>
    <row r="136357" customFormat="1" x14ac:dyDescent="0.25"/>
    <row r="136358" customFormat="1" x14ac:dyDescent="0.25"/>
    <row r="136359" customFormat="1" x14ac:dyDescent="0.25"/>
    <row r="136360" customFormat="1" x14ac:dyDescent="0.25"/>
    <row r="136361" customFormat="1" x14ac:dyDescent="0.25"/>
    <row r="136362" customFormat="1" x14ac:dyDescent="0.25"/>
    <row r="136363" customFormat="1" x14ac:dyDescent="0.25"/>
    <row r="136364" customFormat="1" x14ac:dyDescent="0.25"/>
    <row r="136365" customFormat="1" x14ac:dyDescent="0.25"/>
    <row r="136366" customFormat="1" x14ac:dyDescent="0.25"/>
    <row r="136367" customFormat="1" x14ac:dyDescent="0.25"/>
    <row r="136368" customFormat="1" x14ac:dyDescent="0.25"/>
    <row r="136369" customFormat="1" x14ac:dyDescent="0.25"/>
    <row r="136370" customFormat="1" x14ac:dyDescent="0.25"/>
    <row r="136371" customFormat="1" x14ac:dyDescent="0.25"/>
    <row r="136372" customFormat="1" x14ac:dyDescent="0.25"/>
    <row r="136373" customFormat="1" x14ac:dyDescent="0.25"/>
    <row r="136374" customFormat="1" x14ac:dyDescent="0.25"/>
    <row r="136375" customFormat="1" x14ac:dyDescent="0.25"/>
    <row r="136376" customFormat="1" x14ac:dyDescent="0.25"/>
    <row r="136377" customFormat="1" x14ac:dyDescent="0.25"/>
    <row r="136378" customFormat="1" x14ac:dyDescent="0.25"/>
    <row r="136379" customFormat="1" x14ac:dyDescent="0.25"/>
    <row r="136380" customFormat="1" x14ac:dyDescent="0.25"/>
    <row r="136381" customFormat="1" x14ac:dyDescent="0.25"/>
    <row r="136382" customFormat="1" x14ac:dyDescent="0.25"/>
    <row r="136383" customFormat="1" x14ac:dyDescent="0.25"/>
    <row r="136384" customFormat="1" x14ac:dyDescent="0.25"/>
    <row r="136385" customFormat="1" x14ac:dyDescent="0.25"/>
    <row r="136386" customFormat="1" x14ac:dyDescent="0.25"/>
    <row r="136387" customFormat="1" x14ac:dyDescent="0.25"/>
    <row r="136388" customFormat="1" x14ac:dyDescent="0.25"/>
    <row r="136389" customFormat="1" x14ac:dyDescent="0.25"/>
    <row r="136390" customFormat="1" x14ac:dyDescent="0.25"/>
    <row r="136391" customFormat="1" x14ac:dyDescent="0.25"/>
    <row r="136392" customFormat="1" x14ac:dyDescent="0.25"/>
    <row r="136393" customFormat="1" x14ac:dyDescent="0.25"/>
    <row r="136394" customFormat="1" x14ac:dyDescent="0.25"/>
    <row r="136395" customFormat="1" x14ac:dyDescent="0.25"/>
    <row r="136396" customFormat="1" x14ac:dyDescent="0.25"/>
    <row r="136397" customFormat="1" x14ac:dyDescent="0.25"/>
    <row r="136398" customFormat="1" x14ac:dyDescent="0.25"/>
    <row r="136399" customFormat="1" x14ac:dyDescent="0.25"/>
    <row r="136400" customFormat="1" x14ac:dyDescent="0.25"/>
    <row r="136401" customFormat="1" x14ac:dyDescent="0.25"/>
    <row r="136402" customFormat="1" x14ac:dyDescent="0.25"/>
    <row r="136403" customFormat="1" x14ac:dyDescent="0.25"/>
    <row r="136404" customFormat="1" x14ac:dyDescent="0.25"/>
    <row r="136405" customFormat="1" x14ac:dyDescent="0.25"/>
    <row r="136406" customFormat="1" x14ac:dyDescent="0.25"/>
    <row r="136407" customFormat="1" x14ac:dyDescent="0.25"/>
    <row r="136408" customFormat="1" x14ac:dyDescent="0.25"/>
    <row r="136409" customFormat="1" x14ac:dyDescent="0.25"/>
    <row r="136410" customFormat="1" x14ac:dyDescent="0.25"/>
    <row r="136411" customFormat="1" x14ac:dyDescent="0.25"/>
    <row r="136412" customFormat="1" x14ac:dyDescent="0.25"/>
    <row r="136413" customFormat="1" x14ac:dyDescent="0.25"/>
    <row r="136414" customFormat="1" x14ac:dyDescent="0.25"/>
    <row r="136415" customFormat="1" x14ac:dyDescent="0.25"/>
    <row r="136416" customFormat="1" x14ac:dyDescent="0.25"/>
    <row r="136417" customFormat="1" x14ac:dyDescent="0.25"/>
    <row r="136418" customFormat="1" x14ac:dyDescent="0.25"/>
    <row r="136419" customFormat="1" x14ac:dyDescent="0.25"/>
    <row r="136420" customFormat="1" x14ac:dyDescent="0.25"/>
    <row r="136421" customFormat="1" x14ac:dyDescent="0.25"/>
    <row r="136422" customFormat="1" x14ac:dyDescent="0.25"/>
    <row r="136423" customFormat="1" x14ac:dyDescent="0.25"/>
    <row r="136424" customFormat="1" x14ac:dyDescent="0.25"/>
    <row r="136425" customFormat="1" x14ac:dyDescent="0.25"/>
    <row r="136426" customFormat="1" x14ac:dyDescent="0.25"/>
    <row r="136427" customFormat="1" x14ac:dyDescent="0.25"/>
    <row r="136428" customFormat="1" x14ac:dyDescent="0.25"/>
    <row r="136429" customFormat="1" x14ac:dyDescent="0.25"/>
    <row r="136430" customFormat="1" x14ac:dyDescent="0.25"/>
    <row r="136431" customFormat="1" x14ac:dyDescent="0.25"/>
    <row r="136432" customFormat="1" x14ac:dyDescent="0.25"/>
    <row r="136433" customFormat="1" x14ac:dyDescent="0.25"/>
    <row r="136434" customFormat="1" x14ac:dyDescent="0.25"/>
    <row r="136435" customFormat="1" x14ac:dyDescent="0.25"/>
    <row r="136436" customFormat="1" x14ac:dyDescent="0.25"/>
    <row r="136437" customFormat="1" x14ac:dyDescent="0.25"/>
    <row r="136438" customFormat="1" x14ac:dyDescent="0.25"/>
    <row r="136439" customFormat="1" x14ac:dyDescent="0.25"/>
    <row r="136440" customFormat="1" x14ac:dyDescent="0.25"/>
    <row r="136441" customFormat="1" x14ac:dyDescent="0.25"/>
    <row r="136442" customFormat="1" x14ac:dyDescent="0.25"/>
    <row r="136443" customFormat="1" x14ac:dyDescent="0.25"/>
    <row r="136444" customFormat="1" x14ac:dyDescent="0.25"/>
    <row r="136445" customFormat="1" x14ac:dyDescent="0.25"/>
    <row r="136446" customFormat="1" x14ac:dyDescent="0.25"/>
    <row r="136447" customFormat="1" x14ac:dyDescent="0.25"/>
    <row r="136448" customFormat="1" x14ac:dyDescent="0.25"/>
    <row r="136449" customFormat="1" x14ac:dyDescent="0.25"/>
    <row r="136450" customFormat="1" x14ac:dyDescent="0.25"/>
    <row r="136451" customFormat="1" x14ac:dyDescent="0.25"/>
    <row r="136452" customFormat="1" x14ac:dyDescent="0.25"/>
    <row r="136453" customFormat="1" x14ac:dyDescent="0.25"/>
    <row r="136454" customFormat="1" x14ac:dyDescent="0.25"/>
    <row r="136455" customFormat="1" x14ac:dyDescent="0.25"/>
    <row r="136456" customFormat="1" x14ac:dyDescent="0.25"/>
    <row r="136457" customFormat="1" x14ac:dyDescent="0.25"/>
    <row r="136458" customFormat="1" x14ac:dyDescent="0.25"/>
    <row r="136459" customFormat="1" x14ac:dyDescent="0.25"/>
    <row r="136460" customFormat="1" x14ac:dyDescent="0.25"/>
    <row r="136461" customFormat="1" x14ac:dyDescent="0.25"/>
    <row r="136462" customFormat="1" x14ac:dyDescent="0.25"/>
    <row r="136463" customFormat="1" x14ac:dyDescent="0.25"/>
    <row r="136464" customFormat="1" x14ac:dyDescent="0.25"/>
    <row r="136465" customFormat="1" x14ac:dyDescent="0.25"/>
    <row r="136466" customFormat="1" x14ac:dyDescent="0.25"/>
    <row r="136467" customFormat="1" x14ac:dyDescent="0.25"/>
    <row r="136468" customFormat="1" x14ac:dyDescent="0.25"/>
    <row r="136469" customFormat="1" x14ac:dyDescent="0.25"/>
    <row r="136470" customFormat="1" x14ac:dyDescent="0.25"/>
    <row r="136471" customFormat="1" x14ac:dyDescent="0.25"/>
    <row r="136472" customFormat="1" x14ac:dyDescent="0.25"/>
    <row r="136473" customFormat="1" x14ac:dyDescent="0.25"/>
    <row r="136474" customFormat="1" x14ac:dyDescent="0.25"/>
    <row r="136475" customFormat="1" x14ac:dyDescent="0.25"/>
    <row r="136476" customFormat="1" x14ac:dyDescent="0.25"/>
    <row r="136477" customFormat="1" x14ac:dyDescent="0.25"/>
    <row r="136478" customFormat="1" x14ac:dyDescent="0.25"/>
    <row r="136479" customFormat="1" x14ac:dyDescent="0.25"/>
    <row r="136480" customFormat="1" x14ac:dyDescent="0.25"/>
    <row r="136481" customFormat="1" x14ac:dyDescent="0.25"/>
    <row r="136482" customFormat="1" x14ac:dyDescent="0.25"/>
    <row r="136483" customFormat="1" x14ac:dyDescent="0.25"/>
    <row r="136484" customFormat="1" x14ac:dyDescent="0.25"/>
    <row r="136485" customFormat="1" x14ac:dyDescent="0.25"/>
    <row r="136486" customFormat="1" x14ac:dyDescent="0.25"/>
    <row r="136487" customFormat="1" x14ac:dyDescent="0.25"/>
    <row r="136488" customFormat="1" x14ac:dyDescent="0.25"/>
    <row r="136489" customFormat="1" x14ac:dyDescent="0.25"/>
    <row r="136490" customFormat="1" x14ac:dyDescent="0.25"/>
    <row r="136491" customFormat="1" x14ac:dyDescent="0.25"/>
    <row r="136492" customFormat="1" x14ac:dyDescent="0.25"/>
    <row r="136493" customFormat="1" x14ac:dyDescent="0.25"/>
    <row r="136494" customFormat="1" x14ac:dyDescent="0.25"/>
    <row r="136495" customFormat="1" x14ac:dyDescent="0.25"/>
    <row r="136496" customFormat="1" x14ac:dyDescent="0.25"/>
    <row r="136497" customFormat="1" x14ac:dyDescent="0.25"/>
    <row r="136498" customFormat="1" x14ac:dyDescent="0.25"/>
    <row r="136499" customFormat="1" x14ac:dyDescent="0.25"/>
    <row r="136500" customFormat="1" x14ac:dyDescent="0.25"/>
    <row r="136501" customFormat="1" x14ac:dyDescent="0.25"/>
    <row r="136502" customFormat="1" x14ac:dyDescent="0.25"/>
    <row r="136503" customFormat="1" x14ac:dyDescent="0.25"/>
    <row r="136504" customFormat="1" x14ac:dyDescent="0.25"/>
    <row r="136505" customFormat="1" x14ac:dyDescent="0.25"/>
    <row r="136506" customFormat="1" x14ac:dyDescent="0.25"/>
    <row r="136507" customFormat="1" x14ac:dyDescent="0.25"/>
    <row r="136508" customFormat="1" x14ac:dyDescent="0.25"/>
    <row r="136509" customFormat="1" x14ac:dyDescent="0.25"/>
    <row r="136510" customFormat="1" x14ac:dyDescent="0.25"/>
    <row r="136511" customFormat="1" x14ac:dyDescent="0.25"/>
    <row r="136512" customFormat="1" x14ac:dyDescent="0.25"/>
    <row r="136513" customFormat="1" x14ac:dyDescent="0.25"/>
    <row r="136514" customFormat="1" x14ac:dyDescent="0.25"/>
    <row r="136515" customFormat="1" x14ac:dyDescent="0.25"/>
    <row r="136516" customFormat="1" x14ac:dyDescent="0.25"/>
    <row r="136517" customFormat="1" x14ac:dyDescent="0.25"/>
    <row r="136518" customFormat="1" x14ac:dyDescent="0.25"/>
    <row r="136519" customFormat="1" x14ac:dyDescent="0.25"/>
    <row r="136520" customFormat="1" x14ac:dyDescent="0.25"/>
    <row r="136521" customFormat="1" x14ac:dyDescent="0.25"/>
    <row r="136522" customFormat="1" x14ac:dyDescent="0.25"/>
    <row r="136523" customFormat="1" x14ac:dyDescent="0.25"/>
    <row r="136524" customFormat="1" x14ac:dyDescent="0.25"/>
    <row r="136525" customFormat="1" x14ac:dyDescent="0.25"/>
    <row r="136526" customFormat="1" x14ac:dyDescent="0.25"/>
    <row r="136527" customFormat="1" x14ac:dyDescent="0.25"/>
    <row r="136528" customFormat="1" x14ac:dyDescent="0.25"/>
    <row r="136529" customFormat="1" x14ac:dyDescent="0.25"/>
    <row r="136530" customFormat="1" x14ac:dyDescent="0.25"/>
    <row r="136531" customFormat="1" x14ac:dyDescent="0.25"/>
    <row r="136532" customFormat="1" x14ac:dyDescent="0.25"/>
    <row r="136533" customFormat="1" x14ac:dyDescent="0.25"/>
    <row r="136534" customFormat="1" x14ac:dyDescent="0.25"/>
    <row r="136535" customFormat="1" x14ac:dyDescent="0.25"/>
    <row r="136536" customFormat="1" x14ac:dyDescent="0.25"/>
    <row r="136537" customFormat="1" x14ac:dyDescent="0.25"/>
    <row r="136538" customFormat="1" x14ac:dyDescent="0.25"/>
    <row r="136539" customFormat="1" x14ac:dyDescent="0.25"/>
    <row r="136540" customFormat="1" x14ac:dyDescent="0.25"/>
    <row r="136541" customFormat="1" x14ac:dyDescent="0.25"/>
    <row r="136542" customFormat="1" x14ac:dyDescent="0.25"/>
    <row r="136543" customFormat="1" x14ac:dyDescent="0.25"/>
    <row r="136544" customFormat="1" x14ac:dyDescent="0.25"/>
    <row r="136545" customFormat="1" x14ac:dyDescent="0.25"/>
    <row r="136546" customFormat="1" x14ac:dyDescent="0.25"/>
    <row r="136547" customFormat="1" x14ac:dyDescent="0.25"/>
    <row r="136548" customFormat="1" x14ac:dyDescent="0.25"/>
    <row r="136549" customFormat="1" x14ac:dyDescent="0.25"/>
    <row r="136550" customFormat="1" x14ac:dyDescent="0.25"/>
    <row r="136551" customFormat="1" x14ac:dyDescent="0.25"/>
    <row r="136552" customFormat="1" x14ac:dyDescent="0.25"/>
    <row r="136553" customFormat="1" x14ac:dyDescent="0.25"/>
    <row r="136554" customFormat="1" x14ac:dyDescent="0.25"/>
    <row r="136555" customFormat="1" x14ac:dyDescent="0.25"/>
    <row r="136556" customFormat="1" x14ac:dyDescent="0.25"/>
    <row r="136557" customFormat="1" x14ac:dyDescent="0.25"/>
    <row r="136558" customFormat="1" x14ac:dyDescent="0.25"/>
    <row r="136559" customFormat="1" x14ac:dyDescent="0.25"/>
    <row r="136560" customFormat="1" x14ac:dyDescent="0.25"/>
    <row r="136561" customFormat="1" x14ac:dyDescent="0.25"/>
    <row r="136562" customFormat="1" x14ac:dyDescent="0.25"/>
    <row r="136563" customFormat="1" x14ac:dyDescent="0.25"/>
    <row r="136564" customFormat="1" x14ac:dyDescent="0.25"/>
    <row r="136565" customFormat="1" x14ac:dyDescent="0.25"/>
    <row r="136566" customFormat="1" x14ac:dyDescent="0.25"/>
    <row r="136567" customFormat="1" x14ac:dyDescent="0.25"/>
    <row r="136568" customFormat="1" x14ac:dyDescent="0.25"/>
    <row r="136569" customFormat="1" x14ac:dyDescent="0.25"/>
    <row r="136570" customFormat="1" x14ac:dyDescent="0.25"/>
    <row r="136571" customFormat="1" x14ac:dyDescent="0.25"/>
    <row r="136572" customFormat="1" x14ac:dyDescent="0.25"/>
    <row r="136573" customFormat="1" x14ac:dyDescent="0.25"/>
    <row r="136574" customFormat="1" x14ac:dyDescent="0.25"/>
    <row r="136575" customFormat="1" x14ac:dyDescent="0.25"/>
    <row r="136576" customFormat="1" x14ac:dyDescent="0.25"/>
    <row r="136577" customFormat="1" x14ac:dyDescent="0.25"/>
    <row r="136578" customFormat="1" x14ac:dyDescent="0.25"/>
    <row r="136579" customFormat="1" x14ac:dyDescent="0.25"/>
    <row r="136580" customFormat="1" x14ac:dyDescent="0.25"/>
    <row r="136581" customFormat="1" x14ac:dyDescent="0.25"/>
    <row r="136582" customFormat="1" x14ac:dyDescent="0.25"/>
    <row r="136583" customFormat="1" x14ac:dyDescent="0.25"/>
    <row r="136584" customFormat="1" x14ac:dyDescent="0.25"/>
    <row r="136585" customFormat="1" x14ac:dyDescent="0.25"/>
    <row r="136586" customFormat="1" x14ac:dyDescent="0.25"/>
    <row r="136587" customFormat="1" x14ac:dyDescent="0.25"/>
    <row r="136588" customFormat="1" x14ac:dyDescent="0.25"/>
    <row r="136589" customFormat="1" x14ac:dyDescent="0.25"/>
    <row r="136590" customFormat="1" x14ac:dyDescent="0.25"/>
    <row r="136591" customFormat="1" x14ac:dyDescent="0.25"/>
    <row r="136592" customFormat="1" x14ac:dyDescent="0.25"/>
    <row r="136593" customFormat="1" x14ac:dyDescent="0.25"/>
    <row r="136594" customFormat="1" x14ac:dyDescent="0.25"/>
    <row r="136595" customFormat="1" x14ac:dyDescent="0.25"/>
    <row r="136596" customFormat="1" x14ac:dyDescent="0.25"/>
    <row r="136597" customFormat="1" x14ac:dyDescent="0.25"/>
    <row r="136598" customFormat="1" x14ac:dyDescent="0.25"/>
    <row r="136599" customFormat="1" x14ac:dyDescent="0.25"/>
    <row r="136600" customFormat="1" x14ac:dyDescent="0.25"/>
    <row r="136601" customFormat="1" x14ac:dyDescent="0.25"/>
    <row r="136602" customFormat="1" x14ac:dyDescent="0.25"/>
    <row r="136603" customFormat="1" x14ac:dyDescent="0.25"/>
    <row r="136604" customFormat="1" x14ac:dyDescent="0.25"/>
    <row r="136605" customFormat="1" x14ac:dyDescent="0.25"/>
    <row r="136606" customFormat="1" x14ac:dyDescent="0.25"/>
    <row r="136607" customFormat="1" x14ac:dyDescent="0.25"/>
    <row r="136608" customFormat="1" x14ac:dyDescent="0.25"/>
    <row r="136609" customFormat="1" x14ac:dyDescent="0.25"/>
    <row r="136610" customFormat="1" x14ac:dyDescent="0.25"/>
    <row r="136611" customFormat="1" x14ac:dyDescent="0.25"/>
    <row r="136612" customFormat="1" x14ac:dyDescent="0.25"/>
    <row r="136613" customFormat="1" x14ac:dyDescent="0.25"/>
    <row r="136614" customFormat="1" x14ac:dyDescent="0.25"/>
    <row r="136615" customFormat="1" x14ac:dyDescent="0.25"/>
    <row r="136616" customFormat="1" x14ac:dyDescent="0.25"/>
    <row r="136617" customFormat="1" x14ac:dyDescent="0.25"/>
    <row r="136618" customFormat="1" x14ac:dyDescent="0.25"/>
    <row r="136619" customFormat="1" x14ac:dyDescent="0.25"/>
    <row r="136620" customFormat="1" x14ac:dyDescent="0.25"/>
    <row r="136621" customFormat="1" x14ac:dyDescent="0.25"/>
    <row r="136622" customFormat="1" x14ac:dyDescent="0.25"/>
    <row r="136623" customFormat="1" x14ac:dyDescent="0.25"/>
    <row r="136624" customFormat="1" x14ac:dyDescent="0.25"/>
    <row r="136625" customFormat="1" x14ac:dyDescent="0.25"/>
    <row r="136626" customFormat="1" x14ac:dyDescent="0.25"/>
    <row r="136627" customFormat="1" x14ac:dyDescent="0.25"/>
    <row r="136628" customFormat="1" x14ac:dyDescent="0.25"/>
    <row r="136629" customFormat="1" x14ac:dyDescent="0.25"/>
    <row r="136630" customFormat="1" x14ac:dyDescent="0.25"/>
    <row r="136631" customFormat="1" x14ac:dyDescent="0.25"/>
    <row r="136632" customFormat="1" x14ac:dyDescent="0.25"/>
    <row r="136633" customFormat="1" x14ac:dyDescent="0.25"/>
    <row r="136634" customFormat="1" x14ac:dyDescent="0.25"/>
    <row r="136635" customFormat="1" x14ac:dyDescent="0.25"/>
    <row r="136636" customFormat="1" x14ac:dyDescent="0.25"/>
    <row r="136637" customFormat="1" x14ac:dyDescent="0.25"/>
    <row r="136638" customFormat="1" x14ac:dyDescent="0.25"/>
    <row r="136639" customFormat="1" x14ac:dyDescent="0.25"/>
    <row r="136640" customFormat="1" x14ac:dyDescent="0.25"/>
    <row r="136641" customFormat="1" x14ac:dyDescent="0.25"/>
    <row r="136642" customFormat="1" x14ac:dyDescent="0.25"/>
    <row r="136643" customFormat="1" x14ac:dyDescent="0.25"/>
    <row r="136644" customFormat="1" x14ac:dyDescent="0.25"/>
    <row r="136645" customFormat="1" x14ac:dyDescent="0.25"/>
    <row r="136646" customFormat="1" x14ac:dyDescent="0.25"/>
    <row r="136647" customFormat="1" x14ac:dyDescent="0.25"/>
    <row r="136648" customFormat="1" x14ac:dyDescent="0.25"/>
    <row r="136649" customFormat="1" x14ac:dyDescent="0.25"/>
    <row r="136650" customFormat="1" x14ac:dyDescent="0.25"/>
    <row r="136651" customFormat="1" x14ac:dyDescent="0.25"/>
    <row r="136652" customFormat="1" x14ac:dyDescent="0.25"/>
    <row r="136653" customFormat="1" x14ac:dyDescent="0.25"/>
    <row r="136654" customFormat="1" x14ac:dyDescent="0.25"/>
    <row r="136655" customFormat="1" x14ac:dyDescent="0.25"/>
    <row r="136656" customFormat="1" x14ac:dyDescent="0.25"/>
    <row r="136657" customFormat="1" x14ac:dyDescent="0.25"/>
    <row r="136658" customFormat="1" x14ac:dyDescent="0.25"/>
    <row r="136659" customFormat="1" x14ac:dyDescent="0.25"/>
    <row r="136660" customFormat="1" x14ac:dyDescent="0.25"/>
    <row r="136661" customFormat="1" x14ac:dyDescent="0.25"/>
    <row r="136662" customFormat="1" x14ac:dyDescent="0.25"/>
    <row r="136663" customFormat="1" x14ac:dyDescent="0.25"/>
    <row r="136664" customFormat="1" x14ac:dyDescent="0.25"/>
    <row r="136665" customFormat="1" x14ac:dyDescent="0.25"/>
    <row r="136666" customFormat="1" x14ac:dyDescent="0.25"/>
    <row r="136667" customFormat="1" x14ac:dyDescent="0.25"/>
    <row r="136668" customFormat="1" x14ac:dyDescent="0.25"/>
    <row r="136669" customFormat="1" x14ac:dyDescent="0.25"/>
    <row r="136670" customFormat="1" x14ac:dyDescent="0.25"/>
    <row r="136671" customFormat="1" x14ac:dyDescent="0.25"/>
    <row r="136672" customFormat="1" x14ac:dyDescent="0.25"/>
    <row r="136673" customFormat="1" x14ac:dyDescent="0.25"/>
    <row r="136674" customFormat="1" x14ac:dyDescent="0.25"/>
    <row r="136675" customFormat="1" x14ac:dyDescent="0.25"/>
    <row r="136676" customFormat="1" x14ac:dyDescent="0.25"/>
    <row r="136677" customFormat="1" x14ac:dyDescent="0.25"/>
    <row r="136678" customFormat="1" x14ac:dyDescent="0.25"/>
    <row r="136679" customFormat="1" x14ac:dyDescent="0.25"/>
    <row r="136680" customFormat="1" x14ac:dyDescent="0.25"/>
    <row r="136681" customFormat="1" x14ac:dyDescent="0.25"/>
    <row r="136682" customFormat="1" x14ac:dyDescent="0.25"/>
    <row r="136683" customFormat="1" x14ac:dyDescent="0.25"/>
    <row r="136684" customFormat="1" x14ac:dyDescent="0.25"/>
    <row r="136685" customFormat="1" x14ac:dyDescent="0.25"/>
    <row r="136686" customFormat="1" x14ac:dyDescent="0.25"/>
    <row r="136687" customFormat="1" x14ac:dyDescent="0.25"/>
    <row r="136688" customFormat="1" x14ac:dyDescent="0.25"/>
    <row r="136689" customFormat="1" x14ac:dyDescent="0.25"/>
    <row r="136690" customFormat="1" x14ac:dyDescent="0.25"/>
    <row r="136691" customFormat="1" x14ac:dyDescent="0.25"/>
    <row r="136692" customFormat="1" x14ac:dyDescent="0.25"/>
    <row r="136693" customFormat="1" x14ac:dyDescent="0.25"/>
    <row r="136694" customFormat="1" x14ac:dyDescent="0.25"/>
    <row r="136695" customFormat="1" x14ac:dyDescent="0.25"/>
    <row r="136696" customFormat="1" x14ac:dyDescent="0.25"/>
    <row r="136697" customFormat="1" x14ac:dyDescent="0.25"/>
    <row r="136698" customFormat="1" x14ac:dyDescent="0.25"/>
    <row r="136699" customFormat="1" x14ac:dyDescent="0.25"/>
    <row r="136700" customFormat="1" x14ac:dyDescent="0.25"/>
    <row r="136701" customFormat="1" x14ac:dyDescent="0.25"/>
    <row r="136702" customFormat="1" x14ac:dyDescent="0.25"/>
    <row r="136703" customFormat="1" x14ac:dyDescent="0.25"/>
    <row r="136704" customFormat="1" x14ac:dyDescent="0.25"/>
    <row r="136705" customFormat="1" x14ac:dyDescent="0.25"/>
    <row r="136706" customFormat="1" x14ac:dyDescent="0.25"/>
    <row r="136707" customFormat="1" x14ac:dyDescent="0.25"/>
    <row r="136708" customFormat="1" x14ac:dyDescent="0.25"/>
    <row r="136709" customFormat="1" x14ac:dyDescent="0.25"/>
    <row r="136710" customFormat="1" x14ac:dyDescent="0.25"/>
    <row r="136711" customFormat="1" x14ac:dyDescent="0.25"/>
    <row r="136712" customFormat="1" x14ac:dyDescent="0.25"/>
    <row r="136713" customFormat="1" x14ac:dyDescent="0.25"/>
    <row r="136714" customFormat="1" x14ac:dyDescent="0.25"/>
    <row r="136715" customFormat="1" x14ac:dyDescent="0.25"/>
    <row r="136716" customFormat="1" x14ac:dyDescent="0.25"/>
    <row r="136717" customFormat="1" x14ac:dyDescent="0.25"/>
    <row r="136718" customFormat="1" x14ac:dyDescent="0.25"/>
    <row r="136719" customFormat="1" x14ac:dyDescent="0.25"/>
    <row r="136720" customFormat="1" x14ac:dyDescent="0.25"/>
    <row r="136721" customFormat="1" x14ac:dyDescent="0.25"/>
    <row r="136722" customFormat="1" x14ac:dyDescent="0.25"/>
    <row r="136723" customFormat="1" x14ac:dyDescent="0.25"/>
    <row r="136724" customFormat="1" x14ac:dyDescent="0.25"/>
    <row r="136725" customFormat="1" x14ac:dyDescent="0.25"/>
    <row r="136726" customFormat="1" x14ac:dyDescent="0.25"/>
    <row r="136727" customFormat="1" x14ac:dyDescent="0.25"/>
    <row r="136728" customFormat="1" x14ac:dyDescent="0.25"/>
    <row r="136729" customFormat="1" x14ac:dyDescent="0.25"/>
    <row r="136730" customFormat="1" x14ac:dyDescent="0.25"/>
    <row r="136731" customFormat="1" x14ac:dyDescent="0.25"/>
    <row r="136732" customFormat="1" x14ac:dyDescent="0.25"/>
    <row r="136733" customFormat="1" x14ac:dyDescent="0.25"/>
    <row r="136734" customFormat="1" x14ac:dyDescent="0.25"/>
    <row r="136735" customFormat="1" x14ac:dyDescent="0.25"/>
    <row r="136736" customFormat="1" x14ac:dyDescent="0.25"/>
    <row r="136737" customFormat="1" x14ac:dyDescent="0.25"/>
    <row r="136738" customFormat="1" x14ac:dyDescent="0.25"/>
    <row r="136739" customFormat="1" x14ac:dyDescent="0.25"/>
    <row r="136740" customFormat="1" x14ac:dyDescent="0.25"/>
    <row r="136741" customFormat="1" x14ac:dyDescent="0.25"/>
    <row r="136742" customFormat="1" x14ac:dyDescent="0.25"/>
    <row r="136743" customFormat="1" x14ac:dyDescent="0.25"/>
    <row r="136744" customFormat="1" x14ac:dyDescent="0.25"/>
    <row r="136745" customFormat="1" x14ac:dyDescent="0.25"/>
    <row r="136746" customFormat="1" x14ac:dyDescent="0.25"/>
    <row r="136747" customFormat="1" x14ac:dyDescent="0.25"/>
    <row r="136748" customFormat="1" x14ac:dyDescent="0.25"/>
    <row r="136749" customFormat="1" x14ac:dyDescent="0.25"/>
    <row r="136750" customFormat="1" x14ac:dyDescent="0.25"/>
    <row r="136751" customFormat="1" x14ac:dyDescent="0.25"/>
    <row r="136752" customFormat="1" x14ac:dyDescent="0.25"/>
    <row r="136753" customFormat="1" x14ac:dyDescent="0.25"/>
    <row r="136754" customFormat="1" x14ac:dyDescent="0.25"/>
    <row r="136755" customFormat="1" x14ac:dyDescent="0.25"/>
    <row r="136756" customFormat="1" x14ac:dyDescent="0.25"/>
    <row r="136757" customFormat="1" x14ac:dyDescent="0.25"/>
    <row r="136758" customFormat="1" x14ac:dyDescent="0.25"/>
    <row r="136759" customFormat="1" x14ac:dyDescent="0.25"/>
    <row r="136760" customFormat="1" x14ac:dyDescent="0.25"/>
    <row r="136761" customFormat="1" x14ac:dyDescent="0.25"/>
    <row r="136762" customFormat="1" x14ac:dyDescent="0.25"/>
    <row r="136763" customFormat="1" x14ac:dyDescent="0.25"/>
    <row r="136764" customFormat="1" x14ac:dyDescent="0.25"/>
    <row r="136765" customFormat="1" x14ac:dyDescent="0.25"/>
    <row r="136766" customFormat="1" x14ac:dyDescent="0.25"/>
    <row r="136767" customFormat="1" x14ac:dyDescent="0.25"/>
    <row r="136768" customFormat="1" x14ac:dyDescent="0.25"/>
    <row r="136769" customFormat="1" x14ac:dyDescent="0.25"/>
    <row r="136770" customFormat="1" x14ac:dyDescent="0.25"/>
    <row r="136771" customFormat="1" x14ac:dyDescent="0.25"/>
    <row r="136772" customFormat="1" x14ac:dyDescent="0.25"/>
    <row r="136773" customFormat="1" x14ac:dyDescent="0.25"/>
    <row r="136774" customFormat="1" x14ac:dyDescent="0.25"/>
    <row r="136775" customFormat="1" x14ac:dyDescent="0.25"/>
    <row r="136776" customFormat="1" x14ac:dyDescent="0.25"/>
    <row r="136777" customFormat="1" x14ac:dyDescent="0.25"/>
    <row r="136778" customFormat="1" x14ac:dyDescent="0.25"/>
    <row r="136779" customFormat="1" x14ac:dyDescent="0.25"/>
    <row r="136780" customFormat="1" x14ac:dyDescent="0.25"/>
    <row r="136781" customFormat="1" x14ac:dyDescent="0.25"/>
    <row r="136782" customFormat="1" x14ac:dyDescent="0.25"/>
    <row r="136783" customFormat="1" x14ac:dyDescent="0.25"/>
    <row r="136784" customFormat="1" x14ac:dyDescent="0.25"/>
    <row r="136785" customFormat="1" x14ac:dyDescent="0.25"/>
    <row r="136786" customFormat="1" x14ac:dyDescent="0.25"/>
    <row r="136787" customFormat="1" x14ac:dyDescent="0.25"/>
    <row r="136788" customFormat="1" x14ac:dyDescent="0.25"/>
    <row r="136789" customFormat="1" x14ac:dyDescent="0.25"/>
    <row r="136790" customFormat="1" x14ac:dyDescent="0.25"/>
    <row r="136791" customFormat="1" x14ac:dyDescent="0.25"/>
    <row r="136792" customFormat="1" x14ac:dyDescent="0.25"/>
    <row r="136793" customFormat="1" x14ac:dyDescent="0.25"/>
    <row r="136794" customFormat="1" x14ac:dyDescent="0.25"/>
    <row r="136795" customFormat="1" x14ac:dyDescent="0.25"/>
    <row r="136796" customFormat="1" x14ac:dyDescent="0.25"/>
    <row r="136797" customFormat="1" x14ac:dyDescent="0.25"/>
    <row r="136798" customFormat="1" x14ac:dyDescent="0.25"/>
    <row r="136799" customFormat="1" x14ac:dyDescent="0.25"/>
    <row r="136800" customFormat="1" x14ac:dyDescent="0.25"/>
    <row r="136801" customFormat="1" x14ac:dyDescent="0.25"/>
    <row r="136802" customFormat="1" x14ac:dyDescent="0.25"/>
    <row r="136803" customFormat="1" x14ac:dyDescent="0.25"/>
    <row r="136804" customFormat="1" x14ac:dyDescent="0.25"/>
    <row r="136805" customFormat="1" x14ac:dyDescent="0.25"/>
    <row r="136806" customFormat="1" x14ac:dyDescent="0.25"/>
    <row r="136807" customFormat="1" x14ac:dyDescent="0.25"/>
    <row r="136808" customFormat="1" x14ac:dyDescent="0.25"/>
    <row r="136809" customFormat="1" x14ac:dyDescent="0.25"/>
    <row r="136810" customFormat="1" x14ac:dyDescent="0.25"/>
    <row r="136811" customFormat="1" x14ac:dyDescent="0.25"/>
    <row r="136812" customFormat="1" x14ac:dyDescent="0.25"/>
    <row r="136813" customFormat="1" x14ac:dyDescent="0.25"/>
    <row r="136814" customFormat="1" x14ac:dyDescent="0.25"/>
    <row r="136815" customFormat="1" x14ac:dyDescent="0.25"/>
    <row r="136816" customFormat="1" x14ac:dyDescent="0.25"/>
    <row r="136817" customFormat="1" x14ac:dyDescent="0.25"/>
    <row r="136818" customFormat="1" x14ac:dyDescent="0.25"/>
    <row r="136819" customFormat="1" x14ac:dyDescent="0.25"/>
    <row r="136820" customFormat="1" x14ac:dyDescent="0.25"/>
    <row r="136821" customFormat="1" x14ac:dyDescent="0.25"/>
    <row r="136822" customFormat="1" x14ac:dyDescent="0.25"/>
    <row r="136823" customFormat="1" x14ac:dyDescent="0.25"/>
    <row r="136824" customFormat="1" x14ac:dyDescent="0.25"/>
    <row r="136825" customFormat="1" x14ac:dyDescent="0.25"/>
    <row r="136826" customFormat="1" x14ac:dyDescent="0.25"/>
    <row r="136827" customFormat="1" x14ac:dyDescent="0.25"/>
    <row r="136828" customFormat="1" x14ac:dyDescent="0.25"/>
    <row r="136829" customFormat="1" x14ac:dyDescent="0.25"/>
    <row r="136830" customFormat="1" x14ac:dyDescent="0.25"/>
    <row r="136831" customFormat="1" x14ac:dyDescent="0.25"/>
    <row r="136832" customFormat="1" x14ac:dyDescent="0.25"/>
    <row r="136833" customFormat="1" x14ac:dyDescent="0.25"/>
    <row r="136834" customFormat="1" x14ac:dyDescent="0.25"/>
    <row r="136835" customFormat="1" x14ac:dyDescent="0.25"/>
    <row r="136836" customFormat="1" x14ac:dyDescent="0.25"/>
    <row r="136837" customFormat="1" x14ac:dyDescent="0.25"/>
    <row r="136838" customFormat="1" x14ac:dyDescent="0.25"/>
    <row r="136839" customFormat="1" x14ac:dyDescent="0.25"/>
    <row r="136840" customFormat="1" x14ac:dyDescent="0.25"/>
    <row r="136841" customFormat="1" x14ac:dyDescent="0.25"/>
    <row r="136842" customFormat="1" x14ac:dyDescent="0.25"/>
    <row r="136843" customFormat="1" x14ac:dyDescent="0.25"/>
    <row r="136844" customFormat="1" x14ac:dyDescent="0.25"/>
    <row r="136845" customFormat="1" x14ac:dyDescent="0.25"/>
    <row r="136846" customFormat="1" x14ac:dyDescent="0.25"/>
    <row r="136847" customFormat="1" x14ac:dyDescent="0.25"/>
    <row r="136848" customFormat="1" x14ac:dyDescent="0.25"/>
    <row r="136849" customFormat="1" x14ac:dyDescent="0.25"/>
    <row r="136850" customFormat="1" x14ac:dyDescent="0.25"/>
    <row r="136851" customFormat="1" x14ac:dyDescent="0.25"/>
    <row r="136852" customFormat="1" x14ac:dyDescent="0.25"/>
    <row r="136853" customFormat="1" x14ac:dyDescent="0.25"/>
    <row r="136854" customFormat="1" x14ac:dyDescent="0.25"/>
    <row r="136855" customFormat="1" x14ac:dyDescent="0.25"/>
    <row r="136856" customFormat="1" x14ac:dyDescent="0.25"/>
    <row r="136857" customFormat="1" x14ac:dyDescent="0.25"/>
    <row r="136858" customFormat="1" x14ac:dyDescent="0.25"/>
    <row r="136859" customFormat="1" x14ac:dyDescent="0.25"/>
    <row r="136860" customFormat="1" x14ac:dyDescent="0.25"/>
    <row r="136861" customFormat="1" x14ac:dyDescent="0.25"/>
    <row r="136862" customFormat="1" x14ac:dyDescent="0.25"/>
    <row r="136863" customFormat="1" x14ac:dyDescent="0.25"/>
    <row r="136864" customFormat="1" x14ac:dyDescent="0.25"/>
    <row r="136865" customFormat="1" x14ac:dyDescent="0.25"/>
    <row r="136866" customFormat="1" x14ac:dyDescent="0.25"/>
    <row r="136867" customFormat="1" x14ac:dyDescent="0.25"/>
    <row r="136868" customFormat="1" x14ac:dyDescent="0.25"/>
    <row r="136869" customFormat="1" x14ac:dyDescent="0.25"/>
    <row r="136870" customFormat="1" x14ac:dyDescent="0.25"/>
    <row r="136871" customFormat="1" x14ac:dyDescent="0.25"/>
    <row r="136872" customFormat="1" x14ac:dyDescent="0.25"/>
    <row r="136873" customFormat="1" x14ac:dyDescent="0.25"/>
    <row r="136874" customFormat="1" x14ac:dyDescent="0.25"/>
    <row r="136875" customFormat="1" x14ac:dyDescent="0.25"/>
    <row r="136876" customFormat="1" x14ac:dyDescent="0.25"/>
    <row r="136877" customFormat="1" x14ac:dyDescent="0.25"/>
    <row r="136878" customFormat="1" x14ac:dyDescent="0.25"/>
    <row r="136879" customFormat="1" x14ac:dyDescent="0.25"/>
    <row r="136880" customFormat="1" x14ac:dyDescent="0.25"/>
    <row r="136881" customFormat="1" x14ac:dyDescent="0.25"/>
    <row r="136882" customFormat="1" x14ac:dyDescent="0.25"/>
    <row r="136883" customFormat="1" x14ac:dyDescent="0.25"/>
    <row r="136884" customFormat="1" x14ac:dyDescent="0.25"/>
    <row r="136885" customFormat="1" x14ac:dyDescent="0.25"/>
    <row r="136886" customFormat="1" x14ac:dyDescent="0.25"/>
    <row r="136887" customFormat="1" x14ac:dyDescent="0.25"/>
    <row r="136888" customFormat="1" x14ac:dyDescent="0.25"/>
    <row r="136889" customFormat="1" x14ac:dyDescent="0.25"/>
    <row r="136890" customFormat="1" x14ac:dyDescent="0.25"/>
    <row r="136891" customFormat="1" x14ac:dyDescent="0.25"/>
    <row r="136892" customFormat="1" x14ac:dyDescent="0.25"/>
    <row r="136893" customFormat="1" x14ac:dyDescent="0.25"/>
    <row r="136894" customFormat="1" x14ac:dyDescent="0.25"/>
    <row r="136895" customFormat="1" x14ac:dyDescent="0.25"/>
    <row r="136896" customFormat="1" x14ac:dyDescent="0.25"/>
    <row r="136897" customFormat="1" x14ac:dyDescent="0.25"/>
    <row r="136898" customFormat="1" x14ac:dyDescent="0.25"/>
    <row r="136899" customFormat="1" x14ac:dyDescent="0.25"/>
    <row r="136900" customFormat="1" x14ac:dyDescent="0.25"/>
    <row r="136901" customFormat="1" x14ac:dyDescent="0.25"/>
    <row r="136902" customFormat="1" x14ac:dyDescent="0.25"/>
    <row r="136903" customFormat="1" x14ac:dyDescent="0.25"/>
    <row r="136904" customFormat="1" x14ac:dyDescent="0.25"/>
    <row r="136905" customFormat="1" x14ac:dyDescent="0.25"/>
    <row r="136906" customFormat="1" x14ac:dyDescent="0.25"/>
    <row r="136907" customFormat="1" x14ac:dyDescent="0.25"/>
    <row r="136908" customFormat="1" x14ac:dyDescent="0.25"/>
    <row r="136909" customFormat="1" x14ac:dyDescent="0.25"/>
    <row r="136910" customFormat="1" x14ac:dyDescent="0.25"/>
    <row r="136911" customFormat="1" x14ac:dyDescent="0.25"/>
    <row r="136912" customFormat="1" x14ac:dyDescent="0.25"/>
    <row r="136913" customFormat="1" x14ac:dyDescent="0.25"/>
    <row r="136914" customFormat="1" x14ac:dyDescent="0.25"/>
    <row r="136915" customFormat="1" x14ac:dyDescent="0.25"/>
    <row r="136916" customFormat="1" x14ac:dyDescent="0.25"/>
    <row r="136917" customFormat="1" x14ac:dyDescent="0.25"/>
    <row r="136918" customFormat="1" x14ac:dyDescent="0.25"/>
    <row r="136919" customFormat="1" x14ac:dyDescent="0.25"/>
    <row r="136920" customFormat="1" x14ac:dyDescent="0.25"/>
    <row r="136921" customFormat="1" x14ac:dyDescent="0.25"/>
    <row r="136922" customFormat="1" x14ac:dyDescent="0.25"/>
    <row r="136923" customFormat="1" x14ac:dyDescent="0.25"/>
    <row r="136924" customFormat="1" x14ac:dyDescent="0.25"/>
    <row r="136925" customFormat="1" x14ac:dyDescent="0.25"/>
    <row r="136926" customFormat="1" x14ac:dyDescent="0.25"/>
    <row r="136927" customFormat="1" x14ac:dyDescent="0.25"/>
    <row r="136928" customFormat="1" x14ac:dyDescent="0.25"/>
    <row r="136929" customFormat="1" x14ac:dyDescent="0.25"/>
    <row r="136930" customFormat="1" x14ac:dyDescent="0.25"/>
    <row r="136931" customFormat="1" x14ac:dyDescent="0.25"/>
    <row r="136932" customFormat="1" x14ac:dyDescent="0.25"/>
    <row r="136933" customFormat="1" x14ac:dyDescent="0.25"/>
    <row r="136934" customFormat="1" x14ac:dyDescent="0.25"/>
    <row r="136935" customFormat="1" x14ac:dyDescent="0.25"/>
    <row r="136936" customFormat="1" x14ac:dyDescent="0.25"/>
    <row r="136937" customFormat="1" x14ac:dyDescent="0.25"/>
    <row r="136938" customFormat="1" x14ac:dyDescent="0.25"/>
    <row r="136939" customFormat="1" x14ac:dyDescent="0.25"/>
    <row r="136940" customFormat="1" x14ac:dyDescent="0.25"/>
    <row r="136941" customFormat="1" x14ac:dyDescent="0.25"/>
    <row r="136942" customFormat="1" x14ac:dyDescent="0.25"/>
    <row r="136943" customFormat="1" x14ac:dyDescent="0.25"/>
    <row r="136944" customFormat="1" x14ac:dyDescent="0.25"/>
    <row r="136945" customFormat="1" x14ac:dyDescent="0.25"/>
    <row r="136946" customFormat="1" x14ac:dyDescent="0.25"/>
    <row r="136947" customFormat="1" x14ac:dyDescent="0.25"/>
    <row r="136948" customFormat="1" x14ac:dyDescent="0.25"/>
    <row r="136949" customFormat="1" x14ac:dyDescent="0.25"/>
    <row r="136950" customFormat="1" x14ac:dyDescent="0.25"/>
    <row r="136951" customFormat="1" x14ac:dyDescent="0.25"/>
    <row r="136952" customFormat="1" x14ac:dyDescent="0.25"/>
    <row r="136953" customFormat="1" x14ac:dyDescent="0.25"/>
    <row r="136954" customFormat="1" x14ac:dyDescent="0.25"/>
    <row r="136955" customFormat="1" x14ac:dyDescent="0.25"/>
    <row r="136956" customFormat="1" x14ac:dyDescent="0.25"/>
    <row r="136957" customFormat="1" x14ac:dyDescent="0.25"/>
    <row r="136958" customFormat="1" x14ac:dyDescent="0.25"/>
    <row r="136959" customFormat="1" x14ac:dyDescent="0.25"/>
    <row r="136960" customFormat="1" x14ac:dyDescent="0.25"/>
    <row r="136961" customFormat="1" x14ac:dyDescent="0.25"/>
    <row r="136962" customFormat="1" x14ac:dyDescent="0.25"/>
    <row r="136963" customFormat="1" x14ac:dyDescent="0.25"/>
    <row r="136964" customFormat="1" x14ac:dyDescent="0.25"/>
    <row r="136965" customFormat="1" x14ac:dyDescent="0.25"/>
    <row r="136966" customFormat="1" x14ac:dyDescent="0.25"/>
    <row r="136967" customFormat="1" x14ac:dyDescent="0.25"/>
    <row r="136968" customFormat="1" x14ac:dyDescent="0.25"/>
    <row r="136969" customFormat="1" x14ac:dyDescent="0.25"/>
    <row r="136970" customFormat="1" x14ac:dyDescent="0.25"/>
    <row r="136971" customFormat="1" x14ac:dyDescent="0.25"/>
    <row r="136972" customFormat="1" x14ac:dyDescent="0.25"/>
    <row r="136973" customFormat="1" x14ac:dyDescent="0.25"/>
    <row r="136974" customFormat="1" x14ac:dyDescent="0.25"/>
    <row r="136975" customFormat="1" x14ac:dyDescent="0.25"/>
    <row r="136976" customFormat="1" x14ac:dyDescent="0.25"/>
    <row r="136977" customFormat="1" x14ac:dyDescent="0.25"/>
    <row r="136978" customFormat="1" x14ac:dyDescent="0.25"/>
    <row r="136979" customFormat="1" x14ac:dyDescent="0.25"/>
    <row r="136980" customFormat="1" x14ac:dyDescent="0.25"/>
    <row r="136981" customFormat="1" x14ac:dyDescent="0.25"/>
    <row r="136982" customFormat="1" x14ac:dyDescent="0.25"/>
    <row r="136983" customFormat="1" x14ac:dyDescent="0.25"/>
    <row r="136984" customFormat="1" x14ac:dyDescent="0.25"/>
    <row r="136985" customFormat="1" x14ac:dyDescent="0.25"/>
    <row r="136986" customFormat="1" x14ac:dyDescent="0.25"/>
    <row r="136987" customFormat="1" x14ac:dyDescent="0.25"/>
    <row r="136988" customFormat="1" x14ac:dyDescent="0.25"/>
    <row r="136989" customFormat="1" x14ac:dyDescent="0.25"/>
    <row r="136990" customFormat="1" x14ac:dyDescent="0.25"/>
    <row r="136991" customFormat="1" x14ac:dyDescent="0.25"/>
    <row r="136992" customFormat="1" x14ac:dyDescent="0.25"/>
    <row r="136993" customFormat="1" x14ac:dyDescent="0.25"/>
    <row r="136994" customFormat="1" x14ac:dyDescent="0.25"/>
    <row r="136995" customFormat="1" x14ac:dyDescent="0.25"/>
    <row r="136996" customFormat="1" x14ac:dyDescent="0.25"/>
    <row r="136997" customFormat="1" x14ac:dyDescent="0.25"/>
    <row r="136998" customFormat="1" x14ac:dyDescent="0.25"/>
    <row r="136999" customFormat="1" x14ac:dyDescent="0.25"/>
    <row r="137000" customFormat="1" x14ac:dyDescent="0.25"/>
    <row r="137001" customFormat="1" x14ac:dyDescent="0.25"/>
    <row r="137002" customFormat="1" x14ac:dyDescent="0.25"/>
    <row r="137003" customFormat="1" x14ac:dyDescent="0.25"/>
    <row r="137004" customFormat="1" x14ac:dyDescent="0.25"/>
    <row r="137005" customFormat="1" x14ac:dyDescent="0.25"/>
    <row r="137006" customFormat="1" x14ac:dyDescent="0.25"/>
    <row r="137007" customFormat="1" x14ac:dyDescent="0.25"/>
    <row r="137008" customFormat="1" x14ac:dyDescent="0.25"/>
    <row r="137009" customFormat="1" x14ac:dyDescent="0.25"/>
    <row r="137010" customFormat="1" x14ac:dyDescent="0.25"/>
    <row r="137011" customFormat="1" x14ac:dyDescent="0.25"/>
    <row r="137012" customFormat="1" x14ac:dyDescent="0.25"/>
    <row r="137013" customFormat="1" x14ac:dyDescent="0.25"/>
    <row r="137014" customFormat="1" x14ac:dyDescent="0.25"/>
    <row r="137015" customFormat="1" x14ac:dyDescent="0.25"/>
    <row r="137016" customFormat="1" x14ac:dyDescent="0.25"/>
    <row r="137017" customFormat="1" x14ac:dyDescent="0.25"/>
    <row r="137018" customFormat="1" x14ac:dyDescent="0.25"/>
    <row r="137019" customFormat="1" x14ac:dyDescent="0.25"/>
    <row r="137020" customFormat="1" x14ac:dyDescent="0.25"/>
    <row r="137021" customFormat="1" x14ac:dyDescent="0.25"/>
    <row r="137022" customFormat="1" x14ac:dyDescent="0.25"/>
    <row r="137023" customFormat="1" x14ac:dyDescent="0.25"/>
    <row r="137024" customFormat="1" x14ac:dyDescent="0.25"/>
    <row r="137025" customFormat="1" x14ac:dyDescent="0.25"/>
    <row r="137026" customFormat="1" x14ac:dyDescent="0.25"/>
    <row r="137027" customFormat="1" x14ac:dyDescent="0.25"/>
    <row r="137028" customFormat="1" x14ac:dyDescent="0.25"/>
    <row r="137029" customFormat="1" x14ac:dyDescent="0.25"/>
    <row r="137030" customFormat="1" x14ac:dyDescent="0.25"/>
    <row r="137031" customFormat="1" x14ac:dyDescent="0.25"/>
    <row r="137032" customFormat="1" x14ac:dyDescent="0.25"/>
    <row r="137033" customFormat="1" x14ac:dyDescent="0.25"/>
    <row r="137034" customFormat="1" x14ac:dyDescent="0.25"/>
    <row r="137035" customFormat="1" x14ac:dyDescent="0.25"/>
    <row r="137036" customFormat="1" x14ac:dyDescent="0.25"/>
    <row r="137037" customFormat="1" x14ac:dyDescent="0.25"/>
    <row r="137038" customFormat="1" x14ac:dyDescent="0.25"/>
    <row r="137039" customFormat="1" x14ac:dyDescent="0.25"/>
    <row r="137040" customFormat="1" x14ac:dyDescent="0.25"/>
    <row r="137041" customFormat="1" x14ac:dyDescent="0.25"/>
    <row r="137042" customFormat="1" x14ac:dyDescent="0.25"/>
    <row r="137043" customFormat="1" x14ac:dyDescent="0.25"/>
    <row r="137044" customFormat="1" x14ac:dyDescent="0.25"/>
    <row r="137045" customFormat="1" x14ac:dyDescent="0.25"/>
    <row r="137046" customFormat="1" x14ac:dyDescent="0.25"/>
    <row r="137047" customFormat="1" x14ac:dyDescent="0.25"/>
    <row r="137048" customFormat="1" x14ac:dyDescent="0.25"/>
    <row r="137049" customFormat="1" x14ac:dyDescent="0.25"/>
    <row r="137050" customFormat="1" x14ac:dyDescent="0.25"/>
    <row r="137051" customFormat="1" x14ac:dyDescent="0.25"/>
    <row r="137052" customFormat="1" x14ac:dyDescent="0.25"/>
    <row r="137053" customFormat="1" x14ac:dyDescent="0.25"/>
    <row r="137054" customFormat="1" x14ac:dyDescent="0.25"/>
    <row r="137055" customFormat="1" x14ac:dyDescent="0.25"/>
    <row r="137056" customFormat="1" x14ac:dyDescent="0.25"/>
    <row r="137057" customFormat="1" x14ac:dyDescent="0.25"/>
    <row r="137058" customFormat="1" x14ac:dyDescent="0.25"/>
    <row r="137059" customFormat="1" x14ac:dyDescent="0.25"/>
    <row r="137060" customFormat="1" x14ac:dyDescent="0.25"/>
    <row r="137061" customFormat="1" x14ac:dyDescent="0.25"/>
    <row r="137062" customFormat="1" x14ac:dyDescent="0.25"/>
    <row r="137063" customFormat="1" x14ac:dyDescent="0.25"/>
    <row r="137064" customFormat="1" x14ac:dyDescent="0.25"/>
    <row r="137065" customFormat="1" x14ac:dyDescent="0.25"/>
    <row r="137066" customFormat="1" x14ac:dyDescent="0.25"/>
    <row r="137067" customFormat="1" x14ac:dyDescent="0.25"/>
    <row r="137068" customFormat="1" x14ac:dyDescent="0.25"/>
    <row r="137069" customFormat="1" x14ac:dyDescent="0.25"/>
    <row r="137070" customFormat="1" x14ac:dyDescent="0.25"/>
    <row r="137071" customFormat="1" x14ac:dyDescent="0.25"/>
    <row r="137072" customFormat="1" x14ac:dyDescent="0.25"/>
    <row r="137073" customFormat="1" x14ac:dyDescent="0.25"/>
    <row r="137074" customFormat="1" x14ac:dyDescent="0.25"/>
    <row r="137075" customFormat="1" x14ac:dyDescent="0.25"/>
    <row r="137076" customFormat="1" x14ac:dyDescent="0.25"/>
    <row r="137077" customFormat="1" x14ac:dyDescent="0.25"/>
    <row r="137078" customFormat="1" x14ac:dyDescent="0.25"/>
    <row r="137079" customFormat="1" x14ac:dyDescent="0.25"/>
    <row r="137080" customFormat="1" x14ac:dyDescent="0.25"/>
    <row r="137081" customFormat="1" x14ac:dyDescent="0.25"/>
    <row r="137082" customFormat="1" x14ac:dyDescent="0.25"/>
    <row r="137083" customFormat="1" x14ac:dyDescent="0.25"/>
    <row r="137084" customFormat="1" x14ac:dyDescent="0.25"/>
    <row r="137085" customFormat="1" x14ac:dyDescent="0.25"/>
    <row r="137086" customFormat="1" x14ac:dyDescent="0.25"/>
    <row r="137087" customFormat="1" x14ac:dyDescent="0.25"/>
    <row r="137088" customFormat="1" x14ac:dyDescent="0.25"/>
    <row r="137089" customFormat="1" x14ac:dyDescent="0.25"/>
    <row r="137090" customFormat="1" x14ac:dyDescent="0.25"/>
    <row r="137091" customFormat="1" x14ac:dyDescent="0.25"/>
    <row r="137092" customFormat="1" x14ac:dyDescent="0.25"/>
    <row r="137093" customFormat="1" x14ac:dyDescent="0.25"/>
    <row r="137094" customFormat="1" x14ac:dyDescent="0.25"/>
    <row r="137095" customFormat="1" x14ac:dyDescent="0.25"/>
    <row r="137096" customFormat="1" x14ac:dyDescent="0.25"/>
    <row r="137097" customFormat="1" x14ac:dyDescent="0.25"/>
    <row r="137098" customFormat="1" x14ac:dyDescent="0.25"/>
    <row r="137099" customFormat="1" x14ac:dyDescent="0.25"/>
    <row r="137100" customFormat="1" x14ac:dyDescent="0.25"/>
    <row r="137101" customFormat="1" x14ac:dyDescent="0.25"/>
    <row r="137102" customFormat="1" x14ac:dyDescent="0.25"/>
    <row r="137103" customFormat="1" x14ac:dyDescent="0.25"/>
    <row r="137104" customFormat="1" x14ac:dyDescent="0.25"/>
    <row r="137105" customFormat="1" x14ac:dyDescent="0.25"/>
    <row r="137106" customFormat="1" x14ac:dyDescent="0.25"/>
    <row r="137107" customFormat="1" x14ac:dyDescent="0.25"/>
    <row r="137108" customFormat="1" x14ac:dyDescent="0.25"/>
    <row r="137109" customFormat="1" x14ac:dyDescent="0.25"/>
    <row r="137110" customFormat="1" x14ac:dyDescent="0.25"/>
    <row r="137111" customFormat="1" x14ac:dyDescent="0.25"/>
    <row r="137112" customFormat="1" x14ac:dyDescent="0.25"/>
    <row r="137113" customFormat="1" x14ac:dyDescent="0.25"/>
    <row r="137114" customFormat="1" x14ac:dyDescent="0.25"/>
    <row r="137115" customFormat="1" x14ac:dyDescent="0.25"/>
    <row r="137116" customFormat="1" x14ac:dyDescent="0.25"/>
    <row r="137117" customFormat="1" x14ac:dyDescent="0.25"/>
    <row r="137118" customFormat="1" x14ac:dyDescent="0.25"/>
    <row r="137119" customFormat="1" x14ac:dyDescent="0.25"/>
    <row r="137120" customFormat="1" x14ac:dyDescent="0.25"/>
    <row r="137121" customFormat="1" x14ac:dyDescent="0.25"/>
    <row r="137122" customFormat="1" x14ac:dyDescent="0.25"/>
    <row r="137123" customFormat="1" x14ac:dyDescent="0.25"/>
    <row r="137124" customFormat="1" x14ac:dyDescent="0.25"/>
    <row r="137125" customFormat="1" x14ac:dyDescent="0.25"/>
    <row r="137126" customFormat="1" x14ac:dyDescent="0.25"/>
    <row r="137127" customFormat="1" x14ac:dyDescent="0.25"/>
    <row r="137128" customFormat="1" x14ac:dyDescent="0.25"/>
    <row r="137129" customFormat="1" x14ac:dyDescent="0.25"/>
    <row r="137130" customFormat="1" x14ac:dyDescent="0.25"/>
    <row r="137131" customFormat="1" x14ac:dyDescent="0.25"/>
    <row r="137132" customFormat="1" x14ac:dyDescent="0.25"/>
    <row r="137133" customFormat="1" x14ac:dyDescent="0.25"/>
    <row r="137134" customFormat="1" x14ac:dyDescent="0.25"/>
    <row r="137135" customFormat="1" x14ac:dyDescent="0.25"/>
    <row r="137136" customFormat="1" x14ac:dyDescent="0.25"/>
    <row r="137137" customFormat="1" x14ac:dyDescent="0.25"/>
    <row r="137138" customFormat="1" x14ac:dyDescent="0.25"/>
    <row r="137139" customFormat="1" x14ac:dyDescent="0.25"/>
    <row r="137140" customFormat="1" x14ac:dyDescent="0.25"/>
    <row r="137141" customFormat="1" x14ac:dyDescent="0.25"/>
    <row r="137142" customFormat="1" x14ac:dyDescent="0.25"/>
    <row r="137143" customFormat="1" x14ac:dyDescent="0.25"/>
    <row r="137144" customFormat="1" x14ac:dyDescent="0.25"/>
    <row r="137145" customFormat="1" x14ac:dyDescent="0.25"/>
    <row r="137146" customFormat="1" x14ac:dyDescent="0.25"/>
    <row r="137147" customFormat="1" x14ac:dyDescent="0.25"/>
    <row r="137148" customFormat="1" x14ac:dyDescent="0.25"/>
    <row r="137149" customFormat="1" x14ac:dyDescent="0.25"/>
    <row r="137150" customFormat="1" x14ac:dyDescent="0.25"/>
    <row r="137151" customFormat="1" x14ac:dyDescent="0.25"/>
    <row r="137152" customFormat="1" x14ac:dyDescent="0.25"/>
    <row r="137153" customFormat="1" x14ac:dyDescent="0.25"/>
    <row r="137154" customFormat="1" x14ac:dyDescent="0.25"/>
    <row r="137155" customFormat="1" x14ac:dyDescent="0.25"/>
    <row r="137156" customFormat="1" x14ac:dyDescent="0.25"/>
    <row r="137157" customFormat="1" x14ac:dyDescent="0.25"/>
    <row r="137158" customFormat="1" x14ac:dyDescent="0.25"/>
    <row r="137159" customFormat="1" x14ac:dyDescent="0.25"/>
    <row r="137160" customFormat="1" x14ac:dyDescent="0.25"/>
    <row r="137161" customFormat="1" x14ac:dyDescent="0.25"/>
    <row r="137162" customFormat="1" x14ac:dyDescent="0.25"/>
    <row r="137163" customFormat="1" x14ac:dyDescent="0.25"/>
    <row r="137164" customFormat="1" x14ac:dyDescent="0.25"/>
    <row r="137165" customFormat="1" x14ac:dyDescent="0.25"/>
    <row r="137166" customFormat="1" x14ac:dyDescent="0.25"/>
    <row r="137167" customFormat="1" x14ac:dyDescent="0.25"/>
    <row r="137168" customFormat="1" x14ac:dyDescent="0.25"/>
    <row r="137169" customFormat="1" x14ac:dyDescent="0.25"/>
    <row r="137170" customFormat="1" x14ac:dyDescent="0.25"/>
    <row r="137171" customFormat="1" x14ac:dyDescent="0.25"/>
    <row r="137172" customFormat="1" x14ac:dyDescent="0.25"/>
    <row r="137173" customFormat="1" x14ac:dyDescent="0.25"/>
    <row r="137174" customFormat="1" x14ac:dyDescent="0.25"/>
    <row r="137175" customFormat="1" x14ac:dyDescent="0.25"/>
    <row r="137176" customFormat="1" x14ac:dyDescent="0.25"/>
    <row r="137177" customFormat="1" x14ac:dyDescent="0.25"/>
    <row r="137178" customFormat="1" x14ac:dyDescent="0.25"/>
    <row r="137179" customFormat="1" x14ac:dyDescent="0.25"/>
    <row r="137180" customFormat="1" x14ac:dyDescent="0.25"/>
    <row r="137181" customFormat="1" x14ac:dyDescent="0.25"/>
    <row r="137182" customFormat="1" x14ac:dyDescent="0.25"/>
    <row r="137183" customFormat="1" x14ac:dyDescent="0.25"/>
    <row r="137184" customFormat="1" x14ac:dyDescent="0.25"/>
    <row r="137185" customFormat="1" x14ac:dyDescent="0.25"/>
    <row r="137186" customFormat="1" x14ac:dyDescent="0.25"/>
    <row r="137187" customFormat="1" x14ac:dyDescent="0.25"/>
    <row r="137188" customFormat="1" x14ac:dyDescent="0.25"/>
    <row r="137189" customFormat="1" x14ac:dyDescent="0.25"/>
    <row r="137190" customFormat="1" x14ac:dyDescent="0.25"/>
    <row r="137191" customFormat="1" x14ac:dyDescent="0.25"/>
    <row r="137192" customFormat="1" x14ac:dyDescent="0.25"/>
    <row r="137193" customFormat="1" x14ac:dyDescent="0.25"/>
    <row r="137194" customFormat="1" x14ac:dyDescent="0.25"/>
    <row r="137195" customFormat="1" x14ac:dyDescent="0.25"/>
    <row r="137196" customFormat="1" x14ac:dyDescent="0.25"/>
    <row r="137197" customFormat="1" x14ac:dyDescent="0.25"/>
    <row r="137198" customFormat="1" x14ac:dyDescent="0.25"/>
    <row r="137199" customFormat="1" x14ac:dyDescent="0.25"/>
    <row r="137200" customFormat="1" x14ac:dyDescent="0.25"/>
    <row r="137201" customFormat="1" x14ac:dyDescent="0.25"/>
    <row r="137202" customFormat="1" x14ac:dyDescent="0.25"/>
    <row r="137203" customFormat="1" x14ac:dyDescent="0.25"/>
    <row r="137204" customFormat="1" x14ac:dyDescent="0.25"/>
    <row r="137205" customFormat="1" x14ac:dyDescent="0.25"/>
    <row r="137206" customFormat="1" x14ac:dyDescent="0.25"/>
    <row r="137207" customFormat="1" x14ac:dyDescent="0.25"/>
    <row r="137208" customFormat="1" x14ac:dyDescent="0.25"/>
    <row r="137209" customFormat="1" x14ac:dyDescent="0.25"/>
    <row r="137210" customFormat="1" x14ac:dyDescent="0.25"/>
    <row r="137211" customFormat="1" x14ac:dyDescent="0.25"/>
    <row r="137212" customFormat="1" x14ac:dyDescent="0.25"/>
    <row r="137213" customFormat="1" x14ac:dyDescent="0.25"/>
    <row r="137214" customFormat="1" x14ac:dyDescent="0.25"/>
    <row r="137215" customFormat="1" x14ac:dyDescent="0.25"/>
    <row r="137216" customFormat="1" x14ac:dyDescent="0.25"/>
    <row r="137217" customFormat="1" x14ac:dyDescent="0.25"/>
    <row r="137218" customFormat="1" x14ac:dyDescent="0.25"/>
    <row r="137219" customFormat="1" x14ac:dyDescent="0.25"/>
    <row r="137220" customFormat="1" x14ac:dyDescent="0.25"/>
    <row r="137221" customFormat="1" x14ac:dyDescent="0.25"/>
    <row r="137222" customFormat="1" x14ac:dyDescent="0.25"/>
    <row r="137223" customFormat="1" x14ac:dyDescent="0.25"/>
    <row r="137224" customFormat="1" x14ac:dyDescent="0.25"/>
    <row r="137225" customFormat="1" x14ac:dyDescent="0.25"/>
    <row r="137226" customFormat="1" x14ac:dyDescent="0.25"/>
    <row r="137227" customFormat="1" x14ac:dyDescent="0.25"/>
    <row r="137228" customFormat="1" x14ac:dyDescent="0.25"/>
    <row r="137229" customFormat="1" x14ac:dyDescent="0.25"/>
    <row r="137230" customFormat="1" x14ac:dyDescent="0.25"/>
    <row r="137231" customFormat="1" x14ac:dyDescent="0.25"/>
    <row r="137232" customFormat="1" x14ac:dyDescent="0.25"/>
    <row r="137233" customFormat="1" x14ac:dyDescent="0.25"/>
    <row r="137234" customFormat="1" x14ac:dyDescent="0.25"/>
    <row r="137235" customFormat="1" x14ac:dyDescent="0.25"/>
    <row r="137236" customFormat="1" x14ac:dyDescent="0.25"/>
    <row r="137237" customFormat="1" x14ac:dyDescent="0.25"/>
    <row r="137238" customFormat="1" x14ac:dyDescent="0.25"/>
    <row r="137239" customFormat="1" x14ac:dyDescent="0.25"/>
    <row r="137240" customFormat="1" x14ac:dyDescent="0.25"/>
    <row r="137241" customFormat="1" x14ac:dyDescent="0.25"/>
    <row r="137242" customFormat="1" x14ac:dyDescent="0.25"/>
    <row r="137243" customFormat="1" x14ac:dyDescent="0.25"/>
    <row r="137244" customFormat="1" x14ac:dyDescent="0.25"/>
    <row r="137245" customFormat="1" x14ac:dyDescent="0.25"/>
    <row r="137246" customFormat="1" x14ac:dyDescent="0.25"/>
    <row r="137247" customFormat="1" x14ac:dyDescent="0.25"/>
    <row r="137248" customFormat="1" x14ac:dyDescent="0.25"/>
    <row r="137249" customFormat="1" x14ac:dyDescent="0.25"/>
    <row r="137250" customFormat="1" x14ac:dyDescent="0.25"/>
    <row r="137251" customFormat="1" x14ac:dyDescent="0.25"/>
    <row r="137252" customFormat="1" x14ac:dyDescent="0.25"/>
    <row r="137253" customFormat="1" x14ac:dyDescent="0.25"/>
    <row r="137254" customFormat="1" x14ac:dyDescent="0.25"/>
    <row r="137255" customFormat="1" x14ac:dyDescent="0.25"/>
    <row r="137256" customFormat="1" x14ac:dyDescent="0.25"/>
    <row r="137257" customFormat="1" x14ac:dyDescent="0.25"/>
    <row r="137258" customFormat="1" x14ac:dyDescent="0.25"/>
    <row r="137259" customFormat="1" x14ac:dyDescent="0.25"/>
    <row r="137260" customFormat="1" x14ac:dyDescent="0.25"/>
    <row r="137261" customFormat="1" x14ac:dyDescent="0.25"/>
    <row r="137262" customFormat="1" x14ac:dyDescent="0.25"/>
    <row r="137263" customFormat="1" x14ac:dyDescent="0.25"/>
    <row r="137264" customFormat="1" x14ac:dyDescent="0.25"/>
    <row r="137265" customFormat="1" x14ac:dyDescent="0.25"/>
    <row r="137266" customFormat="1" x14ac:dyDescent="0.25"/>
    <row r="137267" customFormat="1" x14ac:dyDescent="0.25"/>
    <row r="137268" customFormat="1" x14ac:dyDescent="0.25"/>
    <row r="137269" customFormat="1" x14ac:dyDescent="0.25"/>
    <row r="137270" customFormat="1" x14ac:dyDescent="0.25"/>
    <row r="137271" customFormat="1" x14ac:dyDescent="0.25"/>
    <row r="137272" customFormat="1" x14ac:dyDescent="0.25"/>
    <row r="137273" customFormat="1" x14ac:dyDescent="0.25"/>
    <row r="137274" customFormat="1" x14ac:dyDescent="0.25"/>
    <row r="137275" customFormat="1" x14ac:dyDescent="0.25"/>
    <row r="137276" customFormat="1" x14ac:dyDescent="0.25"/>
    <row r="137277" customFormat="1" x14ac:dyDescent="0.25"/>
    <row r="137278" customFormat="1" x14ac:dyDescent="0.25"/>
    <row r="137279" customFormat="1" x14ac:dyDescent="0.25"/>
    <row r="137280" customFormat="1" x14ac:dyDescent="0.25"/>
    <row r="137281" customFormat="1" x14ac:dyDescent="0.25"/>
    <row r="137282" customFormat="1" x14ac:dyDescent="0.25"/>
    <row r="137283" customFormat="1" x14ac:dyDescent="0.25"/>
    <row r="137284" customFormat="1" x14ac:dyDescent="0.25"/>
    <row r="137285" customFormat="1" x14ac:dyDescent="0.25"/>
    <row r="137286" customFormat="1" x14ac:dyDescent="0.25"/>
    <row r="137287" customFormat="1" x14ac:dyDescent="0.25"/>
    <row r="137288" customFormat="1" x14ac:dyDescent="0.25"/>
    <row r="137289" customFormat="1" x14ac:dyDescent="0.25"/>
    <row r="137290" customFormat="1" x14ac:dyDescent="0.25"/>
    <row r="137291" customFormat="1" x14ac:dyDescent="0.25"/>
    <row r="137292" customFormat="1" x14ac:dyDescent="0.25"/>
    <row r="137293" customFormat="1" x14ac:dyDescent="0.25"/>
    <row r="137294" customFormat="1" x14ac:dyDescent="0.25"/>
    <row r="137295" customFormat="1" x14ac:dyDescent="0.25"/>
    <row r="137296" customFormat="1" x14ac:dyDescent="0.25"/>
    <row r="137297" customFormat="1" x14ac:dyDescent="0.25"/>
    <row r="137298" customFormat="1" x14ac:dyDescent="0.25"/>
    <row r="137299" customFormat="1" x14ac:dyDescent="0.25"/>
    <row r="137300" customFormat="1" x14ac:dyDescent="0.25"/>
    <row r="137301" customFormat="1" x14ac:dyDescent="0.25"/>
    <row r="137302" customFormat="1" x14ac:dyDescent="0.25"/>
    <row r="137303" customFormat="1" x14ac:dyDescent="0.25"/>
    <row r="137304" customFormat="1" x14ac:dyDescent="0.25"/>
    <row r="137305" customFormat="1" x14ac:dyDescent="0.25"/>
    <row r="137306" customFormat="1" x14ac:dyDescent="0.25"/>
    <row r="137307" customFormat="1" x14ac:dyDescent="0.25"/>
    <row r="137308" customFormat="1" x14ac:dyDescent="0.25"/>
    <row r="137309" customFormat="1" x14ac:dyDescent="0.25"/>
    <row r="137310" customFormat="1" x14ac:dyDescent="0.25"/>
    <row r="137311" customFormat="1" x14ac:dyDescent="0.25"/>
    <row r="137312" customFormat="1" x14ac:dyDescent="0.25"/>
    <row r="137313" customFormat="1" x14ac:dyDescent="0.25"/>
    <row r="137314" customFormat="1" x14ac:dyDescent="0.25"/>
    <row r="137315" customFormat="1" x14ac:dyDescent="0.25"/>
    <row r="137316" customFormat="1" x14ac:dyDescent="0.25"/>
    <row r="137317" customFormat="1" x14ac:dyDescent="0.25"/>
    <row r="137318" customFormat="1" x14ac:dyDescent="0.25"/>
    <row r="137319" customFormat="1" x14ac:dyDescent="0.25"/>
    <row r="137320" customFormat="1" x14ac:dyDescent="0.25"/>
    <row r="137321" customFormat="1" x14ac:dyDescent="0.25"/>
    <row r="137322" customFormat="1" x14ac:dyDescent="0.25"/>
    <row r="137323" customFormat="1" x14ac:dyDescent="0.25"/>
    <row r="137324" customFormat="1" x14ac:dyDescent="0.25"/>
    <row r="137325" customFormat="1" x14ac:dyDescent="0.25"/>
    <row r="137326" customFormat="1" x14ac:dyDescent="0.25"/>
    <row r="137327" customFormat="1" x14ac:dyDescent="0.25"/>
    <row r="137328" customFormat="1" x14ac:dyDescent="0.25"/>
    <row r="137329" customFormat="1" x14ac:dyDescent="0.25"/>
    <row r="137330" customFormat="1" x14ac:dyDescent="0.25"/>
    <row r="137331" customFormat="1" x14ac:dyDescent="0.25"/>
    <row r="137332" customFormat="1" x14ac:dyDescent="0.25"/>
    <row r="137333" customFormat="1" x14ac:dyDescent="0.25"/>
    <row r="137334" customFormat="1" x14ac:dyDescent="0.25"/>
    <row r="137335" customFormat="1" x14ac:dyDescent="0.25"/>
    <row r="137336" customFormat="1" x14ac:dyDescent="0.25"/>
    <row r="137337" customFormat="1" x14ac:dyDescent="0.25"/>
    <row r="137338" customFormat="1" x14ac:dyDescent="0.25"/>
    <row r="137339" customFormat="1" x14ac:dyDescent="0.25"/>
    <row r="137340" customFormat="1" x14ac:dyDescent="0.25"/>
    <row r="137341" customFormat="1" x14ac:dyDescent="0.25"/>
    <row r="137342" customFormat="1" x14ac:dyDescent="0.25"/>
    <row r="137343" customFormat="1" x14ac:dyDescent="0.25"/>
    <row r="137344" customFormat="1" x14ac:dyDescent="0.25"/>
    <row r="137345" customFormat="1" x14ac:dyDescent="0.25"/>
    <row r="137346" customFormat="1" x14ac:dyDescent="0.25"/>
    <row r="137347" customFormat="1" x14ac:dyDescent="0.25"/>
    <row r="137348" customFormat="1" x14ac:dyDescent="0.25"/>
    <row r="137349" customFormat="1" x14ac:dyDescent="0.25"/>
    <row r="137350" customFormat="1" x14ac:dyDescent="0.25"/>
    <row r="137351" customFormat="1" x14ac:dyDescent="0.25"/>
    <row r="137352" customFormat="1" x14ac:dyDescent="0.25"/>
    <row r="137353" customFormat="1" x14ac:dyDescent="0.25"/>
    <row r="137354" customFormat="1" x14ac:dyDescent="0.25"/>
    <row r="137355" customFormat="1" x14ac:dyDescent="0.25"/>
    <row r="137356" customFormat="1" x14ac:dyDescent="0.25"/>
    <row r="137357" customFormat="1" x14ac:dyDescent="0.25"/>
    <row r="137358" customFormat="1" x14ac:dyDescent="0.25"/>
    <row r="137359" customFormat="1" x14ac:dyDescent="0.25"/>
    <row r="137360" customFormat="1" x14ac:dyDescent="0.25"/>
    <row r="137361" customFormat="1" x14ac:dyDescent="0.25"/>
    <row r="137362" customFormat="1" x14ac:dyDescent="0.25"/>
    <row r="137363" customFormat="1" x14ac:dyDescent="0.25"/>
    <row r="137364" customFormat="1" x14ac:dyDescent="0.25"/>
    <row r="137365" customFormat="1" x14ac:dyDescent="0.25"/>
    <row r="137366" customFormat="1" x14ac:dyDescent="0.25"/>
    <row r="137367" customFormat="1" x14ac:dyDescent="0.25"/>
    <row r="137368" customFormat="1" x14ac:dyDescent="0.25"/>
    <row r="137369" customFormat="1" x14ac:dyDescent="0.25"/>
    <row r="137370" customFormat="1" x14ac:dyDescent="0.25"/>
    <row r="137371" customFormat="1" x14ac:dyDescent="0.25"/>
    <row r="137372" customFormat="1" x14ac:dyDescent="0.25"/>
    <row r="137373" customFormat="1" x14ac:dyDescent="0.25"/>
    <row r="137374" customFormat="1" x14ac:dyDescent="0.25"/>
    <row r="137375" customFormat="1" x14ac:dyDescent="0.25"/>
    <row r="137376" customFormat="1" x14ac:dyDescent="0.25"/>
    <row r="137377" customFormat="1" x14ac:dyDescent="0.25"/>
    <row r="137378" customFormat="1" x14ac:dyDescent="0.25"/>
    <row r="137379" customFormat="1" x14ac:dyDescent="0.25"/>
    <row r="137380" customFormat="1" x14ac:dyDescent="0.25"/>
    <row r="137381" customFormat="1" x14ac:dyDescent="0.25"/>
    <row r="137382" customFormat="1" x14ac:dyDescent="0.25"/>
    <row r="137383" customFormat="1" x14ac:dyDescent="0.25"/>
    <row r="137384" customFormat="1" x14ac:dyDescent="0.25"/>
    <row r="137385" customFormat="1" x14ac:dyDescent="0.25"/>
    <row r="137386" customFormat="1" x14ac:dyDescent="0.25"/>
    <row r="137387" customFormat="1" x14ac:dyDescent="0.25"/>
    <row r="137388" customFormat="1" x14ac:dyDescent="0.25"/>
    <row r="137389" customFormat="1" x14ac:dyDescent="0.25"/>
    <row r="137390" customFormat="1" x14ac:dyDescent="0.25"/>
    <row r="137391" customFormat="1" x14ac:dyDescent="0.25"/>
    <row r="137392" customFormat="1" x14ac:dyDescent="0.25"/>
    <row r="137393" customFormat="1" x14ac:dyDescent="0.25"/>
    <row r="137394" customFormat="1" x14ac:dyDescent="0.25"/>
    <row r="137395" customFormat="1" x14ac:dyDescent="0.25"/>
    <row r="137396" customFormat="1" x14ac:dyDescent="0.25"/>
    <row r="137397" customFormat="1" x14ac:dyDescent="0.25"/>
    <row r="137398" customFormat="1" x14ac:dyDescent="0.25"/>
    <row r="137399" customFormat="1" x14ac:dyDescent="0.25"/>
    <row r="137400" customFormat="1" x14ac:dyDescent="0.25"/>
    <row r="137401" customFormat="1" x14ac:dyDescent="0.25"/>
    <row r="137402" customFormat="1" x14ac:dyDescent="0.25"/>
    <row r="137403" customFormat="1" x14ac:dyDescent="0.25"/>
    <row r="137404" customFormat="1" x14ac:dyDescent="0.25"/>
    <row r="137405" customFormat="1" x14ac:dyDescent="0.25"/>
    <row r="137406" customFormat="1" x14ac:dyDescent="0.25"/>
    <row r="137407" customFormat="1" x14ac:dyDescent="0.25"/>
    <row r="137408" customFormat="1" x14ac:dyDescent="0.25"/>
    <row r="137409" customFormat="1" x14ac:dyDescent="0.25"/>
    <row r="137410" customFormat="1" x14ac:dyDescent="0.25"/>
    <row r="137411" customFormat="1" x14ac:dyDescent="0.25"/>
    <row r="137412" customFormat="1" x14ac:dyDescent="0.25"/>
    <row r="137413" customFormat="1" x14ac:dyDescent="0.25"/>
    <row r="137414" customFormat="1" x14ac:dyDescent="0.25"/>
    <row r="137415" customFormat="1" x14ac:dyDescent="0.25"/>
    <row r="137416" customFormat="1" x14ac:dyDescent="0.25"/>
    <row r="137417" customFormat="1" x14ac:dyDescent="0.25"/>
    <row r="137418" customFormat="1" x14ac:dyDescent="0.25"/>
    <row r="137419" customFormat="1" x14ac:dyDescent="0.25"/>
    <row r="137420" customFormat="1" x14ac:dyDescent="0.25"/>
    <row r="137421" customFormat="1" x14ac:dyDescent="0.25"/>
    <row r="137422" customFormat="1" x14ac:dyDescent="0.25"/>
    <row r="137423" customFormat="1" x14ac:dyDescent="0.25"/>
    <row r="137424" customFormat="1" x14ac:dyDescent="0.25"/>
    <row r="137425" customFormat="1" x14ac:dyDescent="0.25"/>
    <row r="137426" customFormat="1" x14ac:dyDescent="0.25"/>
    <row r="137427" customFormat="1" x14ac:dyDescent="0.25"/>
    <row r="137428" customFormat="1" x14ac:dyDescent="0.25"/>
    <row r="137429" customFormat="1" x14ac:dyDescent="0.25"/>
    <row r="137430" customFormat="1" x14ac:dyDescent="0.25"/>
    <row r="137431" customFormat="1" x14ac:dyDescent="0.25"/>
    <row r="137432" customFormat="1" x14ac:dyDescent="0.25"/>
    <row r="137433" customFormat="1" x14ac:dyDescent="0.25"/>
    <row r="137434" customFormat="1" x14ac:dyDescent="0.25"/>
    <row r="137435" customFormat="1" x14ac:dyDescent="0.25"/>
    <row r="137436" customFormat="1" x14ac:dyDescent="0.25"/>
    <row r="137437" customFormat="1" x14ac:dyDescent="0.25"/>
    <row r="137438" customFormat="1" x14ac:dyDescent="0.25"/>
    <row r="137439" customFormat="1" x14ac:dyDescent="0.25"/>
    <row r="137440" customFormat="1" x14ac:dyDescent="0.25"/>
    <row r="137441" customFormat="1" x14ac:dyDescent="0.25"/>
    <row r="137442" customFormat="1" x14ac:dyDescent="0.25"/>
    <row r="137443" customFormat="1" x14ac:dyDescent="0.25"/>
    <row r="137444" customFormat="1" x14ac:dyDescent="0.25"/>
    <row r="137445" customFormat="1" x14ac:dyDescent="0.25"/>
    <row r="137446" customFormat="1" x14ac:dyDescent="0.25"/>
    <row r="137447" customFormat="1" x14ac:dyDescent="0.25"/>
    <row r="137448" customFormat="1" x14ac:dyDescent="0.25"/>
    <row r="137449" customFormat="1" x14ac:dyDescent="0.25"/>
    <row r="137450" customFormat="1" x14ac:dyDescent="0.25"/>
    <row r="137451" customFormat="1" x14ac:dyDescent="0.25"/>
    <row r="137452" customFormat="1" x14ac:dyDescent="0.25"/>
    <row r="137453" customFormat="1" x14ac:dyDescent="0.25"/>
    <row r="137454" customFormat="1" x14ac:dyDescent="0.25"/>
    <row r="137455" customFormat="1" x14ac:dyDescent="0.25"/>
    <row r="137456" customFormat="1" x14ac:dyDescent="0.25"/>
    <row r="137457" customFormat="1" x14ac:dyDescent="0.25"/>
    <row r="137458" customFormat="1" x14ac:dyDescent="0.25"/>
    <row r="137459" customFormat="1" x14ac:dyDescent="0.25"/>
    <row r="137460" customFormat="1" x14ac:dyDescent="0.25"/>
    <row r="137461" customFormat="1" x14ac:dyDescent="0.25"/>
    <row r="137462" customFormat="1" x14ac:dyDescent="0.25"/>
    <row r="137463" customFormat="1" x14ac:dyDescent="0.25"/>
    <row r="137464" customFormat="1" x14ac:dyDescent="0.25"/>
    <row r="137465" customFormat="1" x14ac:dyDescent="0.25"/>
    <row r="137466" customFormat="1" x14ac:dyDescent="0.25"/>
    <row r="137467" customFormat="1" x14ac:dyDescent="0.25"/>
    <row r="137468" customFormat="1" x14ac:dyDescent="0.25"/>
    <row r="137469" customFormat="1" x14ac:dyDescent="0.25"/>
    <row r="137470" customFormat="1" x14ac:dyDescent="0.25"/>
    <row r="137471" customFormat="1" x14ac:dyDescent="0.25"/>
    <row r="137472" customFormat="1" x14ac:dyDescent="0.25"/>
    <row r="137473" customFormat="1" x14ac:dyDescent="0.25"/>
    <row r="137474" customFormat="1" x14ac:dyDescent="0.25"/>
    <row r="137475" customFormat="1" x14ac:dyDescent="0.25"/>
    <row r="137476" customFormat="1" x14ac:dyDescent="0.25"/>
    <row r="137477" customFormat="1" x14ac:dyDescent="0.25"/>
    <row r="137478" customFormat="1" x14ac:dyDescent="0.25"/>
    <row r="137479" customFormat="1" x14ac:dyDescent="0.25"/>
    <row r="137480" customFormat="1" x14ac:dyDescent="0.25"/>
    <row r="137481" customFormat="1" x14ac:dyDescent="0.25"/>
    <row r="137482" customFormat="1" x14ac:dyDescent="0.25"/>
    <row r="137483" customFormat="1" x14ac:dyDescent="0.25"/>
    <row r="137484" customFormat="1" x14ac:dyDescent="0.25"/>
    <row r="137485" customFormat="1" x14ac:dyDescent="0.25"/>
    <row r="137486" customFormat="1" x14ac:dyDescent="0.25"/>
    <row r="137487" customFormat="1" x14ac:dyDescent="0.25"/>
    <row r="137488" customFormat="1" x14ac:dyDescent="0.25"/>
    <row r="137489" customFormat="1" x14ac:dyDescent="0.25"/>
    <row r="137490" customFormat="1" x14ac:dyDescent="0.25"/>
    <row r="137491" customFormat="1" x14ac:dyDescent="0.25"/>
    <row r="137492" customFormat="1" x14ac:dyDescent="0.25"/>
    <row r="137493" customFormat="1" x14ac:dyDescent="0.25"/>
    <row r="137494" customFormat="1" x14ac:dyDescent="0.25"/>
    <row r="137495" customFormat="1" x14ac:dyDescent="0.25"/>
    <row r="137496" customFormat="1" x14ac:dyDescent="0.25"/>
    <row r="137497" customFormat="1" x14ac:dyDescent="0.25"/>
    <row r="137498" customFormat="1" x14ac:dyDescent="0.25"/>
    <row r="137499" customFormat="1" x14ac:dyDescent="0.25"/>
    <row r="137500" customFormat="1" x14ac:dyDescent="0.25"/>
    <row r="137501" customFormat="1" x14ac:dyDescent="0.25"/>
    <row r="137502" customFormat="1" x14ac:dyDescent="0.25"/>
    <row r="137503" customFormat="1" x14ac:dyDescent="0.25"/>
    <row r="137504" customFormat="1" x14ac:dyDescent="0.25"/>
    <row r="137505" customFormat="1" x14ac:dyDescent="0.25"/>
    <row r="137506" customFormat="1" x14ac:dyDescent="0.25"/>
    <row r="137507" customFormat="1" x14ac:dyDescent="0.25"/>
    <row r="137508" customFormat="1" x14ac:dyDescent="0.25"/>
    <row r="137509" customFormat="1" x14ac:dyDescent="0.25"/>
    <row r="137510" customFormat="1" x14ac:dyDescent="0.25"/>
    <row r="137511" customFormat="1" x14ac:dyDescent="0.25"/>
    <row r="137512" customFormat="1" x14ac:dyDescent="0.25"/>
    <row r="137513" customFormat="1" x14ac:dyDescent="0.25"/>
    <row r="137514" customFormat="1" x14ac:dyDescent="0.25"/>
    <row r="137515" customFormat="1" x14ac:dyDescent="0.25"/>
    <row r="137516" customFormat="1" x14ac:dyDescent="0.25"/>
    <row r="137517" customFormat="1" x14ac:dyDescent="0.25"/>
    <row r="137518" customFormat="1" x14ac:dyDescent="0.25"/>
    <row r="137519" customFormat="1" x14ac:dyDescent="0.25"/>
    <row r="137520" customFormat="1" x14ac:dyDescent="0.25"/>
    <row r="137521" customFormat="1" x14ac:dyDescent="0.25"/>
    <row r="137522" customFormat="1" x14ac:dyDescent="0.25"/>
    <row r="137523" customFormat="1" x14ac:dyDescent="0.25"/>
    <row r="137524" customFormat="1" x14ac:dyDescent="0.25"/>
    <row r="137525" customFormat="1" x14ac:dyDescent="0.25"/>
    <row r="137526" customFormat="1" x14ac:dyDescent="0.25"/>
    <row r="137527" customFormat="1" x14ac:dyDescent="0.25"/>
    <row r="137528" customFormat="1" x14ac:dyDescent="0.25"/>
    <row r="137529" customFormat="1" x14ac:dyDescent="0.25"/>
    <row r="137530" customFormat="1" x14ac:dyDescent="0.25"/>
    <row r="137531" customFormat="1" x14ac:dyDescent="0.25"/>
    <row r="137532" customFormat="1" x14ac:dyDescent="0.25"/>
    <row r="137533" customFormat="1" x14ac:dyDescent="0.25"/>
    <row r="137534" customFormat="1" x14ac:dyDescent="0.25"/>
    <row r="137535" customFormat="1" x14ac:dyDescent="0.25"/>
    <row r="137536" customFormat="1" x14ac:dyDescent="0.25"/>
    <row r="137537" customFormat="1" x14ac:dyDescent="0.25"/>
    <row r="137538" customFormat="1" x14ac:dyDescent="0.25"/>
    <row r="137539" customFormat="1" x14ac:dyDescent="0.25"/>
    <row r="137540" customFormat="1" x14ac:dyDescent="0.25"/>
    <row r="137541" customFormat="1" x14ac:dyDescent="0.25"/>
    <row r="137542" customFormat="1" x14ac:dyDescent="0.25"/>
    <row r="137543" customFormat="1" x14ac:dyDescent="0.25"/>
    <row r="137544" customFormat="1" x14ac:dyDescent="0.25"/>
    <row r="137545" customFormat="1" x14ac:dyDescent="0.25"/>
    <row r="137546" customFormat="1" x14ac:dyDescent="0.25"/>
    <row r="137547" customFormat="1" x14ac:dyDescent="0.25"/>
    <row r="137548" customFormat="1" x14ac:dyDescent="0.25"/>
    <row r="137549" customFormat="1" x14ac:dyDescent="0.25"/>
    <row r="137550" customFormat="1" x14ac:dyDescent="0.25"/>
    <row r="137551" customFormat="1" x14ac:dyDescent="0.25"/>
    <row r="137552" customFormat="1" x14ac:dyDescent="0.25"/>
    <row r="137553" customFormat="1" x14ac:dyDescent="0.25"/>
    <row r="137554" customFormat="1" x14ac:dyDescent="0.25"/>
    <row r="137555" customFormat="1" x14ac:dyDescent="0.25"/>
    <row r="137556" customFormat="1" x14ac:dyDescent="0.25"/>
    <row r="137557" customFormat="1" x14ac:dyDescent="0.25"/>
    <row r="137558" customFormat="1" x14ac:dyDescent="0.25"/>
    <row r="137559" customFormat="1" x14ac:dyDescent="0.25"/>
    <row r="137560" customFormat="1" x14ac:dyDescent="0.25"/>
    <row r="137561" customFormat="1" x14ac:dyDescent="0.25"/>
    <row r="137562" customFormat="1" x14ac:dyDescent="0.25"/>
    <row r="137563" customFormat="1" x14ac:dyDescent="0.25"/>
    <row r="137564" customFormat="1" x14ac:dyDescent="0.25"/>
    <row r="137565" customFormat="1" x14ac:dyDescent="0.25"/>
    <row r="137566" customFormat="1" x14ac:dyDescent="0.25"/>
    <row r="137567" customFormat="1" x14ac:dyDescent="0.25"/>
    <row r="137568" customFormat="1" x14ac:dyDescent="0.25"/>
    <row r="137569" customFormat="1" x14ac:dyDescent="0.25"/>
    <row r="137570" customFormat="1" x14ac:dyDescent="0.25"/>
    <row r="137571" customFormat="1" x14ac:dyDescent="0.25"/>
    <row r="137572" customFormat="1" x14ac:dyDescent="0.25"/>
    <row r="137573" customFormat="1" x14ac:dyDescent="0.25"/>
    <row r="137574" customFormat="1" x14ac:dyDescent="0.25"/>
    <row r="137575" customFormat="1" x14ac:dyDescent="0.25"/>
    <row r="137576" customFormat="1" x14ac:dyDescent="0.25"/>
    <row r="137577" customFormat="1" x14ac:dyDescent="0.25"/>
    <row r="137578" customFormat="1" x14ac:dyDescent="0.25"/>
    <row r="137579" customFormat="1" x14ac:dyDescent="0.25"/>
    <row r="137580" customFormat="1" x14ac:dyDescent="0.25"/>
    <row r="137581" customFormat="1" x14ac:dyDescent="0.25"/>
    <row r="137582" customFormat="1" x14ac:dyDescent="0.25"/>
    <row r="137583" customFormat="1" x14ac:dyDescent="0.25"/>
    <row r="137584" customFormat="1" x14ac:dyDescent="0.25"/>
    <row r="137585" customFormat="1" x14ac:dyDescent="0.25"/>
    <row r="137586" customFormat="1" x14ac:dyDescent="0.25"/>
    <row r="137587" customFormat="1" x14ac:dyDescent="0.25"/>
    <row r="137588" customFormat="1" x14ac:dyDescent="0.25"/>
    <row r="137589" customFormat="1" x14ac:dyDescent="0.25"/>
    <row r="137590" customFormat="1" x14ac:dyDescent="0.25"/>
    <row r="137591" customFormat="1" x14ac:dyDescent="0.25"/>
    <row r="137592" customFormat="1" x14ac:dyDescent="0.25"/>
    <row r="137593" customFormat="1" x14ac:dyDescent="0.25"/>
    <row r="137594" customFormat="1" x14ac:dyDescent="0.25"/>
    <row r="137595" customFormat="1" x14ac:dyDescent="0.25"/>
    <row r="137596" customFormat="1" x14ac:dyDescent="0.25"/>
    <row r="137597" customFormat="1" x14ac:dyDescent="0.25"/>
    <row r="137598" customFormat="1" x14ac:dyDescent="0.25"/>
    <row r="137599" customFormat="1" x14ac:dyDescent="0.25"/>
    <row r="137600" customFormat="1" x14ac:dyDescent="0.25"/>
    <row r="137601" customFormat="1" x14ac:dyDescent="0.25"/>
    <row r="137602" customFormat="1" x14ac:dyDescent="0.25"/>
    <row r="137603" customFormat="1" x14ac:dyDescent="0.25"/>
    <row r="137604" customFormat="1" x14ac:dyDescent="0.25"/>
    <row r="137605" customFormat="1" x14ac:dyDescent="0.25"/>
    <row r="137606" customFormat="1" x14ac:dyDescent="0.25"/>
    <row r="137607" customFormat="1" x14ac:dyDescent="0.25"/>
    <row r="137608" customFormat="1" x14ac:dyDescent="0.25"/>
    <row r="137609" customFormat="1" x14ac:dyDescent="0.25"/>
    <row r="137610" customFormat="1" x14ac:dyDescent="0.25"/>
    <row r="137611" customFormat="1" x14ac:dyDescent="0.25"/>
    <row r="137612" customFormat="1" x14ac:dyDescent="0.25"/>
    <row r="137613" customFormat="1" x14ac:dyDescent="0.25"/>
    <row r="137614" customFormat="1" x14ac:dyDescent="0.25"/>
    <row r="137615" customFormat="1" x14ac:dyDescent="0.25"/>
    <row r="137616" customFormat="1" x14ac:dyDescent="0.25"/>
    <row r="137617" customFormat="1" x14ac:dyDescent="0.25"/>
    <row r="137618" customFormat="1" x14ac:dyDescent="0.25"/>
    <row r="137619" customFormat="1" x14ac:dyDescent="0.25"/>
    <row r="137620" customFormat="1" x14ac:dyDescent="0.25"/>
    <row r="137621" customFormat="1" x14ac:dyDescent="0.25"/>
    <row r="137622" customFormat="1" x14ac:dyDescent="0.25"/>
    <row r="137623" customFormat="1" x14ac:dyDescent="0.25"/>
    <row r="137624" customFormat="1" x14ac:dyDescent="0.25"/>
    <row r="137625" customFormat="1" x14ac:dyDescent="0.25"/>
    <row r="137626" customFormat="1" x14ac:dyDescent="0.25"/>
    <row r="137627" customFormat="1" x14ac:dyDescent="0.25"/>
    <row r="137628" customFormat="1" x14ac:dyDescent="0.25"/>
    <row r="137629" customFormat="1" x14ac:dyDescent="0.25"/>
    <row r="137630" customFormat="1" x14ac:dyDescent="0.25"/>
    <row r="137631" customFormat="1" x14ac:dyDescent="0.25"/>
    <row r="137632" customFormat="1" x14ac:dyDescent="0.25"/>
    <row r="137633" customFormat="1" x14ac:dyDescent="0.25"/>
    <row r="137634" customFormat="1" x14ac:dyDescent="0.25"/>
    <row r="137635" customFormat="1" x14ac:dyDescent="0.25"/>
    <row r="137636" customFormat="1" x14ac:dyDescent="0.25"/>
    <row r="137637" customFormat="1" x14ac:dyDescent="0.25"/>
    <row r="137638" customFormat="1" x14ac:dyDescent="0.25"/>
    <row r="137639" customFormat="1" x14ac:dyDescent="0.25"/>
    <row r="137640" customFormat="1" x14ac:dyDescent="0.25"/>
    <row r="137641" customFormat="1" x14ac:dyDescent="0.25"/>
    <row r="137642" customFormat="1" x14ac:dyDescent="0.25"/>
    <row r="137643" customFormat="1" x14ac:dyDescent="0.25"/>
    <row r="137644" customFormat="1" x14ac:dyDescent="0.25"/>
    <row r="137645" customFormat="1" x14ac:dyDescent="0.25"/>
    <row r="137646" customFormat="1" x14ac:dyDescent="0.25"/>
    <row r="137647" customFormat="1" x14ac:dyDescent="0.25"/>
    <row r="137648" customFormat="1" x14ac:dyDescent="0.25"/>
    <row r="137649" customFormat="1" x14ac:dyDescent="0.25"/>
    <row r="137650" customFormat="1" x14ac:dyDescent="0.25"/>
    <row r="137651" customFormat="1" x14ac:dyDescent="0.25"/>
    <row r="137652" customFormat="1" x14ac:dyDescent="0.25"/>
    <row r="137653" customFormat="1" x14ac:dyDescent="0.25"/>
    <row r="137654" customFormat="1" x14ac:dyDescent="0.25"/>
    <row r="137655" customFormat="1" x14ac:dyDescent="0.25"/>
    <row r="137656" customFormat="1" x14ac:dyDescent="0.25"/>
    <row r="137657" customFormat="1" x14ac:dyDescent="0.25"/>
    <row r="137658" customFormat="1" x14ac:dyDescent="0.25"/>
    <row r="137659" customFormat="1" x14ac:dyDescent="0.25"/>
    <row r="137660" customFormat="1" x14ac:dyDescent="0.25"/>
    <row r="137661" customFormat="1" x14ac:dyDescent="0.25"/>
    <row r="137662" customFormat="1" x14ac:dyDescent="0.25"/>
    <row r="137663" customFormat="1" x14ac:dyDescent="0.25"/>
    <row r="137664" customFormat="1" x14ac:dyDescent="0.25"/>
    <row r="137665" customFormat="1" x14ac:dyDescent="0.25"/>
    <row r="137666" customFormat="1" x14ac:dyDescent="0.25"/>
    <row r="137667" customFormat="1" x14ac:dyDescent="0.25"/>
    <row r="137668" customFormat="1" x14ac:dyDescent="0.25"/>
    <row r="137669" customFormat="1" x14ac:dyDescent="0.25"/>
    <row r="137670" customFormat="1" x14ac:dyDescent="0.25"/>
    <row r="137671" customFormat="1" x14ac:dyDescent="0.25"/>
    <row r="137672" customFormat="1" x14ac:dyDescent="0.25"/>
    <row r="137673" customFormat="1" x14ac:dyDescent="0.25"/>
    <row r="137674" customFormat="1" x14ac:dyDescent="0.25"/>
    <row r="137675" customFormat="1" x14ac:dyDescent="0.25"/>
    <row r="137676" customFormat="1" x14ac:dyDescent="0.25"/>
    <row r="137677" customFormat="1" x14ac:dyDescent="0.25"/>
    <row r="137678" customFormat="1" x14ac:dyDescent="0.25"/>
    <row r="137679" customFormat="1" x14ac:dyDescent="0.25"/>
    <row r="137680" customFormat="1" x14ac:dyDescent="0.25"/>
    <row r="137681" customFormat="1" x14ac:dyDescent="0.25"/>
    <row r="137682" customFormat="1" x14ac:dyDescent="0.25"/>
    <row r="137683" customFormat="1" x14ac:dyDescent="0.25"/>
    <row r="137684" customFormat="1" x14ac:dyDescent="0.25"/>
    <row r="137685" customFormat="1" x14ac:dyDescent="0.25"/>
    <row r="137686" customFormat="1" x14ac:dyDescent="0.25"/>
    <row r="137687" customFormat="1" x14ac:dyDescent="0.25"/>
    <row r="137688" customFormat="1" x14ac:dyDescent="0.25"/>
    <row r="137689" customFormat="1" x14ac:dyDescent="0.25"/>
    <row r="137690" customFormat="1" x14ac:dyDescent="0.25"/>
    <row r="137691" customFormat="1" x14ac:dyDescent="0.25"/>
    <row r="137692" customFormat="1" x14ac:dyDescent="0.25"/>
    <row r="137693" customFormat="1" x14ac:dyDescent="0.25"/>
    <row r="137694" customFormat="1" x14ac:dyDescent="0.25"/>
    <row r="137695" customFormat="1" x14ac:dyDescent="0.25"/>
    <row r="137696" customFormat="1" x14ac:dyDescent="0.25"/>
    <row r="137697" customFormat="1" x14ac:dyDescent="0.25"/>
    <row r="137698" customFormat="1" x14ac:dyDescent="0.25"/>
    <row r="137699" customFormat="1" x14ac:dyDescent="0.25"/>
    <row r="137700" customFormat="1" x14ac:dyDescent="0.25"/>
    <row r="137701" customFormat="1" x14ac:dyDescent="0.25"/>
    <row r="137702" customFormat="1" x14ac:dyDescent="0.25"/>
    <row r="137703" customFormat="1" x14ac:dyDescent="0.25"/>
    <row r="137704" customFormat="1" x14ac:dyDescent="0.25"/>
    <row r="137705" customFormat="1" x14ac:dyDescent="0.25"/>
    <row r="137706" customFormat="1" x14ac:dyDescent="0.25"/>
    <row r="137707" customFormat="1" x14ac:dyDescent="0.25"/>
    <row r="137708" customFormat="1" x14ac:dyDescent="0.25"/>
    <row r="137709" customFormat="1" x14ac:dyDescent="0.25"/>
    <row r="137710" customFormat="1" x14ac:dyDescent="0.25"/>
    <row r="137711" customFormat="1" x14ac:dyDescent="0.25"/>
    <row r="137712" customFormat="1" x14ac:dyDescent="0.25"/>
    <row r="137713" customFormat="1" x14ac:dyDescent="0.25"/>
    <row r="137714" customFormat="1" x14ac:dyDescent="0.25"/>
    <row r="137715" customFormat="1" x14ac:dyDescent="0.25"/>
    <row r="137716" customFormat="1" x14ac:dyDescent="0.25"/>
    <row r="137717" customFormat="1" x14ac:dyDescent="0.25"/>
    <row r="137718" customFormat="1" x14ac:dyDescent="0.25"/>
    <row r="137719" customFormat="1" x14ac:dyDescent="0.25"/>
    <row r="137720" customFormat="1" x14ac:dyDescent="0.25"/>
    <row r="137721" customFormat="1" x14ac:dyDescent="0.25"/>
    <row r="137722" customFormat="1" x14ac:dyDescent="0.25"/>
    <row r="137723" customFormat="1" x14ac:dyDescent="0.25"/>
    <row r="137724" customFormat="1" x14ac:dyDescent="0.25"/>
    <row r="137725" customFormat="1" x14ac:dyDescent="0.25"/>
    <row r="137726" customFormat="1" x14ac:dyDescent="0.25"/>
    <row r="137727" customFormat="1" x14ac:dyDescent="0.25"/>
    <row r="137728" customFormat="1" x14ac:dyDescent="0.25"/>
    <row r="137729" customFormat="1" x14ac:dyDescent="0.25"/>
    <row r="137730" customFormat="1" x14ac:dyDescent="0.25"/>
    <row r="137731" customFormat="1" x14ac:dyDescent="0.25"/>
    <row r="137732" customFormat="1" x14ac:dyDescent="0.25"/>
    <row r="137733" customFormat="1" x14ac:dyDescent="0.25"/>
    <row r="137734" customFormat="1" x14ac:dyDescent="0.25"/>
    <row r="137735" customFormat="1" x14ac:dyDescent="0.25"/>
    <row r="137736" customFormat="1" x14ac:dyDescent="0.25"/>
    <row r="137737" customFormat="1" x14ac:dyDescent="0.25"/>
    <row r="137738" customFormat="1" x14ac:dyDescent="0.25"/>
    <row r="137739" customFormat="1" x14ac:dyDescent="0.25"/>
    <row r="137740" customFormat="1" x14ac:dyDescent="0.25"/>
    <row r="137741" customFormat="1" x14ac:dyDescent="0.25"/>
    <row r="137742" customFormat="1" x14ac:dyDescent="0.25"/>
    <row r="137743" customFormat="1" x14ac:dyDescent="0.25"/>
    <row r="137744" customFormat="1" x14ac:dyDescent="0.25"/>
    <row r="137745" customFormat="1" x14ac:dyDescent="0.25"/>
    <row r="137746" customFormat="1" x14ac:dyDescent="0.25"/>
    <row r="137747" customFormat="1" x14ac:dyDescent="0.25"/>
    <row r="137748" customFormat="1" x14ac:dyDescent="0.25"/>
    <row r="137749" customFormat="1" x14ac:dyDescent="0.25"/>
    <row r="137750" customFormat="1" x14ac:dyDescent="0.25"/>
    <row r="137751" customFormat="1" x14ac:dyDescent="0.25"/>
    <row r="137752" customFormat="1" x14ac:dyDescent="0.25"/>
    <row r="137753" customFormat="1" x14ac:dyDescent="0.25"/>
    <row r="137754" customFormat="1" x14ac:dyDescent="0.25"/>
    <row r="137755" customFormat="1" x14ac:dyDescent="0.25"/>
    <row r="137756" customFormat="1" x14ac:dyDescent="0.25"/>
    <row r="137757" customFormat="1" x14ac:dyDescent="0.25"/>
    <row r="137758" customFormat="1" x14ac:dyDescent="0.25"/>
    <row r="137759" customFormat="1" x14ac:dyDescent="0.25"/>
    <row r="137760" customFormat="1" x14ac:dyDescent="0.25"/>
    <row r="137761" customFormat="1" x14ac:dyDescent="0.25"/>
    <row r="137762" customFormat="1" x14ac:dyDescent="0.25"/>
    <row r="137763" customFormat="1" x14ac:dyDescent="0.25"/>
    <row r="137764" customFormat="1" x14ac:dyDescent="0.25"/>
    <row r="137765" customFormat="1" x14ac:dyDescent="0.25"/>
    <row r="137766" customFormat="1" x14ac:dyDescent="0.25"/>
    <row r="137767" customFormat="1" x14ac:dyDescent="0.25"/>
    <row r="137768" customFormat="1" x14ac:dyDescent="0.25"/>
    <row r="137769" customFormat="1" x14ac:dyDescent="0.25"/>
    <row r="137770" customFormat="1" x14ac:dyDescent="0.25"/>
    <row r="137771" customFormat="1" x14ac:dyDescent="0.25"/>
    <row r="137772" customFormat="1" x14ac:dyDescent="0.25"/>
    <row r="137773" customFormat="1" x14ac:dyDescent="0.25"/>
    <row r="137774" customFormat="1" x14ac:dyDescent="0.25"/>
    <row r="137775" customFormat="1" x14ac:dyDescent="0.25"/>
    <row r="137776" customFormat="1" x14ac:dyDescent="0.25"/>
    <row r="137777" customFormat="1" x14ac:dyDescent="0.25"/>
    <row r="137778" customFormat="1" x14ac:dyDescent="0.25"/>
    <row r="137779" customFormat="1" x14ac:dyDescent="0.25"/>
    <row r="137780" customFormat="1" x14ac:dyDescent="0.25"/>
    <row r="137781" customFormat="1" x14ac:dyDescent="0.25"/>
    <row r="137782" customFormat="1" x14ac:dyDescent="0.25"/>
    <row r="137783" customFormat="1" x14ac:dyDescent="0.25"/>
    <row r="137784" customFormat="1" x14ac:dyDescent="0.25"/>
    <row r="137785" customFormat="1" x14ac:dyDescent="0.25"/>
    <row r="137786" customFormat="1" x14ac:dyDescent="0.25"/>
    <row r="137787" customFormat="1" x14ac:dyDescent="0.25"/>
    <row r="137788" customFormat="1" x14ac:dyDescent="0.25"/>
    <row r="137789" customFormat="1" x14ac:dyDescent="0.25"/>
    <row r="137790" customFormat="1" x14ac:dyDescent="0.25"/>
    <row r="137791" customFormat="1" x14ac:dyDescent="0.25"/>
    <row r="137792" customFormat="1" x14ac:dyDescent="0.25"/>
    <row r="137793" customFormat="1" x14ac:dyDescent="0.25"/>
    <row r="137794" customFormat="1" x14ac:dyDescent="0.25"/>
    <row r="137795" customFormat="1" x14ac:dyDescent="0.25"/>
    <row r="137796" customFormat="1" x14ac:dyDescent="0.25"/>
    <row r="137797" customFormat="1" x14ac:dyDescent="0.25"/>
    <row r="137798" customFormat="1" x14ac:dyDescent="0.25"/>
    <row r="137799" customFormat="1" x14ac:dyDescent="0.25"/>
    <row r="137800" customFormat="1" x14ac:dyDescent="0.25"/>
    <row r="137801" customFormat="1" x14ac:dyDescent="0.25"/>
    <row r="137802" customFormat="1" x14ac:dyDescent="0.25"/>
    <row r="137803" customFormat="1" x14ac:dyDescent="0.25"/>
    <row r="137804" customFormat="1" x14ac:dyDescent="0.25"/>
    <row r="137805" customFormat="1" x14ac:dyDescent="0.25"/>
    <row r="137806" customFormat="1" x14ac:dyDescent="0.25"/>
    <row r="137807" customFormat="1" x14ac:dyDescent="0.25"/>
    <row r="137808" customFormat="1" x14ac:dyDescent="0.25"/>
    <row r="137809" customFormat="1" x14ac:dyDescent="0.25"/>
    <row r="137810" customFormat="1" x14ac:dyDescent="0.25"/>
    <row r="137811" customFormat="1" x14ac:dyDescent="0.25"/>
    <row r="137812" customFormat="1" x14ac:dyDescent="0.25"/>
    <row r="137813" customFormat="1" x14ac:dyDescent="0.25"/>
    <row r="137814" customFormat="1" x14ac:dyDescent="0.25"/>
    <row r="137815" customFormat="1" x14ac:dyDescent="0.25"/>
    <row r="137816" customFormat="1" x14ac:dyDescent="0.25"/>
    <row r="137817" customFormat="1" x14ac:dyDescent="0.25"/>
    <row r="137818" customFormat="1" x14ac:dyDescent="0.25"/>
    <row r="137819" customFormat="1" x14ac:dyDescent="0.25"/>
    <row r="137820" customFormat="1" x14ac:dyDescent="0.25"/>
    <row r="137821" customFormat="1" x14ac:dyDescent="0.25"/>
    <row r="137822" customFormat="1" x14ac:dyDescent="0.25"/>
    <row r="137823" customFormat="1" x14ac:dyDescent="0.25"/>
    <row r="137824" customFormat="1" x14ac:dyDescent="0.25"/>
    <row r="137825" customFormat="1" x14ac:dyDescent="0.25"/>
    <row r="137826" customFormat="1" x14ac:dyDescent="0.25"/>
    <row r="137827" customFormat="1" x14ac:dyDescent="0.25"/>
    <row r="137828" customFormat="1" x14ac:dyDescent="0.25"/>
    <row r="137829" customFormat="1" x14ac:dyDescent="0.25"/>
    <row r="137830" customFormat="1" x14ac:dyDescent="0.25"/>
    <row r="137831" customFormat="1" x14ac:dyDescent="0.25"/>
    <row r="137832" customFormat="1" x14ac:dyDescent="0.25"/>
    <row r="137833" customFormat="1" x14ac:dyDescent="0.25"/>
    <row r="137834" customFormat="1" x14ac:dyDescent="0.25"/>
    <row r="137835" customFormat="1" x14ac:dyDescent="0.25"/>
    <row r="137836" customFormat="1" x14ac:dyDescent="0.25"/>
    <row r="137837" customFormat="1" x14ac:dyDescent="0.25"/>
    <row r="137838" customFormat="1" x14ac:dyDescent="0.25"/>
    <row r="137839" customFormat="1" x14ac:dyDescent="0.25"/>
    <row r="137840" customFormat="1" x14ac:dyDescent="0.25"/>
    <row r="137841" customFormat="1" x14ac:dyDescent="0.25"/>
    <row r="137842" customFormat="1" x14ac:dyDescent="0.25"/>
    <row r="137843" customFormat="1" x14ac:dyDescent="0.25"/>
    <row r="137844" customFormat="1" x14ac:dyDescent="0.25"/>
    <row r="137845" customFormat="1" x14ac:dyDescent="0.25"/>
    <row r="137846" customFormat="1" x14ac:dyDescent="0.25"/>
    <row r="137847" customFormat="1" x14ac:dyDescent="0.25"/>
    <row r="137848" customFormat="1" x14ac:dyDescent="0.25"/>
    <row r="137849" customFormat="1" x14ac:dyDescent="0.25"/>
    <row r="137850" customFormat="1" x14ac:dyDescent="0.25"/>
    <row r="137851" customFormat="1" x14ac:dyDescent="0.25"/>
    <row r="137852" customFormat="1" x14ac:dyDescent="0.25"/>
    <row r="137853" customFormat="1" x14ac:dyDescent="0.25"/>
    <row r="137854" customFormat="1" x14ac:dyDescent="0.25"/>
    <row r="137855" customFormat="1" x14ac:dyDescent="0.25"/>
    <row r="137856" customFormat="1" x14ac:dyDescent="0.25"/>
    <row r="137857" customFormat="1" x14ac:dyDescent="0.25"/>
    <row r="137858" customFormat="1" x14ac:dyDescent="0.25"/>
    <row r="137859" customFormat="1" x14ac:dyDescent="0.25"/>
    <row r="137860" customFormat="1" x14ac:dyDescent="0.25"/>
    <row r="137861" customFormat="1" x14ac:dyDescent="0.25"/>
    <row r="137862" customFormat="1" x14ac:dyDescent="0.25"/>
    <row r="137863" customFormat="1" x14ac:dyDescent="0.25"/>
    <row r="137864" customFormat="1" x14ac:dyDescent="0.25"/>
    <row r="137865" customFormat="1" x14ac:dyDescent="0.25"/>
    <row r="137866" customFormat="1" x14ac:dyDescent="0.25"/>
    <row r="137867" customFormat="1" x14ac:dyDescent="0.25"/>
    <row r="137868" customFormat="1" x14ac:dyDescent="0.25"/>
    <row r="137869" customFormat="1" x14ac:dyDescent="0.25"/>
    <row r="137870" customFormat="1" x14ac:dyDescent="0.25"/>
    <row r="137871" customFormat="1" x14ac:dyDescent="0.25"/>
    <row r="137872" customFormat="1" x14ac:dyDescent="0.25"/>
    <row r="137873" customFormat="1" x14ac:dyDescent="0.25"/>
    <row r="137874" customFormat="1" x14ac:dyDescent="0.25"/>
    <row r="137875" customFormat="1" x14ac:dyDescent="0.25"/>
    <row r="137876" customFormat="1" x14ac:dyDescent="0.25"/>
    <row r="137877" customFormat="1" x14ac:dyDescent="0.25"/>
    <row r="137878" customFormat="1" x14ac:dyDescent="0.25"/>
    <row r="137879" customFormat="1" x14ac:dyDescent="0.25"/>
    <row r="137880" customFormat="1" x14ac:dyDescent="0.25"/>
    <row r="137881" customFormat="1" x14ac:dyDescent="0.25"/>
    <row r="137882" customFormat="1" x14ac:dyDescent="0.25"/>
    <row r="137883" customFormat="1" x14ac:dyDescent="0.25"/>
    <row r="137884" customFormat="1" x14ac:dyDescent="0.25"/>
    <row r="137885" customFormat="1" x14ac:dyDescent="0.25"/>
    <row r="137886" customFormat="1" x14ac:dyDescent="0.25"/>
    <row r="137887" customFormat="1" x14ac:dyDescent="0.25"/>
    <row r="137888" customFormat="1" x14ac:dyDescent="0.25"/>
    <row r="137889" customFormat="1" x14ac:dyDescent="0.25"/>
    <row r="137890" customFormat="1" x14ac:dyDescent="0.25"/>
    <row r="137891" customFormat="1" x14ac:dyDescent="0.25"/>
    <row r="137892" customFormat="1" x14ac:dyDescent="0.25"/>
    <row r="137893" customFormat="1" x14ac:dyDescent="0.25"/>
    <row r="137894" customFormat="1" x14ac:dyDescent="0.25"/>
    <row r="137895" customFormat="1" x14ac:dyDescent="0.25"/>
    <row r="137896" customFormat="1" x14ac:dyDescent="0.25"/>
    <row r="137897" customFormat="1" x14ac:dyDescent="0.25"/>
    <row r="137898" customFormat="1" x14ac:dyDescent="0.25"/>
    <row r="137899" customFormat="1" x14ac:dyDescent="0.25"/>
    <row r="137900" customFormat="1" x14ac:dyDescent="0.25"/>
    <row r="137901" customFormat="1" x14ac:dyDescent="0.25"/>
    <row r="137902" customFormat="1" x14ac:dyDescent="0.25"/>
    <row r="137903" customFormat="1" x14ac:dyDescent="0.25"/>
    <row r="137904" customFormat="1" x14ac:dyDescent="0.25"/>
    <row r="137905" customFormat="1" x14ac:dyDescent="0.25"/>
    <row r="137906" customFormat="1" x14ac:dyDescent="0.25"/>
    <row r="137907" customFormat="1" x14ac:dyDescent="0.25"/>
    <row r="137908" customFormat="1" x14ac:dyDescent="0.25"/>
    <row r="137909" customFormat="1" x14ac:dyDescent="0.25"/>
    <row r="137910" customFormat="1" x14ac:dyDescent="0.25"/>
    <row r="137911" customFormat="1" x14ac:dyDescent="0.25"/>
    <row r="137912" customFormat="1" x14ac:dyDescent="0.25"/>
    <row r="137913" customFormat="1" x14ac:dyDescent="0.25"/>
    <row r="137914" customFormat="1" x14ac:dyDescent="0.25"/>
    <row r="137915" customFormat="1" x14ac:dyDescent="0.25"/>
    <row r="137916" customFormat="1" x14ac:dyDescent="0.25"/>
    <row r="137917" customFormat="1" x14ac:dyDescent="0.25"/>
    <row r="137918" customFormat="1" x14ac:dyDescent="0.25"/>
    <row r="137919" customFormat="1" x14ac:dyDescent="0.25"/>
    <row r="137920" customFormat="1" x14ac:dyDescent="0.25"/>
    <row r="137921" customFormat="1" x14ac:dyDescent="0.25"/>
    <row r="137922" customFormat="1" x14ac:dyDescent="0.25"/>
    <row r="137923" customFormat="1" x14ac:dyDescent="0.25"/>
    <row r="137924" customFormat="1" x14ac:dyDescent="0.25"/>
    <row r="137925" customFormat="1" x14ac:dyDescent="0.25"/>
    <row r="137926" customFormat="1" x14ac:dyDescent="0.25"/>
    <row r="137927" customFormat="1" x14ac:dyDescent="0.25"/>
    <row r="137928" customFormat="1" x14ac:dyDescent="0.25"/>
    <row r="137929" customFormat="1" x14ac:dyDescent="0.25"/>
    <row r="137930" customFormat="1" x14ac:dyDescent="0.25"/>
    <row r="137931" customFormat="1" x14ac:dyDescent="0.25"/>
    <row r="137932" customFormat="1" x14ac:dyDescent="0.25"/>
    <row r="137933" customFormat="1" x14ac:dyDescent="0.25"/>
    <row r="137934" customFormat="1" x14ac:dyDescent="0.25"/>
    <row r="137935" customFormat="1" x14ac:dyDescent="0.25"/>
    <row r="137936" customFormat="1" x14ac:dyDescent="0.25"/>
    <row r="137937" customFormat="1" x14ac:dyDescent="0.25"/>
    <row r="137938" customFormat="1" x14ac:dyDescent="0.25"/>
    <row r="137939" customFormat="1" x14ac:dyDescent="0.25"/>
    <row r="137940" customFormat="1" x14ac:dyDescent="0.25"/>
    <row r="137941" customFormat="1" x14ac:dyDescent="0.25"/>
    <row r="137942" customFormat="1" x14ac:dyDescent="0.25"/>
    <row r="137943" customFormat="1" x14ac:dyDescent="0.25"/>
    <row r="137944" customFormat="1" x14ac:dyDescent="0.25"/>
    <row r="137945" customFormat="1" x14ac:dyDescent="0.25"/>
    <row r="137946" customFormat="1" x14ac:dyDescent="0.25"/>
    <row r="137947" customFormat="1" x14ac:dyDescent="0.25"/>
    <row r="137948" customFormat="1" x14ac:dyDescent="0.25"/>
    <row r="137949" customFormat="1" x14ac:dyDescent="0.25"/>
    <row r="137950" customFormat="1" x14ac:dyDescent="0.25"/>
    <row r="137951" customFormat="1" x14ac:dyDescent="0.25"/>
    <row r="137952" customFormat="1" x14ac:dyDescent="0.25"/>
    <row r="137953" customFormat="1" x14ac:dyDescent="0.25"/>
    <row r="137954" customFormat="1" x14ac:dyDescent="0.25"/>
    <row r="137955" customFormat="1" x14ac:dyDescent="0.25"/>
    <row r="137956" customFormat="1" x14ac:dyDescent="0.25"/>
    <row r="137957" customFormat="1" x14ac:dyDescent="0.25"/>
    <row r="137958" customFormat="1" x14ac:dyDescent="0.25"/>
    <row r="137959" customFormat="1" x14ac:dyDescent="0.25"/>
    <row r="137960" customFormat="1" x14ac:dyDescent="0.25"/>
    <row r="137961" customFormat="1" x14ac:dyDescent="0.25"/>
    <row r="137962" customFormat="1" x14ac:dyDescent="0.25"/>
    <row r="137963" customFormat="1" x14ac:dyDescent="0.25"/>
    <row r="137964" customFormat="1" x14ac:dyDescent="0.25"/>
    <row r="137965" customFormat="1" x14ac:dyDescent="0.25"/>
    <row r="137966" customFormat="1" x14ac:dyDescent="0.25"/>
    <row r="137967" customFormat="1" x14ac:dyDescent="0.25"/>
    <row r="137968" customFormat="1" x14ac:dyDescent="0.25"/>
    <row r="137969" customFormat="1" x14ac:dyDescent="0.25"/>
    <row r="137970" customFormat="1" x14ac:dyDescent="0.25"/>
    <row r="137971" customFormat="1" x14ac:dyDescent="0.25"/>
    <row r="137972" customFormat="1" x14ac:dyDescent="0.25"/>
    <row r="137973" customFormat="1" x14ac:dyDescent="0.25"/>
    <row r="137974" customFormat="1" x14ac:dyDescent="0.25"/>
    <row r="137975" customFormat="1" x14ac:dyDescent="0.25"/>
    <row r="137976" customFormat="1" x14ac:dyDescent="0.25"/>
    <row r="137977" customFormat="1" x14ac:dyDescent="0.25"/>
    <row r="137978" customFormat="1" x14ac:dyDescent="0.25"/>
    <row r="137979" customFormat="1" x14ac:dyDescent="0.25"/>
    <row r="137980" customFormat="1" x14ac:dyDescent="0.25"/>
    <row r="137981" customFormat="1" x14ac:dyDescent="0.25"/>
    <row r="137982" customFormat="1" x14ac:dyDescent="0.25"/>
    <row r="137983" customFormat="1" x14ac:dyDescent="0.25"/>
    <row r="137984" customFormat="1" x14ac:dyDescent="0.25"/>
    <row r="137985" customFormat="1" x14ac:dyDescent="0.25"/>
    <row r="137986" customFormat="1" x14ac:dyDescent="0.25"/>
    <row r="137987" customFormat="1" x14ac:dyDescent="0.25"/>
    <row r="137988" customFormat="1" x14ac:dyDescent="0.25"/>
    <row r="137989" customFormat="1" x14ac:dyDescent="0.25"/>
    <row r="137990" customFormat="1" x14ac:dyDescent="0.25"/>
    <row r="137991" customFormat="1" x14ac:dyDescent="0.25"/>
    <row r="137992" customFormat="1" x14ac:dyDescent="0.25"/>
    <row r="137993" customFormat="1" x14ac:dyDescent="0.25"/>
    <row r="137994" customFormat="1" x14ac:dyDescent="0.25"/>
    <row r="137995" customFormat="1" x14ac:dyDescent="0.25"/>
    <row r="137996" customFormat="1" x14ac:dyDescent="0.25"/>
    <row r="137997" customFormat="1" x14ac:dyDescent="0.25"/>
    <row r="137998" customFormat="1" x14ac:dyDescent="0.25"/>
    <row r="137999" customFormat="1" x14ac:dyDescent="0.25"/>
    <row r="138000" customFormat="1" x14ac:dyDescent="0.25"/>
    <row r="138001" customFormat="1" x14ac:dyDescent="0.25"/>
    <row r="138002" customFormat="1" x14ac:dyDescent="0.25"/>
    <row r="138003" customFormat="1" x14ac:dyDescent="0.25"/>
    <row r="138004" customFormat="1" x14ac:dyDescent="0.25"/>
    <row r="138005" customFormat="1" x14ac:dyDescent="0.25"/>
    <row r="138006" customFormat="1" x14ac:dyDescent="0.25"/>
    <row r="138007" customFormat="1" x14ac:dyDescent="0.25"/>
    <row r="138008" customFormat="1" x14ac:dyDescent="0.25"/>
    <row r="138009" customFormat="1" x14ac:dyDescent="0.25"/>
    <row r="138010" customFormat="1" x14ac:dyDescent="0.25"/>
    <row r="138011" customFormat="1" x14ac:dyDescent="0.25"/>
    <row r="138012" customFormat="1" x14ac:dyDescent="0.25"/>
    <row r="138013" customFormat="1" x14ac:dyDescent="0.25"/>
    <row r="138014" customFormat="1" x14ac:dyDescent="0.25"/>
    <row r="138015" customFormat="1" x14ac:dyDescent="0.25"/>
    <row r="138016" customFormat="1" x14ac:dyDescent="0.25"/>
    <row r="138017" customFormat="1" x14ac:dyDescent="0.25"/>
    <row r="138018" customFormat="1" x14ac:dyDescent="0.25"/>
    <row r="138019" customFormat="1" x14ac:dyDescent="0.25"/>
    <row r="138020" customFormat="1" x14ac:dyDescent="0.25"/>
    <row r="138021" customFormat="1" x14ac:dyDescent="0.25"/>
    <row r="138022" customFormat="1" x14ac:dyDescent="0.25"/>
    <row r="138023" customFormat="1" x14ac:dyDescent="0.25"/>
    <row r="138024" customFormat="1" x14ac:dyDescent="0.25"/>
    <row r="138025" customFormat="1" x14ac:dyDescent="0.25"/>
    <row r="138026" customFormat="1" x14ac:dyDescent="0.25"/>
    <row r="138027" customFormat="1" x14ac:dyDescent="0.25"/>
    <row r="138028" customFormat="1" x14ac:dyDescent="0.25"/>
    <row r="138029" customFormat="1" x14ac:dyDescent="0.25"/>
    <row r="138030" customFormat="1" x14ac:dyDescent="0.25"/>
    <row r="138031" customFormat="1" x14ac:dyDescent="0.25"/>
    <row r="138032" customFormat="1" x14ac:dyDescent="0.25"/>
    <row r="138033" customFormat="1" x14ac:dyDescent="0.25"/>
    <row r="138034" customFormat="1" x14ac:dyDescent="0.25"/>
    <row r="138035" customFormat="1" x14ac:dyDescent="0.25"/>
    <row r="138036" customFormat="1" x14ac:dyDescent="0.25"/>
    <row r="138037" customFormat="1" x14ac:dyDescent="0.25"/>
    <row r="138038" customFormat="1" x14ac:dyDescent="0.25"/>
    <row r="138039" customFormat="1" x14ac:dyDescent="0.25"/>
    <row r="138040" customFormat="1" x14ac:dyDescent="0.25"/>
    <row r="138041" customFormat="1" x14ac:dyDescent="0.25"/>
    <row r="138042" customFormat="1" x14ac:dyDescent="0.25"/>
    <row r="138043" customFormat="1" x14ac:dyDescent="0.25"/>
    <row r="138044" customFormat="1" x14ac:dyDescent="0.25"/>
    <row r="138045" customFormat="1" x14ac:dyDescent="0.25"/>
    <row r="138046" customFormat="1" x14ac:dyDescent="0.25"/>
    <row r="138047" customFormat="1" x14ac:dyDescent="0.25"/>
    <row r="138048" customFormat="1" x14ac:dyDescent="0.25"/>
    <row r="138049" customFormat="1" x14ac:dyDescent="0.25"/>
    <row r="138050" customFormat="1" x14ac:dyDescent="0.25"/>
    <row r="138051" customFormat="1" x14ac:dyDescent="0.25"/>
    <row r="138052" customFormat="1" x14ac:dyDescent="0.25"/>
    <row r="138053" customFormat="1" x14ac:dyDescent="0.25"/>
    <row r="138054" customFormat="1" x14ac:dyDescent="0.25"/>
    <row r="138055" customFormat="1" x14ac:dyDescent="0.25"/>
    <row r="138056" customFormat="1" x14ac:dyDescent="0.25"/>
    <row r="138057" customFormat="1" x14ac:dyDescent="0.25"/>
    <row r="138058" customFormat="1" x14ac:dyDescent="0.25"/>
    <row r="138059" customFormat="1" x14ac:dyDescent="0.25"/>
    <row r="138060" customFormat="1" x14ac:dyDescent="0.25"/>
    <row r="138061" customFormat="1" x14ac:dyDescent="0.25"/>
    <row r="138062" customFormat="1" x14ac:dyDescent="0.25"/>
    <row r="138063" customFormat="1" x14ac:dyDescent="0.25"/>
    <row r="138064" customFormat="1" x14ac:dyDescent="0.25"/>
    <row r="138065" customFormat="1" x14ac:dyDescent="0.25"/>
    <row r="138066" customFormat="1" x14ac:dyDescent="0.25"/>
    <row r="138067" customFormat="1" x14ac:dyDescent="0.25"/>
    <row r="138068" customFormat="1" x14ac:dyDescent="0.25"/>
    <row r="138069" customFormat="1" x14ac:dyDescent="0.25"/>
    <row r="138070" customFormat="1" x14ac:dyDescent="0.25"/>
    <row r="138071" customFormat="1" x14ac:dyDescent="0.25"/>
    <row r="138072" customFormat="1" x14ac:dyDescent="0.25"/>
    <row r="138073" customFormat="1" x14ac:dyDescent="0.25"/>
    <row r="138074" customFormat="1" x14ac:dyDescent="0.25"/>
    <row r="138075" customFormat="1" x14ac:dyDescent="0.25"/>
    <row r="138076" customFormat="1" x14ac:dyDescent="0.25"/>
    <row r="138077" customFormat="1" x14ac:dyDescent="0.25"/>
    <row r="138078" customFormat="1" x14ac:dyDescent="0.25"/>
    <row r="138079" customFormat="1" x14ac:dyDescent="0.25"/>
    <row r="138080" customFormat="1" x14ac:dyDescent="0.25"/>
    <row r="138081" customFormat="1" x14ac:dyDescent="0.25"/>
    <row r="138082" customFormat="1" x14ac:dyDescent="0.25"/>
    <row r="138083" customFormat="1" x14ac:dyDescent="0.25"/>
    <row r="138084" customFormat="1" x14ac:dyDescent="0.25"/>
    <row r="138085" customFormat="1" x14ac:dyDescent="0.25"/>
    <row r="138086" customFormat="1" x14ac:dyDescent="0.25"/>
    <row r="138087" customFormat="1" x14ac:dyDescent="0.25"/>
    <row r="138088" customFormat="1" x14ac:dyDescent="0.25"/>
    <row r="138089" customFormat="1" x14ac:dyDescent="0.25"/>
    <row r="138090" customFormat="1" x14ac:dyDescent="0.25"/>
    <row r="138091" customFormat="1" x14ac:dyDescent="0.25"/>
    <row r="138092" customFormat="1" x14ac:dyDescent="0.25"/>
    <row r="138093" customFormat="1" x14ac:dyDescent="0.25"/>
    <row r="138094" customFormat="1" x14ac:dyDescent="0.25"/>
    <row r="138095" customFormat="1" x14ac:dyDescent="0.25"/>
    <row r="138096" customFormat="1" x14ac:dyDescent="0.25"/>
    <row r="138097" customFormat="1" x14ac:dyDescent="0.25"/>
    <row r="138098" customFormat="1" x14ac:dyDescent="0.25"/>
    <row r="138099" customFormat="1" x14ac:dyDescent="0.25"/>
    <row r="138100" customFormat="1" x14ac:dyDescent="0.25"/>
    <row r="138101" customFormat="1" x14ac:dyDescent="0.25"/>
    <row r="138102" customFormat="1" x14ac:dyDescent="0.25"/>
    <row r="138103" customFormat="1" x14ac:dyDescent="0.25"/>
    <row r="138104" customFormat="1" x14ac:dyDescent="0.25"/>
    <row r="138105" customFormat="1" x14ac:dyDescent="0.25"/>
    <row r="138106" customFormat="1" x14ac:dyDescent="0.25"/>
    <row r="138107" customFormat="1" x14ac:dyDescent="0.25"/>
    <row r="138108" customFormat="1" x14ac:dyDescent="0.25"/>
    <row r="138109" customFormat="1" x14ac:dyDescent="0.25"/>
    <row r="138110" customFormat="1" x14ac:dyDescent="0.25"/>
    <row r="138111" customFormat="1" x14ac:dyDescent="0.25"/>
    <row r="138112" customFormat="1" x14ac:dyDescent="0.25"/>
    <row r="138113" customFormat="1" x14ac:dyDescent="0.25"/>
    <row r="138114" customFormat="1" x14ac:dyDescent="0.25"/>
    <row r="138115" customFormat="1" x14ac:dyDescent="0.25"/>
    <row r="138116" customFormat="1" x14ac:dyDescent="0.25"/>
    <row r="138117" customFormat="1" x14ac:dyDescent="0.25"/>
    <row r="138118" customFormat="1" x14ac:dyDescent="0.25"/>
    <row r="138119" customFormat="1" x14ac:dyDescent="0.25"/>
    <row r="138120" customFormat="1" x14ac:dyDescent="0.25"/>
    <row r="138121" customFormat="1" x14ac:dyDescent="0.25"/>
    <row r="138122" customFormat="1" x14ac:dyDescent="0.25"/>
    <row r="138123" customFormat="1" x14ac:dyDescent="0.25"/>
    <row r="138124" customFormat="1" x14ac:dyDescent="0.25"/>
    <row r="138125" customFormat="1" x14ac:dyDescent="0.25"/>
    <row r="138126" customFormat="1" x14ac:dyDescent="0.25"/>
    <row r="138127" customFormat="1" x14ac:dyDescent="0.25"/>
    <row r="138128" customFormat="1" x14ac:dyDescent="0.25"/>
    <row r="138129" customFormat="1" x14ac:dyDescent="0.25"/>
    <row r="138130" customFormat="1" x14ac:dyDescent="0.25"/>
    <row r="138131" customFormat="1" x14ac:dyDescent="0.25"/>
    <row r="138132" customFormat="1" x14ac:dyDescent="0.25"/>
    <row r="138133" customFormat="1" x14ac:dyDescent="0.25"/>
    <row r="138134" customFormat="1" x14ac:dyDescent="0.25"/>
    <row r="138135" customFormat="1" x14ac:dyDescent="0.25"/>
    <row r="138136" customFormat="1" x14ac:dyDescent="0.25"/>
    <row r="138137" customFormat="1" x14ac:dyDescent="0.25"/>
    <row r="138138" customFormat="1" x14ac:dyDescent="0.25"/>
    <row r="138139" customFormat="1" x14ac:dyDescent="0.25"/>
    <row r="138140" customFormat="1" x14ac:dyDescent="0.25"/>
    <row r="138141" customFormat="1" x14ac:dyDescent="0.25"/>
    <row r="138142" customFormat="1" x14ac:dyDescent="0.25"/>
    <row r="138143" customFormat="1" x14ac:dyDescent="0.25"/>
    <row r="138144" customFormat="1" x14ac:dyDescent="0.25"/>
    <row r="138145" customFormat="1" x14ac:dyDescent="0.25"/>
    <row r="138146" customFormat="1" x14ac:dyDescent="0.25"/>
    <row r="138147" customFormat="1" x14ac:dyDescent="0.25"/>
    <row r="138148" customFormat="1" x14ac:dyDescent="0.25"/>
    <row r="138149" customFormat="1" x14ac:dyDescent="0.25"/>
    <row r="138150" customFormat="1" x14ac:dyDescent="0.25"/>
    <row r="138151" customFormat="1" x14ac:dyDescent="0.25"/>
    <row r="138152" customFormat="1" x14ac:dyDescent="0.25"/>
    <row r="138153" customFormat="1" x14ac:dyDescent="0.25"/>
    <row r="138154" customFormat="1" x14ac:dyDescent="0.25"/>
    <row r="138155" customFormat="1" x14ac:dyDescent="0.25"/>
    <row r="138156" customFormat="1" x14ac:dyDescent="0.25"/>
    <row r="138157" customFormat="1" x14ac:dyDescent="0.25"/>
    <row r="138158" customFormat="1" x14ac:dyDescent="0.25"/>
    <row r="138159" customFormat="1" x14ac:dyDescent="0.25"/>
    <row r="138160" customFormat="1" x14ac:dyDescent="0.25"/>
    <row r="138161" customFormat="1" x14ac:dyDescent="0.25"/>
    <row r="138162" customFormat="1" x14ac:dyDescent="0.25"/>
    <row r="138163" customFormat="1" x14ac:dyDescent="0.25"/>
    <row r="138164" customFormat="1" x14ac:dyDescent="0.25"/>
    <row r="138165" customFormat="1" x14ac:dyDescent="0.25"/>
    <row r="138166" customFormat="1" x14ac:dyDescent="0.25"/>
    <row r="138167" customFormat="1" x14ac:dyDescent="0.25"/>
    <row r="138168" customFormat="1" x14ac:dyDescent="0.25"/>
    <row r="138169" customFormat="1" x14ac:dyDescent="0.25"/>
    <row r="138170" customFormat="1" x14ac:dyDescent="0.25"/>
    <row r="138171" customFormat="1" x14ac:dyDescent="0.25"/>
    <row r="138172" customFormat="1" x14ac:dyDescent="0.25"/>
    <row r="138173" customFormat="1" x14ac:dyDescent="0.25"/>
    <row r="138174" customFormat="1" x14ac:dyDescent="0.25"/>
    <row r="138175" customFormat="1" x14ac:dyDescent="0.25"/>
    <row r="138176" customFormat="1" x14ac:dyDescent="0.25"/>
    <row r="138177" customFormat="1" x14ac:dyDescent="0.25"/>
    <row r="138178" customFormat="1" x14ac:dyDescent="0.25"/>
    <row r="138179" customFormat="1" x14ac:dyDescent="0.25"/>
    <row r="138180" customFormat="1" x14ac:dyDescent="0.25"/>
    <row r="138181" customFormat="1" x14ac:dyDescent="0.25"/>
    <row r="138182" customFormat="1" x14ac:dyDescent="0.25"/>
    <row r="138183" customFormat="1" x14ac:dyDescent="0.25"/>
    <row r="138184" customFormat="1" x14ac:dyDescent="0.25"/>
    <row r="138185" customFormat="1" x14ac:dyDescent="0.25"/>
    <row r="138186" customFormat="1" x14ac:dyDescent="0.25"/>
    <row r="138187" customFormat="1" x14ac:dyDescent="0.25"/>
    <row r="138188" customFormat="1" x14ac:dyDescent="0.25"/>
    <row r="138189" customFormat="1" x14ac:dyDescent="0.25"/>
    <row r="138190" customFormat="1" x14ac:dyDescent="0.25"/>
    <row r="138191" customFormat="1" x14ac:dyDescent="0.25"/>
    <row r="138192" customFormat="1" x14ac:dyDescent="0.25"/>
    <row r="138193" customFormat="1" x14ac:dyDescent="0.25"/>
    <row r="138194" customFormat="1" x14ac:dyDescent="0.25"/>
    <row r="138195" customFormat="1" x14ac:dyDescent="0.25"/>
    <row r="138196" customFormat="1" x14ac:dyDescent="0.25"/>
    <row r="138197" customFormat="1" x14ac:dyDescent="0.25"/>
    <row r="138198" customFormat="1" x14ac:dyDescent="0.25"/>
    <row r="138199" customFormat="1" x14ac:dyDescent="0.25"/>
    <row r="138200" customFormat="1" x14ac:dyDescent="0.25"/>
    <row r="138201" customFormat="1" x14ac:dyDescent="0.25"/>
    <row r="138202" customFormat="1" x14ac:dyDescent="0.25"/>
    <row r="138203" customFormat="1" x14ac:dyDescent="0.25"/>
    <row r="138204" customFormat="1" x14ac:dyDescent="0.25"/>
    <row r="138205" customFormat="1" x14ac:dyDescent="0.25"/>
    <row r="138206" customFormat="1" x14ac:dyDescent="0.25"/>
    <row r="138207" customFormat="1" x14ac:dyDescent="0.25"/>
    <row r="138208" customFormat="1" x14ac:dyDescent="0.25"/>
    <row r="138209" customFormat="1" x14ac:dyDescent="0.25"/>
    <row r="138210" customFormat="1" x14ac:dyDescent="0.25"/>
    <row r="138211" customFormat="1" x14ac:dyDescent="0.25"/>
    <row r="138212" customFormat="1" x14ac:dyDescent="0.25"/>
    <row r="138213" customFormat="1" x14ac:dyDescent="0.25"/>
    <row r="138214" customFormat="1" x14ac:dyDescent="0.25"/>
    <row r="138215" customFormat="1" x14ac:dyDescent="0.25"/>
    <row r="138216" customFormat="1" x14ac:dyDescent="0.25"/>
    <row r="138217" customFormat="1" x14ac:dyDescent="0.25"/>
    <row r="138218" customFormat="1" x14ac:dyDescent="0.25"/>
    <row r="138219" customFormat="1" x14ac:dyDescent="0.25"/>
    <row r="138220" customFormat="1" x14ac:dyDescent="0.25"/>
    <row r="138221" customFormat="1" x14ac:dyDescent="0.25"/>
    <row r="138222" customFormat="1" x14ac:dyDescent="0.25"/>
    <row r="138223" customFormat="1" x14ac:dyDescent="0.25"/>
    <row r="138224" customFormat="1" x14ac:dyDescent="0.25"/>
    <row r="138225" customFormat="1" x14ac:dyDescent="0.25"/>
    <row r="138226" customFormat="1" x14ac:dyDescent="0.25"/>
    <row r="138227" customFormat="1" x14ac:dyDescent="0.25"/>
    <row r="138228" customFormat="1" x14ac:dyDescent="0.25"/>
    <row r="138229" customFormat="1" x14ac:dyDescent="0.25"/>
    <row r="138230" customFormat="1" x14ac:dyDescent="0.25"/>
    <row r="138231" customFormat="1" x14ac:dyDescent="0.25"/>
    <row r="138232" customFormat="1" x14ac:dyDescent="0.25"/>
    <row r="138233" customFormat="1" x14ac:dyDescent="0.25"/>
    <row r="138234" customFormat="1" x14ac:dyDescent="0.25"/>
    <row r="138235" customFormat="1" x14ac:dyDescent="0.25"/>
    <row r="138236" customFormat="1" x14ac:dyDescent="0.25"/>
    <row r="138237" customFormat="1" x14ac:dyDescent="0.25"/>
    <row r="138238" customFormat="1" x14ac:dyDescent="0.25"/>
    <row r="138239" customFormat="1" x14ac:dyDescent="0.25"/>
    <row r="138240" customFormat="1" x14ac:dyDescent="0.25"/>
    <row r="138241" customFormat="1" x14ac:dyDescent="0.25"/>
    <row r="138242" customFormat="1" x14ac:dyDescent="0.25"/>
    <row r="138243" customFormat="1" x14ac:dyDescent="0.25"/>
    <row r="138244" customFormat="1" x14ac:dyDescent="0.25"/>
    <row r="138245" customFormat="1" x14ac:dyDescent="0.25"/>
    <row r="138246" customFormat="1" x14ac:dyDescent="0.25"/>
    <row r="138247" customFormat="1" x14ac:dyDescent="0.25"/>
    <row r="138248" customFormat="1" x14ac:dyDescent="0.25"/>
    <row r="138249" customFormat="1" x14ac:dyDescent="0.25"/>
    <row r="138250" customFormat="1" x14ac:dyDescent="0.25"/>
    <row r="138251" customFormat="1" x14ac:dyDescent="0.25"/>
    <row r="138252" customFormat="1" x14ac:dyDescent="0.25"/>
    <row r="138253" customFormat="1" x14ac:dyDescent="0.25"/>
    <row r="138254" customFormat="1" x14ac:dyDescent="0.25"/>
    <row r="138255" customFormat="1" x14ac:dyDescent="0.25"/>
    <row r="138256" customFormat="1" x14ac:dyDescent="0.25"/>
    <row r="138257" customFormat="1" x14ac:dyDescent="0.25"/>
    <row r="138258" customFormat="1" x14ac:dyDescent="0.25"/>
    <row r="138259" customFormat="1" x14ac:dyDescent="0.25"/>
    <row r="138260" customFormat="1" x14ac:dyDescent="0.25"/>
    <row r="138261" customFormat="1" x14ac:dyDescent="0.25"/>
    <row r="138262" customFormat="1" x14ac:dyDescent="0.25"/>
    <row r="138263" customFormat="1" x14ac:dyDescent="0.25"/>
    <row r="138264" customFormat="1" x14ac:dyDescent="0.25"/>
    <row r="138265" customFormat="1" x14ac:dyDescent="0.25"/>
    <row r="138266" customFormat="1" x14ac:dyDescent="0.25"/>
    <row r="138267" customFormat="1" x14ac:dyDescent="0.25"/>
    <row r="138268" customFormat="1" x14ac:dyDescent="0.25"/>
    <row r="138269" customFormat="1" x14ac:dyDescent="0.25"/>
    <row r="138270" customFormat="1" x14ac:dyDescent="0.25"/>
    <row r="138271" customFormat="1" x14ac:dyDescent="0.25"/>
    <row r="138272" customFormat="1" x14ac:dyDescent="0.25"/>
    <row r="138273" customFormat="1" x14ac:dyDescent="0.25"/>
    <row r="138274" customFormat="1" x14ac:dyDescent="0.25"/>
    <row r="138275" customFormat="1" x14ac:dyDescent="0.25"/>
    <row r="138276" customFormat="1" x14ac:dyDescent="0.25"/>
    <row r="138277" customFormat="1" x14ac:dyDescent="0.25"/>
    <row r="138278" customFormat="1" x14ac:dyDescent="0.25"/>
    <row r="138279" customFormat="1" x14ac:dyDescent="0.25"/>
    <row r="138280" customFormat="1" x14ac:dyDescent="0.25"/>
    <row r="138281" customFormat="1" x14ac:dyDescent="0.25"/>
    <row r="138282" customFormat="1" x14ac:dyDescent="0.25"/>
    <row r="138283" customFormat="1" x14ac:dyDescent="0.25"/>
    <row r="138284" customFormat="1" x14ac:dyDescent="0.25"/>
    <row r="138285" customFormat="1" x14ac:dyDescent="0.25"/>
    <row r="138286" customFormat="1" x14ac:dyDescent="0.25"/>
    <row r="138287" customFormat="1" x14ac:dyDescent="0.25"/>
    <row r="138288" customFormat="1" x14ac:dyDescent="0.25"/>
    <row r="138289" customFormat="1" x14ac:dyDescent="0.25"/>
    <row r="138290" customFormat="1" x14ac:dyDescent="0.25"/>
    <row r="138291" customFormat="1" x14ac:dyDescent="0.25"/>
    <row r="138292" customFormat="1" x14ac:dyDescent="0.25"/>
    <row r="138293" customFormat="1" x14ac:dyDescent="0.25"/>
    <row r="138294" customFormat="1" x14ac:dyDescent="0.25"/>
    <row r="138295" customFormat="1" x14ac:dyDescent="0.25"/>
    <row r="138296" customFormat="1" x14ac:dyDescent="0.25"/>
    <row r="138297" customFormat="1" x14ac:dyDescent="0.25"/>
    <row r="138298" customFormat="1" x14ac:dyDescent="0.25"/>
    <row r="138299" customFormat="1" x14ac:dyDescent="0.25"/>
    <row r="138300" customFormat="1" x14ac:dyDescent="0.25"/>
    <row r="138301" customFormat="1" x14ac:dyDescent="0.25"/>
    <row r="138302" customFormat="1" x14ac:dyDescent="0.25"/>
    <row r="138303" customFormat="1" x14ac:dyDescent="0.25"/>
    <row r="138304" customFormat="1" x14ac:dyDescent="0.25"/>
    <row r="138305" customFormat="1" x14ac:dyDescent="0.25"/>
    <row r="138306" customFormat="1" x14ac:dyDescent="0.25"/>
    <row r="138307" customFormat="1" x14ac:dyDescent="0.25"/>
    <row r="138308" customFormat="1" x14ac:dyDescent="0.25"/>
    <row r="138309" customFormat="1" x14ac:dyDescent="0.25"/>
    <row r="138310" customFormat="1" x14ac:dyDescent="0.25"/>
    <row r="138311" customFormat="1" x14ac:dyDescent="0.25"/>
    <row r="138312" customFormat="1" x14ac:dyDescent="0.25"/>
    <row r="138313" customFormat="1" x14ac:dyDescent="0.25"/>
    <row r="138314" customFormat="1" x14ac:dyDescent="0.25"/>
    <row r="138315" customFormat="1" x14ac:dyDescent="0.25"/>
    <row r="138316" customFormat="1" x14ac:dyDescent="0.25"/>
    <row r="138317" customFormat="1" x14ac:dyDescent="0.25"/>
    <row r="138318" customFormat="1" x14ac:dyDescent="0.25"/>
    <row r="138319" customFormat="1" x14ac:dyDescent="0.25"/>
    <row r="138320" customFormat="1" x14ac:dyDescent="0.25"/>
    <row r="138321" customFormat="1" x14ac:dyDescent="0.25"/>
    <row r="138322" customFormat="1" x14ac:dyDescent="0.25"/>
    <row r="138323" customFormat="1" x14ac:dyDescent="0.25"/>
    <row r="138324" customFormat="1" x14ac:dyDescent="0.25"/>
    <row r="138325" customFormat="1" x14ac:dyDescent="0.25"/>
    <row r="138326" customFormat="1" x14ac:dyDescent="0.25"/>
    <row r="138327" customFormat="1" x14ac:dyDescent="0.25"/>
    <row r="138328" customFormat="1" x14ac:dyDescent="0.25"/>
    <row r="138329" customFormat="1" x14ac:dyDescent="0.25"/>
    <row r="138330" customFormat="1" x14ac:dyDescent="0.25"/>
    <row r="138331" customFormat="1" x14ac:dyDescent="0.25"/>
    <row r="138332" customFormat="1" x14ac:dyDescent="0.25"/>
    <row r="138333" customFormat="1" x14ac:dyDescent="0.25"/>
    <row r="138334" customFormat="1" x14ac:dyDescent="0.25"/>
    <row r="138335" customFormat="1" x14ac:dyDescent="0.25"/>
    <row r="138336" customFormat="1" x14ac:dyDescent="0.25"/>
    <row r="138337" customFormat="1" x14ac:dyDescent="0.25"/>
    <row r="138338" customFormat="1" x14ac:dyDescent="0.25"/>
    <row r="138339" customFormat="1" x14ac:dyDescent="0.25"/>
    <row r="138340" customFormat="1" x14ac:dyDescent="0.25"/>
    <row r="138341" customFormat="1" x14ac:dyDescent="0.25"/>
    <row r="138342" customFormat="1" x14ac:dyDescent="0.25"/>
    <row r="138343" customFormat="1" x14ac:dyDescent="0.25"/>
    <row r="138344" customFormat="1" x14ac:dyDescent="0.25"/>
    <row r="138345" customFormat="1" x14ac:dyDescent="0.25"/>
    <row r="138346" customFormat="1" x14ac:dyDescent="0.25"/>
    <row r="138347" customFormat="1" x14ac:dyDescent="0.25"/>
    <row r="138348" customFormat="1" x14ac:dyDescent="0.25"/>
    <row r="138349" customFormat="1" x14ac:dyDescent="0.25"/>
    <row r="138350" customFormat="1" x14ac:dyDescent="0.25"/>
    <row r="138351" customFormat="1" x14ac:dyDescent="0.25"/>
    <row r="138352" customFormat="1" x14ac:dyDescent="0.25"/>
    <row r="138353" customFormat="1" x14ac:dyDescent="0.25"/>
    <row r="138354" customFormat="1" x14ac:dyDescent="0.25"/>
    <row r="138355" customFormat="1" x14ac:dyDescent="0.25"/>
    <row r="138356" customFormat="1" x14ac:dyDescent="0.25"/>
    <row r="138357" customFormat="1" x14ac:dyDescent="0.25"/>
    <row r="138358" customFormat="1" x14ac:dyDescent="0.25"/>
    <row r="138359" customFormat="1" x14ac:dyDescent="0.25"/>
    <row r="138360" customFormat="1" x14ac:dyDescent="0.25"/>
    <row r="138361" customFormat="1" x14ac:dyDescent="0.25"/>
    <row r="138362" customFormat="1" x14ac:dyDescent="0.25"/>
    <row r="138363" customFormat="1" x14ac:dyDescent="0.25"/>
    <row r="138364" customFormat="1" x14ac:dyDescent="0.25"/>
    <row r="138365" customFormat="1" x14ac:dyDescent="0.25"/>
    <row r="138366" customFormat="1" x14ac:dyDescent="0.25"/>
    <row r="138367" customFormat="1" x14ac:dyDescent="0.25"/>
    <row r="138368" customFormat="1" x14ac:dyDescent="0.25"/>
    <row r="138369" customFormat="1" x14ac:dyDescent="0.25"/>
    <row r="138370" customFormat="1" x14ac:dyDescent="0.25"/>
    <row r="138371" customFormat="1" x14ac:dyDescent="0.25"/>
    <row r="138372" customFormat="1" x14ac:dyDescent="0.25"/>
    <row r="138373" customFormat="1" x14ac:dyDescent="0.25"/>
    <row r="138374" customFormat="1" x14ac:dyDescent="0.25"/>
    <row r="138375" customFormat="1" x14ac:dyDescent="0.25"/>
    <row r="138376" customFormat="1" x14ac:dyDescent="0.25"/>
    <row r="138377" customFormat="1" x14ac:dyDescent="0.25"/>
    <row r="138378" customFormat="1" x14ac:dyDescent="0.25"/>
    <row r="138379" customFormat="1" x14ac:dyDescent="0.25"/>
    <row r="138380" customFormat="1" x14ac:dyDescent="0.25"/>
    <row r="138381" customFormat="1" x14ac:dyDescent="0.25"/>
    <row r="138382" customFormat="1" x14ac:dyDescent="0.25"/>
    <row r="138383" customFormat="1" x14ac:dyDescent="0.25"/>
    <row r="138384" customFormat="1" x14ac:dyDescent="0.25"/>
    <row r="138385" customFormat="1" x14ac:dyDescent="0.25"/>
    <row r="138386" customFormat="1" x14ac:dyDescent="0.25"/>
    <row r="138387" customFormat="1" x14ac:dyDescent="0.25"/>
    <row r="138388" customFormat="1" x14ac:dyDescent="0.25"/>
    <row r="138389" customFormat="1" x14ac:dyDescent="0.25"/>
    <row r="138390" customFormat="1" x14ac:dyDescent="0.25"/>
    <row r="138391" customFormat="1" x14ac:dyDescent="0.25"/>
    <row r="138392" customFormat="1" x14ac:dyDescent="0.25"/>
    <row r="138393" customFormat="1" x14ac:dyDescent="0.25"/>
    <row r="138394" customFormat="1" x14ac:dyDescent="0.25"/>
    <row r="138395" customFormat="1" x14ac:dyDescent="0.25"/>
    <row r="138396" customFormat="1" x14ac:dyDescent="0.25"/>
    <row r="138397" customFormat="1" x14ac:dyDescent="0.25"/>
    <row r="138398" customFormat="1" x14ac:dyDescent="0.25"/>
    <row r="138399" customFormat="1" x14ac:dyDescent="0.25"/>
    <row r="138400" customFormat="1" x14ac:dyDescent="0.25"/>
    <row r="138401" customFormat="1" x14ac:dyDescent="0.25"/>
    <row r="138402" customFormat="1" x14ac:dyDescent="0.25"/>
    <row r="138403" customFormat="1" x14ac:dyDescent="0.25"/>
    <row r="138404" customFormat="1" x14ac:dyDescent="0.25"/>
    <row r="138405" customFormat="1" x14ac:dyDescent="0.25"/>
    <row r="138406" customFormat="1" x14ac:dyDescent="0.25"/>
    <row r="138407" customFormat="1" x14ac:dyDescent="0.25"/>
    <row r="138408" customFormat="1" x14ac:dyDescent="0.25"/>
    <row r="138409" customFormat="1" x14ac:dyDescent="0.25"/>
    <row r="138410" customFormat="1" x14ac:dyDescent="0.25"/>
    <row r="138411" customFormat="1" x14ac:dyDescent="0.25"/>
    <row r="138412" customFormat="1" x14ac:dyDescent="0.25"/>
    <row r="138413" customFormat="1" x14ac:dyDescent="0.25"/>
    <row r="138414" customFormat="1" x14ac:dyDescent="0.25"/>
    <row r="138415" customFormat="1" x14ac:dyDescent="0.25"/>
    <row r="138416" customFormat="1" x14ac:dyDescent="0.25"/>
    <row r="138417" customFormat="1" x14ac:dyDescent="0.25"/>
    <row r="138418" customFormat="1" x14ac:dyDescent="0.25"/>
    <row r="138419" customFormat="1" x14ac:dyDescent="0.25"/>
    <row r="138420" customFormat="1" x14ac:dyDescent="0.25"/>
    <row r="138421" customFormat="1" x14ac:dyDescent="0.25"/>
    <row r="138422" customFormat="1" x14ac:dyDescent="0.25"/>
    <row r="138423" customFormat="1" x14ac:dyDescent="0.25"/>
    <row r="138424" customFormat="1" x14ac:dyDescent="0.25"/>
    <row r="138425" customFormat="1" x14ac:dyDescent="0.25"/>
    <row r="138426" customFormat="1" x14ac:dyDescent="0.25"/>
    <row r="138427" customFormat="1" x14ac:dyDescent="0.25"/>
    <row r="138428" customFormat="1" x14ac:dyDescent="0.25"/>
    <row r="138429" customFormat="1" x14ac:dyDescent="0.25"/>
    <row r="138430" customFormat="1" x14ac:dyDescent="0.25"/>
    <row r="138431" customFormat="1" x14ac:dyDescent="0.25"/>
    <row r="138432" customFormat="1" x14ac:dyDescent="0.25"/>
    <row r="138433" customFormat="1" x14ac:dyDescent="0.25"/>
    <row r="138434" customFormat="1" x14ac:dyDescent="0.25"/>
    <row r="138435" customFormat="1" x14ac:dyDescent="0.25"/>
    <row r="138436" customFormat="1" x14ac:dyDescent="0.25"/>
    <row r="138437" customFormat="1" x14ac:dyDescent="0.25"/>
    <row r="138438" customFormat="1" x14ac:dyDescent="0.25"/>
    <row r="138439" customFormat="1" x14ac:dyDescent="0.25"/>
    <row r="138440" customFormat="1" x14ac:dyDescent="0.25"/>
    <row r="138441" customFormat="1" x14ac:dyDescent="0.25"/>
    <row r="138442" customFormat="1" x14ac:dyDescent="0.25"/>
    <row r="138443" customFormat="1" x14ac:dyDescent="0.25"/>
    <row r="138444" customFormat="1" x14ac:dyDescent="0.25"/>
    <row r="138445" customFormat="1" x14ac:dyDescent="0.25"/>
    <row r="138446" customFormat="1" x14ac:dyDescent="0.25"/>
    <row r="138447" customFormat="1" x14ac:dyDescent="0.25"/>
    <row r="138448" customFormat="1" x14ac:dyDescent="0.25"/>
    <row r="138449" customFormat="1" x14ac:dyDescent="0.25"/>
    <row r="138450" customFormat="1" x14ac:dyDescent="0.25"/>
    <row r="138451" customFormat="1" x14ac:dyDescent="0.25"/>
    <row r="138452" customFormat="1" x14ac:dyDescent="0.25"/>
    <row r="138453" customFormat="1" x14ac:dyDescent="0.25"/>
    <row r="138454" customFormat="1" x14ac:dyDescent="0.25"/>
    <row r="138455" customFormat="1" x14ac:dyDescent="0.25"/>
    <row r="138456" customFormat="1" x14ac:dyDescent="0.25"/>
    <row r="138457" customFormat="1" x14ac:dyDescent="0.25"/>
    <row r="138458" customFormat="1" x14ac:dyDescent="0.25"/>
    <row r="138459" customFormat="1" x14ac:dyDescent="0.25"/>
    <row r="138460" customFormat="1" x14ac:dyDescent="0.25"/>
    <row r="138461" customFormat="1" x14ac:dyDescent="0.25"/>
    <row r="138462" customFormat="1" x14ac:dyDescent="0.25"/>
    <row r="138463" customFormat="1" x14ac:dyDescent="0.25"/>
    <row r="138464" customFormat="1" x14ac:dyDescent="0.25"/>
    <row r="138465" customFormat="1" x14ac:dyDescent="0.25"/>
    <row r="138466" customFormat="1" x14ac:dyDescent="0.25"/>
    <row r="138467" customFormat="1" x14ac:dyDescent="0.25"/>
    <row r="138468" customFormat="1" x14ac:dyDescent="0.25"/>
    <row r="138469" customFormat="1" x14ac:dyDescent="0.25"/>
    <row r="138470" customFormat="1" x14ac:dyDescent="0.25"/>
    <row r="138471" customFormat="1" x14ac:dyDescent="0.25"/>
    <row r="138472" customFormat="1" x14ac:dyDescent="0.25"/>
    <row r="138473" customFormat="1" x14ac:dyDescent="0.25"/>
    <row r="138474" customFormat="1" x14ac:dyDescent="0.25"/>
    <row r="138475" customFormat="1" x14ac:dyDescent="0.25"/>
    <row r="138476" customFormat="1" x14ac:dyDescent="0.25"/>
    <row r="138477" customFormat="1" x14ac:dyDescent="0.25"/>
    <row r="138478" customFormat="1" x14ac:dyDescent="0.25"/>
    <row r="138479" customFormat="1" x14ac:dyDescent="0.25"/>
    <row r="138480" customFormat="1" x14ac:dyDescent="0.25"/>
    <row r="138481" customFormat="1" x14ac:dyDescent="0.25"/>
    <row r="138482" customFormat="1" x14ac:dyDescent="0.25"/>
    <row r="138483" customFormat="1" x14ac:dyDescent="0.25"/>
    <row r="138484" customFormat="1" x14ac:dyDescent="0.25"/>
    <row r="138485" customFormat="1" x14ac:dyDescent="0.25"/>
    <row r="138486" customFormat="1" x14ac:dyDescent="0.25"/>
    <row r="138487" customFormat="1" x14ac:dyDescent="0.25"/>
    <row r="138488" customFormat="1" x14ac:dyDescent="0.25"/>
    <row r="138489" customFormat="1" x14ac:dyDescent="0.25"/>
    <row r="138490" customFormat="1" x14ac:dyDescent="0.25"/>
    <row r="138491" customFormat="1" x14ac:dyDescent="0.25"/>
    <row r="138492" customFormat="1" x14ac:dyDescent="0.25"/>
    <row r="138493" customFormat="1" x14ac:dyDescent="0.25"/>
    <row r="138494" customFormat="1" x14ac:dyDescent="0.25"/>
    <row r="138495" customFormat="1" x14ac:dyDescent="0.25"/>
    <row r="138496" customFormat="1" x14ac:dyDescent="0.25"/>
    <row r="138497" customFormat="1" x14ac:dyDescent="0.25"/>
    <row r="138498" customFormat="1" x14ac:dyDescent="0.25"/>
    <row r="138499" customFormat="1" x14ac:dyDescent="0.25"/>
    <row r="138500" customFormat="1" x14ac:dyDescent="0.25"/>
    <row r="138501" customFormat="1" x14ac:dyDescent="0.25"/>
    <row r="138502" customFormat="1" x14ac:dyDescent="0.25"/>
    <row r="138503" customFormat="1" x14ac:dyDescent="0.25"/>
    <row r="138504" customFormat="1" x14ac:dyDescent="0.25"/>
    <row r="138505" customFormat="1" x14ac:dyDescent="0.25"/>
    <row r="138506" customFormat="1" x14ac:dyDescent="0.25"/>
    <row r="138507" customFormat="1" x14ac:dyDescent="0.25"/>
    <row r="138508" customFormat="1" x14ac:dyDescent="0.25"/>
    <row r="138509" customFormat="1" x14ac:dyDescent="0.25"/>
    <row r="138510" customFormat="1" x14ac:dyDescent="0.25"/>
    <row r="138511" customFormat="1" x14ac:dyDescent="0.25"/>
    <row r="138512" customFormat="1" x14ac:dyDescent="0.25"/>
    <row r="138513" customFormat="1" x14ac:dyDescent="0.25"/>
    <row r="138514" customFormat="1" x14ac:dyDescent="0.25"/>
    <row r="138515" customFormat="1" x14ac:dyDescent="0.25"/>
    <row r="138516" customFormat="1" x14ac:dyDescent="0.25"/>
    <row r="138517" customFormat="1" x14ac:dyDescent="0.25"/>
    <row r="138518" customFormat="1" x14ac:dyDescent="0.25"/>
    <row r="138519" customFormat="1" x14ac:dyDescent="0.25"/>
    <row r="138520" customFormat="1" x14ac:dyDescent="0.25"/>
    <row r="138521" customFormat="1" x14ac:dyDescent="0.25"/>
    <row r="138522" customFormat="1" x14ac:dyDescent="0.25"/>
    <row r="138523" customFormat="1" x14ac:dyDescent="0.25"/>
    <row r="138524" customFormat="1" x14ac:dyDescent="0.25"/>
    <row r="138525" customFormat="1" x14ac:dyDescent="0.25"/>
    <row r="138526" customFormat="1" x14ac:dyDescent="0.25"/>
    <row r="138527" customFormat="1" x14ac:dyDescent="0.25"/>
    <row r="138528" customFormat="1" x14ac:dyDescent="0.25"/>
    <row r="138529" customFormat="1" x14ac:dyDescent="0.25"/>
    <row r="138530" customFormat="1" x14ac:dyDescent="0.25"/>
    <row r="138531" customFormat="1" x14ac:dyDescent="0.25"/>
    <row r="138532" customFormat="1" x14ac:dyDescent="0.25"/>
    <row r="138533" customFormat="1" x14ac:dyDescent="0.25"/>
    <row r="138534" customFormat="1" x14ac:dyDescent="0.25"/>
    <row r="138535" customFormat="1" x14ac:dyDescent="0.25"/>
    <row r="138536" customFormat="1" x14ac:dyDescent="0.25"/>
    <row r="138537" customFormat="1" x14ac:dyDescent="0.25"/>
    <row r="138538" customFormat="1" x14ac:dyDescent="0.25"/>
    <row r="138539" customFormat="1" x14ac:dyDescent="0.25"/>
    <row r="138540" customFormat="1" x14ac:dyDescent="0.25"/>
    <row r="138541" customFormat="1" x14ac:dyDescent="0.25"/>
    <row r="138542" customFormat="1" x14ac:dyDescent="0.25"/>
    <row r="138543" customFormat="1" x14ac:dyDescent="0.25"/>
    <row r="138544" customFormat="1" x14ac:dyDescent="0.25"/>
    <row r="138545" customFormat="1" x14ac:dyDescent="0.25"/>
    <row r="138546" customFormat="1" x14ac:dyDescent="0.25"/>
    <row r="138547" customFormat="1" x14ac:dyDescent="0.25"/>
    <row r="138548" customFormat="1" x14ac:dyDescent="0.25"/>
    <row r="138549" customFormat="1" x14ac:dyDescent="0.25"/>
    <row r="138550" customFormat="1" x14ac:dyDescent="0.25"/>
    <row r="138551" customFormat="1" x14ac:dyDescent="0.25"/>
    <row r="138552" customFormat="1" x14ac:dyDescent="0.25"/>
    <row r="138553" customFormat="1" x14ac:dyDescent="0.25"/>
    <row r="138554" customFormat="1" x14ac:dyDescent="0.25"/>
    <row r="138555" customFormat="1" x14ac:dyDescent="0.25"/>
    <row r="138556" customFormat="1" x14ac:dyDescent="0.25"/>
    <row r="138557" customFormat="1" x14ac:dyDescent="0.25"/>
    <row r="138558" customFormat="1" x14ac:dyDescent="0.25"/>
    <row r="138559" customFormat="1" x14ac:dyDescent="0.25"/>
    <row r="138560" customFormat="1" x14ac:dyDescent="0.25"/>
    <row r="138561" customFormat="1" x14ac:dyDescent="0.25"/>
    <row r="138562" customFormat="1" x14ac:dyDescent="0.25"/>
    <row r="138563" customFormat="1" x14ac:dyDescent="0.25"/>
    <row r="138564" customFormat="1" x14ac:dyDescent="0.25"/>
    <row r="138565" customFormat="1" x14ac:dyDescent="0.25"/>
    <row r="138566" customFormat="1" x14ac:dyDescent="0.25"/>
    <row r="138567" customFormat="1" x14ac:dyDescent="0.25"/>
    <row r="138568" customFormat="1" x14ac:dyDescent="0.25"/>
    <row r="138569" customFormat="1" x14ac:dyDescent="0.25"/>
    <row r="138570" customFormat="1" x14ac:dyDescent="0.25"/>
    <row r="138571" customFormat="1" x14ac:dyDescent="0.25"/>
    <row r="138572" customFormat="1" x14ac:dyDescent="0.25"/>
    <row r="138573" customFormat="1" x14ac:dyDescent="0.25"/>
    <row r="138574" customFormat="1" x14ac:dyDescent="0.25"/>
    <row r="138575" customFormat="1" x14ac:dyDescent="0.25"/>
    <row r="138576" customFormat="1" x14ac:dyDescent="0.25"/>
    <row r="138577" customFormat="1" x14ac:dyDescent="0.25"/>
    <row r="138578" customFormat="1" x14ac:dyDescent="0.25"/>
    <row r="138579" customFormat="1" x14ac:dyDescent="0.25"/>
    <row r="138580" customFormat="1" x14ac:dyDescent="0.25"/>
    <row r="138581" customFormat="1" x14ac:dyDescent="0.25"/>
    <row r="138582" customFormat="1" x14ac:dyDescent="0.25"/>
    <row r="138583" customFormat="1" x14ac:dyDescent="0.25"/>
    <row r="138584" customFormat="1" x14ac:dyDescent="0.25"/>
    <row r="138585" customFormat="1" x14ac:dyDescent="0.25"/>
    <row r="138586" customFormat="1" x14ac:dyDescent="0.25"/>
    <row r="138587" customFormat="1" x14ac:dyDescent="0.25"/>
    <row r="138588" customFormat="1" x14ac:dyDescent="0.25"/>
    <row r="138589" customFormat="1" x14ac:dyDescent="0.25"/>
    <row r="138590" customFormat="1" x14ac:dyDescent="0.25"/>
    <row r="138591" customFormat="1" x14ac:dyDescent="0.25"/>
    <row r="138592" customFormat="1" x14ac:dyDescent="0.25"/>
    <row r="138593" customFormat="1" x14ac:dyDescent="0.25"/>
    <row r="138594" customFormat="1" x14ac:dyDescent="0.25"/>
    <row r="138595" customFormat="1" x14ac:dyDescent="0.25"/>
    <row r="138596" customFormat="1" x14ac:dyDescent="0.25"/>
    <row r="138597" customFormat="1" x14ac:dyDescent="0.25"/>
    <row r="138598" customFormat="1" x14ac:dyDescent="0.25"/>
    <row r="138599" customFormat="1" x14ac:dyDescent="0.25"/>
    <row r="138600" customFormat="1" x14ac:dyDescent="0.25"/>
    <row r="138601" customFormat="1" x14ac:dyDescent="0.25"/>
    <row r="138602" customFormat="1" x14ac:dyDescent="0.25"/>
    <row r="138603" customFormat="1" x14ac:dyDescent="0.25"/>
    <row r="138604" customFormat="1" x14ac:dyDescent="0.25"/>
    <row r="138605" customFormat="1" x14ac:dyDescent="0.25"/>
    <row r="138606" customFormat="1" x14ac:dyDescent="0.25"/>
    <row r="138607" customFormat="1" x14ac:dyDescent="0.25"/>
    <row r="138608" customFormat="1" x14ac:dyDescent="0.25"/>
    <row r="138609" customFormat="1" x14ac:dyDescent="0.25"/>
    <row r="138610" customFormat="1" x14ac:dyDescent="0.25"/>
    <row r="138611" customFormat="1" x14ac:dyDescent="0.25"/>
    <row r="138612" customFormat="1" x14ac:dyDescent="0.25"/>
    <row r="138613" customFormat="1" x14ac:dyDescent="0.25"/>
    <row r="138614" customFormat="1" x14ac:dyDescent="0.25"/>
    <row r="138615" customFormat="1" x14ac:dyDescent="0.25"/>
    <row r="138616" customFormat="1" x14ac:dyDescent="0.25"/>
    <row r="138617" customFormat="1" x14ac:dyDescent="0.25"/>
    <row r="138618" customFormat="1" x14ac:dyDescent="0.25"/>
    <row r="138619" customFormat="1" x14ac:dyDescent="0.25"/>
    <row r="138620" customFormat="1" x14ac:dyDescent="0.25"/>
    <row r="138621" customFormat="1" x14ac:dyDescent="0.25"/>
    <row r="138622" customFormat="1" x14ac:dyDescent="0.25"/>
    <row r="138623" customFormat="1" x14ac:dyDescent="0.25"/>
    <row r="138624" customFormat="1" x14ac:dyDescent="0.25"/>
    <row r="138625" customFormat="1" x14ac:dyDescent="0.25"/>
    <row r="138626" customFormat="1" x14ac:dyDescent="0.25"/>
    <row r="138627" customFormat="1" x14ac:dyDescent="0.25"/>
    <row r="138628" customFormat="1" x14ac:dyDescent="0.25"/>
    <row r="138629" customFormat="1" x14ac:dyDescent="0.25"/>
    <row r="138630" customFormat="1" x14ac:dyDescent="0.25"/>
    <row r="138631" customFormat="1" x14ac:dyDescent="0.25"/>
    <row r="138632" customFormat="1" x14ac:dyDescent="0.25"/>
    <row r="138633" customFormat="1" x14ac:dyDescent="0.25"/>
    <row r="138634" customFormat="1" x14ac:dyDescent="0.25"/>
    <row r="138635" customFormat="1" x14ac:dyDescent="0.25"/>
    <row r="138636" customFormat="1" x14ac:dyDescent="0.25"/>
    <row r="138637" customFormat="1" x14ac:dyDescent="0.25"/>
    <row r="138638" customFormat="1" x14ac:dyDescent="0.25"/>
    <row r="138639" customFormat="1" x14ac:dyDescent="0.25"/>
    <row r="138640" customFormat="1" x14ac:dyDescent="0.25"/>
    <row r="138641" customFormat="1" x14ac:dyDescent="0.25"/>
    <row r="138642" customFormat="1" x14ac:dyDescent="0.25"/>
    <row r="138643" customFormat="1" x14ac:dyDescent="0.25"/>
    <row r="138644" customFormat="1" x14ac:dyDescent="0.25"/>
    <row r="138645" customFormat="1" x14ac:dyDescent="0.25"/>
    <row r="138646" customFormat="1" x14ac:dyDescent="0.25"/>
    <row r="138647" customFormat="1" x14ac:dyDescent="0.25"/>
    <row r="138648" customFormat="1" x14ac:dyDescent="0.25"/>
    <row r="138649" customFormat="1" x14ac:dyDescent="0.25"/>
    <row r="138650" customFormat="1" x14ac:dyDescent="0.25"/>
    <row r="138651" customFormat="1" x14ac:dyDescent="0.25"/>
    <row r="138652" customFormat="1" x14ac:dyDescent="0.25"/>
    <row r="138653" customFormat="1" x14ac:dyDescent="0.25"/>
    <row r="138654" customFormat="1" x14ac:dyDescent="0.25"/>
    <row r="138655" customFormat="1" x14ac:dyDescent="0.25"/>
    <row r="138656" customFormat="1" x14ac:dyDescent="0.25"/>
    <row r="138657" customFormat="1" x14ac:dyDescent="0.25"/>
    <row r="138658" customFormat="1" x14ac:dyDescent="0.25"/>
    <row r="138659" customFormat="1" x14ac:dyDescent="0.25"/>
    <row r="138660" customFormat="1" x14ac:dyDescent="0.25"/>
    <row r="138661" customFormat="1" x14ac:dyDescent="0.25"/>
    <row r="138662" customFormat="1" x14ac:dyDescent="0.25"/>
    <row r="138663" customFormat="1" x14ac:dyDescent="0.25"/>
    <row r="138664" customFormat="1" x14ac:dyDescent="0.25"/>
    <row r="138665" customFormat="1" x14ac:dyDescent="0.25"/>
    <row r="138666" customFormat="1" x14ac:dyDescent="0.25"/>
    <row r="138667" customFormat="1" x14ac:dyDescent="0.25"/>
    <row r="138668" customFormat="1" x14ac:dyDescent="0.25"/>
    <row r="138669" customFormat="1" x14ac:dyDescent="0.25"/>
    <row r="138670" customFormat="1" x14ac:dyDescent="0.25"/>
    <row r="138671" customFormat="1" x14ac:dyDescent="0.25"/>
    <row r="138672" customFormat="1" x14ac:dyDescent="0.25"/>
    <row r="138673" customFormat="1" x14ac:dyDescent="0.25"/>
    <row r="138674" customFormat="1" x14ac:dyDescent="0.25"/>
    <row r="138675" customFormat="1" x14ac:dyDescent="0.25"/>
    <row r="138676" customFormat="1" x14ac:dyDescent="0.25"/>
    <row r="138677" customFormat="1" x14ac:dyDescent="0.25"/>
    <row r="138678" customFormat="1" x14ac:dyDescent="0.25"/>
    <row r="138679" customFormat="1" x14ac:dyDescent="0.25"/>
    <row r="138680" customFormat="1" x14ac:dyDescent="0.25"/>
    <row r="138681" customFormat="1" x14ac:dyDescent="0.25"/>
    <row r="138682" customFormat="1" x14ac:dyDescent="0.25"/>
    <row r="138683" customFormat="1" x14ac:dyDescent="0.25"/>
    <row r="138684" customFormat="1" x14ac:dyDescent="0.25"/>
    <row r="138685" customFormat="1" x14ac:dyDescent="0.25"/>
    <row r="138686" customFormat="1" x14ac:dyDescent="0.25"/>
    <row r="138687" customFormat="1" x14ac:dyDescent="0.25"/>
    <row r="138688" customFormat="1" x14ac:dyDescent="0.25"/>
    <row r="138689" customFormat="1" x14ac:dyDescent="0.25"/>
    <row r="138690" customFormat="1" x14ac:dyDescent="0.25"/>
    <row r="138691" customFormat="1" x14ac:dyDescent="0.25"/>
    <row r="138692" customFormat="1" x14ac:dyDescent="0.25"/>
    <row r="138693" customFormat="1" x14ac:dyDescent="0.25"/>
    <row r="138694" customFormat="1" x14ac:dyDescent="0.25"/>
    <row r="138695" customFormat="1" x14ac:dyDescent="0.25"/>
    <row r="138696" customFormat="1" x14ac:dyDescent="0.25"/>
    <row r="138697" customFormat="1" x14ac:dyDescent="0.25"/>
    <row r="138698" customFormat="1" x14ac:dyDescent="0.25"/>
    <row r="138699" customFormat="1" x14ac:dyDescent="0.25"/>
    <row r="138700" customFormat="1" x14ac:dyDescent="0.25"/>
    <row r="138701" customFormat="1" x14ac:dyDescent="0.25"/>
    <row r="138702" customFormat="1" x14ac:dyDescent="0.25"/>
    <row r="138703" customFormat="1" x14ac:dyDescent="0.25"/>
    <row r="138704" customFormat="1" x14ac:dyDescent="0.25"/>
    <row r="138705" customFormat="1" x14ac:dyDescent="0.25"/>
    <row r="138706" customFormat="1" x14ac:dyDescent="0.25"/>
    <row r="138707" customFormat="1" x14ac:dyDescent="0.25"/>
    <row r="138708" customFormat="1" x14ac:dyDescent="0.25"/>
    <row r="138709" customFormat="1" x14ac:dyDescent="0.25"/>
    <row r="138710" customFormat="1" x14ac:dyDescent="0.25"/>
    <row r="138711" customFormat="1" x14ac:dyDescent="0.25"/>
    <row r="138712" customFormat="1" x14ac:dyDescent="0.25"/>
    <row r="138713" customFormat="1" x14ac:dyDescent="0.25"/>
    <row r="138714" customFormat="1" x14ac:dyDescent="0.25"/>
    <row r="138715" customFormat="1" x14ac:dyDescent="0.25"/>
    <row r="138716" customFormat="1" x14ac:dyDescent="0.25"/>
    <row r="138717" customFormat="1" x14ac:dyDescent="0.25"/>
    <row r="138718" customFormat="1" x14ac:dyDescent="0.25"/>
    <row r="138719" customFormat="1" x14ac:dyDescent="0.25"/>
    <row r="138720" customFormat="1" x14ac:dyDescent="0.25"/>
    <row r="138721" customFormat="1" x14ac:dyDescent="0.25"/>
    <row r="138722" customFormat="1" x14ac:dyDescent="0.25"/>
    <row r="138723" customFormat="1" x14ac:dyDescent="0.25"/>
    <row r="138724" customFormat="1" x14ac:dyDescent="0.25"/>
    <row r="138725" customFormat="1" x14ac:dyDescent="0.25"/>
    <row r="138726" customFormat="1" x14ac:dyDescent="0.25"/>
    <row r="138727" customFormat="1" x14ac:dyDescent="0.25"/>
    <row r="138728" customFormat="1" x14ac:dyDescent="0.25"/>
    <row r="138729" customFormat="1" x14ac:dyDescent="0.25"/>
    <row r="138730" customFormat="1" x14ac:dyDescent="0.25"/>
    <row r="138731" customFormat="1" x14ac:dyDescent="0.25"/>
    <row r="138732" customFormat="1" x14ac:dyDescent="0.25"/>
    <row r="138733" customFormat="1" x14ac:dyDescent="0.25"/>
    <row r="138734" customFormat="1" x14ac:dyDescent="0.25"/>
    <row r="138735" customFormat="1" x14ac:dyDescent="0.25"/>
    <row r="138736" customFormat="1" x14ac:dyDescent="0.25"/>
    <row r="138737" customFormat="1" x14ac:dyDescent="0.25"/>
    <row r="138738" customFormat="1" x14ac:dyDescent="0.25"/>
    <row r="138739" customFormat="1" x14ac:dyDescent="0.25"/>
    <row r="138740" customFormat="1" x14ac:dyDescent="0.25"/>
    <row r="138741" customFormat="1" x14ac:dyDescent="0.25"/>
    <row r="138742" customFormat="1" x14ac:dyDescent="0.25"/>
    <row r="138743" customFormat="1" x14ac:dyDescent="0.25"/>
    <row r="138744" customFormat="1" x14ac:dyDescent="0.25"/>
    <row r="138745" customFormat="1" x14ac:dyDescent="0.25"/>
    <row r="138746" customFormat="1" x14ac:dyDescent="0.25"/>
    <row r="138747" customFormat="1" x14ac:dyDescent="0.25"/>
    <row r="138748" customFormat="1" x14ac:dyDescent="0.25"/>
    <row r="138749" customFormat="1" x14ac:dyDescent="0.25"/>
    <row r="138750" customFormat="1" x14ac:dyDescent="0.25"/>
    <row r="138751" customFormat="1" x14ac:dyDescent="0.25"/>
    <row r="138752" customFormat="1" x14ac:dyDescent="0.25"/>
    <row r="138753" customFormat="1" x14ac:dyDescent="0.25"/>
    <row r="138754" customFormat="1" x14ac:dyDescent="0.25"/>
    <row r="138755" customFormat="1" x14ac:dyDescent="0.25"/>
    <row r="138756" customFormat="1" x14ac:dyDescent="0.25"/>
    <row r="138757" customFormat="1" x14ac:dyDescent="0.25"/>
    <row r="138758" customFormat="1" x14ac:dyDescent="0.25"/>
    <row r="138759" customFormat="1" x14ac:dyDescent="0.25"/>
    <row r="138760" customFormat="1" x14ac:dyDescent="0.25"/>
    <row r="138761" customFormat="1" x14ac:dyDescent="0.25"/>
    <row r="138762" customFormat="1" x14ac:dyDescent="0.25"/>
    <row r="138763" customFormat="1" x14ac:dyDescent="0.25"/>
    <row r="138764" customFormat="1" x14ac:dyDescent="0.25"/>
    <row r="138765" customFormat="1" x14ac:dyDescent="0.25"/>
    <row r="138766" customFormat="1" x14ac:dyDescent="0.25"/>
    <row r="138767" customFormat="1" x14ac:dyDescent="0.25"/>
    <row r="138768" customFormat="1" x14ac:dyDescent="0.25"/>
    <row r="138769" customFormat="1" x14ac:dyDescent="0.25"/>
    <row r="138770" customFormat="1" x14ac:dyDescent="0.25"/>
    <row r="138771" customFormat="1" x14ac:dyDescent="0.25"/>
    <row r="138772" customFormat="1" x14ac:dyDescent="0.25"/>
    <row r="138773" customFormat="1" x14ac:dyDescent="0.25"/>
    <row r="138774" customFormat="1" x14ac:dyDescent="0.25"/>
    <row r="138775" customFormat="1" x14ac:dyDescent="0.25"/>
    <row r="138776" customFormat="1" x14ac:dyDescent="0.25"/>
    <row r="138777" customFormat="1" x14ac:dyDescent="0.25"/>
    <row r="138778" customFormat="1" x14ac:dyDescent="0.25"/>
    <row r="138779" customFormat="1" x14ac:dyDescent="0.25"/>
    <row r="138780" customFormat="1" x14ac:dyDescent="0.25"/>
    <row r="138781" customFormat="1" x14ac:dyDescent="0.25"/>
    <row r="138782" customFormat="1" x14ac:dyDescent="0.25"/>
    <row r="138783" customFormat="1" x14ac:dyDescent="0.25"/>
    <row r="138784" customFormat="1" x14ac:dyDescent="0.25"/>
    <row r="138785" customFormat="1" x14ac:dyDescent="0.25"/>
    <row r="138786" customFormat="1" x14ac:dyDescent="0.25"/>
    <row r="138787" customFormat="1" x14ac:dyDescent="0.25"/>
    <row r="138788" customFormat="1" x14ac:dyDescent="0.25"/>
    <row r="138789" customFormat="1" x14ac:dyDescent="0.25"/>
    <row r="138790" customFormat="1" x14ac:dyDescent="0.25"/>
    <row r="138791" customFormat="1" x14ac:dyDescent="0.25"/>
    <row r="138792" customFormat="1" x14ac:dyDescent="0.25"/>
    <row r="138793" customFormat="1" x14ac:dyDescent="0.25"/>
    <row r="138794" customFormat="1" x14ac:dyDescent="0.25"/>
    <row r="138795" customFormat="1" x14ac:dyDescent="0.25"/>
    <row r="138796" customFormat="1" x14ac:dyDescent="0.25"/>
    <row r="138797" customFormat="1" x14ac:dyDescent="0.25"/>
    <row r="138798" customFormat="1" x14ac:dyDescent="0.25"/>
    <row r="138799" customFormat="1" x14ac:dyDescent="0.25"/>
    <row r="138800" customFormat="1" x14ac:dyDescent="0.25"/>
    <row r="138801" customFormat="1" x14ac:dyDescent="0.25"/>
    <row r="138802" customFormat="1" x14ac:dyDescent="0.25"/>
    <row r="138803" customFormat="1" x14ac:dyDescent="0.25"/>
    <row r="138804" customFormat="1" x14ac:dyDescent="0.25"/>
    <row r="138805" customFormat="1" x14ac:dyDescent="0.25"/>
    <row r="138806" customFormat="1" x14ac:dyDescent="0.25"/>
    <row r="138807" customFormat="1" x14ac:dyDescent="0.25"/>
    <row r="138808" customFormat="1" x14ac:dyDescent="0.25"/>
    <row r="138809" customFormat="1" x14ac:dyDescent="0.25"/>
    <row r="138810" customFormat="1" x14ac:dyDescent="0.25"/>
    <row r="138811" customFormat="1" x14ac:dyDescent="0.25"/>
    <row r="138812" customFormat="1" x14ac:dyDescent="0.25"/>
    <row r="138813" customFormat="1" x14ac:dyDescent="0.25"/>
    <row r="138814" customFormat="1" x14ac:dyDescent="0.25"/>
    <row r="138815" customFormat="1" x14ac:dyDescent="0.25"/>
    <row r="138816" customFormat="1" x14ac:dyDescent="0.25"/>
    <row r="138817" customFormat="1" x14ac:dyDescent="0.25"/>
    <row r="138818" customFormat="1" x14ac:dyDescent="0.25"/>
    <row r="138819" customFormat="1" x14ac:dyDescent="0.25"/>
    <row r="138820" customFormat="1" x14ac:dyDescent="0.25"/>
    <row r="138821" customFormat="1" x14ac:dyDescent="0.25"/>
    <row r="138822" customFormat="1" x14ac:dyDescent="0.25"/>
    <row r="138823" customFormat="1" x14ac:dyDescent="0.25"/>
    <row r="138824" customFormat="1" x14ac:dyDescent="0.25"/>
    <row r="138825" customFormat="1" x14ac:dyDescent="0.25"/>
    <row r="138826" customFormat="1" x14ac:dyDescent="0.25"/>
    <row r="138827" customFormat="1" x14ac:dyDescent="0.25"/>
    <row r="138828" customFormat="1" x14ac:dyDescent="0.25"/>
    <row r="138829" customFormat="1" x14ac:dyDescent="0.25"/>
    <row r="138830" customFormat="1" x14ac:dyDescent="0.25"/>
    <row r="138831" customFormat="1" x14ac:dyDescent="0.25"/>
    <row r="138832" customFormat="1" x14ac:dyDescent="0.25"/>
    <row r="138833" customFormat="1" x14ac:dyDescent="0.25"/>
    <row r="138834" customFormat="1" x14ac:dyDescent="0.25"/>
    <row r="138835" customFormat="1" x14ac:dyDescent="0.25"/>
    <row r="138836" customFormat="1" x14ac:dyDescent="0.25"/>
    <row r="138837" customFormat="1" x14ac:dyDescent="0.25"/>
    <row r="138838" customFormat="1" x14ac:dyDescent="0.25"/>
    <row r="138839" customFormat="1" x14ac:dyDescent="0.25"/>
    <row r="138840" customFormat="1" x14ac:dyDescent="0.25"/>
    <row r="138841" customFormat="1" x14ac:dyDescent="0.25"/>
    <row r="138842" customFormat="1" x14ac:dyDescent="0.25"/>
    <row r="138843" customFormat="1" x14ac:dyDescent="0.25"/>
    <row r="138844" customFormat="1" x14ac:dyDescent="0.25"/>
    <row r="138845" customFormat="1" x14ac:dyDescent="0.25"/>
    <row r="138846" customFormat="1" x14ac:dyDescent="0.25"/>
    <row r="138847" customFormat="1" x14ac:dyDescent="0.25"/>
    <row r="138848" customFormat="1" x14ac:dyDescent="0.25"/>
    <row r="138849" customFormat="1" x14ac:dyDescent="0.25"/>
    <row r="138850" customFormat="1" x14ac:dyDescent="0.25"/>
    <row r="138851" customFormat="1" x14ac:dyDescent="0.25"/>
    <row r="138852" customFormat="1" x14ac:dyDescent="0.25"/>
    <row r="138853" customFormat="1" x14ac:dyDescent="0.25"/>
    <row r="138854" customFormat="1" x14ac:dyDescent="0.25"/>
    <row r="138855" customFormat="1" x14ac:dyDescent="0.25"/>
    <row r="138856" customFormat="1" x14ac:dyDescent="0.25"/>
    <row r="138857" customFormat="1" x14ac:dyDescent="0.25"/>
    <row r="138858" customFormat="1" x14ac:dyDescent="0.25"/>
    <row r="138859" customFormat="1" x14ac:dyDescent="0.25"/>
    <row r="138860" customFormat="1" x14ac:dyDescent="0.25"/>
    <row r="138861" customFormat="1" x14ac:dyDescent="0.25"/>
    <row r="138862" customFormat="1" x14ac:dyDescent="0.25"/>
    <row r="138863" customFormat="1" x14ac:dyDescent="0.25"/>
    <row r="138864" customFormat="1" x14ac:dyDescent="0.25"/>
    <row r="138865" customFormat="1" x14ac:dyDescent="0.25"/>
    <row r="138866" customFormat="1" x14ac:dyDescent="0.25"/>
    <row r="138867" customFormat="1" x14ac:dyDescent="0.25"/>
    <row r="138868" customFormat="1" x14ac:dyDescent="0.25"/>
    <row r="138869" customFormat="1" x14ac:dyDescent="0.25"/>
    <row r="138870" customFormat="1" x14ac:dyDescent="0.25"/>
    <row r="138871" customFormat="1" x14ac:dyDescent="0.25"/>
    <row r="138872" customFormat="1" x14ac:dyDescent="0.25"/>
    <row r="138873" customFormat="1" x14ac:dyDescent="0.25"/>
    <row r="138874" customFormat="1" x14ac:dyDescent="0.25"/>
    <row r="138875" customFormat="1" x14ac:dyDescent="0.25"/>
    <row r="138876" customFormat="1" x14ac:dyDescent="0.25"/>
    <row r="138877" customFormat="1" x14ac:dyDescent="0.25"/>
    <row r="138878" customFormat="1" x14ac:dyDescent="0.25"/>
    <row r="138879" customFormat="1" x14ac:dyDescent="0.25"/>
    <row r="138880" customFormat="1" x14ac:dyDescent="0.25"/>
    <row r="138881" customFormat="1" x14ac:dyDescent="0.25"/>
    <row r="138882" customFormat="1" x14ac:dyDescent="0.25"/>
    <row r="138883" customFormat="1" x14ac:dyDescent="0.25"/>
    <row r="138884" customFormat="1" x14ac:dyDescent="0.25"/>
    <row r="138885" customFormat="1" x14ac:dyDescent="0.25"/>
    <row r="138886" customFormat="1" x14ac:dyDescent="0.25"/>
    <row r="138887" customFormat="1" x14ac:dyDescent="0.25"/>
    <row r="138888" customFormat="1" x14ac:dyDescent="0.25"/>
    <row r="138889" customFormat="1" x14ac:dyDescent="0.25"/>
    <row r="138890" customFormat="1" x14ac:dyDescent="0.25"/>
    <row r="138891" customFormat="1" x14ac:dyDescent="0.25"/>
    <row r="138892" customFormat="1" x14ac:dyDescent="0.25"/>
    <row r="138893" customFormat="1" x14ac:dyDescent="0.25"/>
    <row r="138894" customFormat="1" x14ac:dyDescent="0.25"/>
    <row r="138895" customFormat="1" x14ac:dyDescent="0.25"/>
    <row r="138896" customFormat="1" x14ac:dyDescent="0.25"/>
    <row r="138897" customFormat="1" x14ac:dyDescent="0.25"/>
    <row r="138898" customFormat="1" x14ac:dyDescent="0.25"/>
    <row r="138899" customFormat="1" x14ac:dyDescent="0.25"/>
    <row r="138900" customFormat="1" x14ac:dyDescent="0.25"/>
    <row r="138901" customFormat="1" x14ac:dyDescent="0.25"/>
    <row r="138902" customFormat="1" x14ac:dyDescent="0.25"/>
    <row r="138903" customFormat="1" x14ac:dyDescent="0.25"/>
    <row r="138904" customFormat="1" x14ac:dyDescent="0.25"/>
    <row r="138905" customFormat="1" x14ac:dyDescent="0.25"/>
    <row r="138906" customFormat="1" x14ac:dyDescent="0.25"/>
    <row r="138907" customFormat="1" x14ac:dyDescent="0.25"/>
    <row r="138908" customFormat="1" x14ac:dyDescent="0.25"/>
    <row r="138909" customFormat="1" x14ac:dyDescent="0.25"/>
    <row r="138910" customFormat="1" x14ac:dyDescent="0.25"/>
    <row r="138911" customFormat="1" x14ac:dyDescent="0.25"/>
    <row r="138912" customFormat="1" x14ac:dyDescent="0.25"/>
    <row r="138913" customFormat="1" x14ac:dyDescent="0.25"/>
    <row r="138914" customFormat="1" x14ac:dyDescent="0.25"/>
    <row r="138915" customFormat="1" x14ac:dyDescent="0.25"/>
    <row r="138916" customFormat="1" x14ac:dyDescent="0.25"/>
    <row r="138917" customFormat="1" x14ac:dyDescent="0.25"/>
    <row r="138918" customFormat="1" x14ac:dyDescent="0.25"/>
    <row r="138919" customFormat="1" x14ac:dyDescent="0.25"/>
    <row r="138920" customFormat="1" x14ac:dyDescent="0.25"/>
    <row r="138921" customFormat="1" x14ac:dyDescent="0.25"/>
    <row r="138922" customFormat="1" x14ac:dyDescent="0.25"/>
    <row r="138923" customFormat="1" x14ac:dyDescent="0.25"/>
    <row r="138924" customFormat="1" x14ac:dyDescent="0.25"/>
    <row r="138925" customFormat="1" x14ac:dyDescent="0.25"/>
    <row r="138926" customFormat="1" x14ac:dyDescent="0.25"/>
    <row r="138927" customFormat="1" x14ac:dyDescent="0.25"/>
    <row r="138928" customFormat="1" x14ac:dyDescent="0.25"/>
    <row r="138929" customFormat="1" x14ac:dyDescent="0.25"/>
    <row r="138930" customFormat="1" x14ac:dyDescent="0.25"/>
    <row r="138931" customFormat="1" x14ac:dyDescent="0.25"/>
    <row r="138932" customFormat="1" x14ac:dyDescent="0.25"/>
    <row r="138933" customFormat="1" x14ac:dyDescent="0.25"/>
    <row r="138934" customFormat="1" x14ac:dyDescent="0.25"/>
    <row r="138935" customFormat="1" x14ac:dyDescent="0.25"/>
    <row r="138936" customFormat="1" x14ac:dyDescent="0.25"/>
    <row r="138937" customFormat="1" x14ac:dyDescent="0.25"/>
    <row r="138938" customFormat="1" x14ac:dyDescent="0.25"/>
    <row r="138939" customFormat="1" x14ac:dyDescent="0.25"/>
    <row r="138940" customFormat="1" x14ac:dyDescent="0.25"/>
    <row r="138941" customFormat="1" x14ac:dyDescent="0.25"/>
    <row r="138942" customFormat="1" x14ac:dyDescent="0.25"/>
    <row r="138943" customFormat="1" x14ac:dyDescent="0.25"/>
    <row r="138944" customFormat="1" x14ac:dyDescent="0.25"/>
    <row r="138945" customFormat="1" x14ac:dyDescent="0.25"/>
    <row r="138946" customFormat="1" x14ac:dyDescent="0.25"/>
    <row r="138947" customFormat="1" x14ac:dyDescent="0.25"/>
    <row r="138948" customFormat="1" x14ac:dyDescent="0.25"/>
    <row r="138949" customFormat="1" x14ac:dyDescent="0.25"/>
    <row r="138950" customFormat="1" x14ac:dyDescent="0.25"/>
    <row r="138951" customFormat="1" x14ac:dyDescent="0.25"/>
    <row r="138952" customFormat="1" x14ac:dyDescent="0.25"/>
    <row r="138953" customFormat="1" x14ac:dyDescent="0.25"/>
    <row r="138954" customFormat="1" x14ac:dyDescent="0.25"/>
    <row r="138955" customFormat="1" x14ac:dyDescent="0.25"/>
    <row r="138956" customFormat="1" x14ac:dyDescent="0.25"/>
    <row r="138957" customFormat="1" x14ac:dyDescent="0.25"/>
    <row r="138958" customFormat="1" x14ac:dyDescent="0.25"/>
    <row r="138959" customFormat="1" x14ac:dyDescent="0.25"/>
    <row r="138960" customFormat="1" x14ac:dyDescent="0.25"/>
    <row r="138961" customFormat="1" x14ac:dyDescent="0.25"/>
    <row r="138962" customFormat="1" x14ac:dyDescent="0.25"/>
    <row r="138963" customFormat="1" x14ac:dyDescent="0.25"/>
    <row r="138964" customFormat="1" x14ac:dyDescent="0.25"/>
    <row r="138965" customFormat="1" x14ac:dyDescent="0.25"/>
    <row r="138966" customFormat="1" x14ac:dyDescent="0.25"/>
    <row r="138967" customFormat="1" x14ac:dyDescent="0.25"/>
    <row r="138968" customFormat="1" x14ac:dyDescent="0.25"/>
    <row r="138969" customFormat="1" x14ac:dyDescent="0.25"/>
    <row r="138970" customFormat="1" x14ac:dyDescent="0.25"/>
    <row r="138971" customFormat="1" x14ac:dyDescent="0.25"/>
    <row r="138972" customFormat="1" x14ac:dyDescent="0.25"/>
    <row r="138973" customFormat="1" x14ac:dyDescent="0.25"/>
    <row r="138974" customFormat="1" x14ac:dyDescent="0.25"/>
    <row r="138975" customFormat="1" x14ac:dyDescent="0.25"/>
    <row r="138976" customFormat="1" x14ac:dyDescent="0.25"/>
    <row r="138977" customFormat="1" x14ac:dyDescent="0.25"/>
    <row r="138978" customFormat="1" x14ac:dyDescent="0.25"/>
    <row r="138979" customFormat="1" x14ac:dyDescent="0.25"/>
    <row r="138980" customFormat="1" x14ac:dyDescent="0.25"/>
    <row r="138981" customFormat="1" x14ac:dyDescent="0.25"/>
    <row r="138982" customFormat="1" x14ac:dyDescent="0.25"/>
    <row r="138983" customFormat="1" x14ac:dyDescent="0.25"/>
    <row r="138984" customFormat="1" x14ac:dyDescent="0.25"/>
    <row r="138985" customFormat="1" x14ac:dyDescent="0.25"/>
    <row r="138986" customFormat="1" x14ac:dyDescent="0.25"/>
    <row r="138987" customFormat="1" x14ac:dyDescent="0.25"/>
    <row r="138988" customFormat="1" x14ac:dyDescent="0.25"/>
    <row r="138989" customFormat="1" x14ac:dyDescent="0.25"/>
    <row r="138990" customFormat="1" x14ac:dyDescent="0.25"/>
    <row r="138991" customFormat="1" x14ac:dyDescent="0.25"/>
    <row r="138992" customFormat="1" x14ac:dyDescent="0.25"/>
    <row r="138993" customFormat="1" x14ac:dyDescent="0.25"/>
    <row r="138994" customFormat="1" x14ac:dyDescent="0.25"/>
    <row r="138995" customFormat="1" x14ac:dyDescent="0.25"/>
    <row r="138996" customFormat="1" x14ac:dyDescent="0.25"/>
    <row r="138997" customFormat="1" x14ac:dyDescent="0.25"/>
    <row r="138998" customFormat="1" x14ac:dyDescent="0.25"/>
    <row r="138999" customFormat="1" x14ac:dyDescent="0.25"/>
    <row r="139000" customFormat="1" x14ac:dyDescent="0.25"/>
    <row r="139001" customFormat="1" x14ac:dyDescent="0.25"/>
    <row r="139002" customFormat="1" x14ac:dyDescent="0.25"/>
    <row r="139003" customFormat="1" x14ac:dyDescent="0.25"/>
    <row r="139004" customFormat="1" x14ac:dyDescent="0.25"/>
    <row r="139005" customFormat="1" x14ac:dyDescent="0.25"/>
    <row r="139006" customFormat="1" x14ac:dyDescent="0.25"/>
    <row r="139007" customFormat="1" x14ac:dyDescent="0.25"/>
    <row r="139008" customFormat="1" x14ac:dyDescent="0.25"/>
    <row r="139009" customFormat="1" x14ac:dyDescent="0.25"/>
    <row r="139010" customFormat="1" x14ac:dyDescent="0.25"/>
    <row r="139011" customFormat="1" x14ac:dyDescent="0.25"/>
    <row r="139012" customFormat="1" x14ac:dyDescent="0.25"/>
    <row r="139013" customFormat="1" x14ac:dyDescent="0.25"/>
    <row r="139014" customFormat="1" x14ac:dyDescent="0.25"/>
    <row r="139015" customFormat="1" x14ac:dyDescent="0.25"/>
    <row r="139016" customFormat="1" x14ac:dyDescent="0.25"/>
    <row r="139017" customFormat="1" x14ac:dyDescent="0.25"/>
    <row r="139018" customFormat="1" x14ac:dyDescent="0.25"/>
    <row r="139019" customFormat="1" x14ac:dyDescent="0.25"/>
    <row r="139020" customFormat="1" x14ac:dyDescent="0.25"/>
    <row r="139021" customFormat="1" x14ac:dyDescent="0.25"/>
    <row r="139022" customFormat="1" x14ac:dyDescent="0.25"/>
    <row r="139023" customFormat="1" x14ac:dyDescent="0.25"/>
    <row r="139024" customFormat="1" x14ac:dyDescent="0.25"/>
    <row r="139025" customFormat="1" x14ac:dyDescent="0.25"/>
    <row r="139026" customFormat="1" x14ac:dyDescent="0.25"/>
    <row r="139027" customFormat="1" x14ac:dyDescent="0.25"/>
    <row r="139028" customFormat="1" x14ac:dyDescent="0.25"/>
    <row r="139029" customFormat="1" x14ac:dyDescent="0.25"/>
    <row r="139030" customFormat="1" x14ac:dyDescent="0.25"/>
    <row r="139031" customFormat="1" x14ac:dyDescent="0.25"/>
    <row r="139032" customFormat="1" x14ac:dyDescent="0.25"/>
    <row r="139033" customFormat="1" x14ac:dyDescent="0.25"/>
    <row r="139034" customFormat="1" x14ac:dyDescent="0.25"/>
    <row r="139035" customFormat="1" x14ac:dyDescent="0.25"/>
    <row r="139036" customFormat="1" x14ac:dyDescent="0.25"/>
    <row r="139037" customFormat="1" x14ac:dyDescent="0.25"/>
    <row r="139038" customFormat="1" x14ac:dyDescent="0.25"/>
    <row r="139039" customFormat="1" x14ac:dyDescent="0.25"/>
    <row r="139040" customFormat="1" x14ac:dyDescent="0.25"/>
    <row r="139041" customFormat="1" x14ac:dyDescent="0.25"/>
    <row r="139042" customFormat="1" x14ac:dyDescent="0.25"/>
    <row r="139043" customFormat="1" x14ac:dyDescent="0.25"/>
    <row r="139044" customFormat="1" x14ac:dyDescent="0.25"/>
    <row r="139045" customFormat="1" x14ac:dyDescent="0.25"/>
    <row r="139046" customFormat="1" x14ac:dyDescent="0.25"/>
    <row r="139047" customFormat="1" x14ac:dyDescent="0.25"/>
    <row r="139048" customFormat="1" x14ac:dyDescent="0.25"/>
    <row r="139049" customFormat="1" x14ac:dyDescent="0.25"/>
    <row r="139050" customFormat="1" x14ac:dyDescent="0.25"/>
    <row r="139051" customFormat="1" x14ac:dyDescent="0.25"/>
    <row r="139052" customFormat="1" x14ac:dyDescent="0.25"/>
    <row r="139053" customFormat="1" x14ac:dyDescent="0.25"/>
    <row r="139054" customFormat="1" x14ac:dyDescent="0.25"/>
    <row r="139055" customFormat="1" x14ac:dyDescent="0.25"/>
    <row r="139056" customFormat="1" x14ac:dyDescent="0.25"/>
    <row r="139057" customFormat="1" x14ac:dyDescent="0.25"/>
    <row r="139058" customFormat="1" x14ac:dyDescent="0.25"/>
    <row r="139059" customFormat="1" x14ac:dyDescent="0.25"/>
    <row r="139060" customFormat="1" x14ac:dyDescent="0.25"/>
    <row r="139061" customFormat="1" x14ac:dyDescent="0.25"/>
    <row r="139062" customFormat="1" x14ac:dyDescent="0.25"/>
    <row r="139063" customFormat="1" x14ac:dyDescent="0.25"/>
    <row r="139064" customFormat="1" x14ac:dyDescent="0.25"/>
    <row r="139065" customFormat="1" x14ac:dyDescent="0.25"/>
    <row r="139066" customFormat="1" x14ac:dyDescent="0.25"/>
    <row r="139067" customFormat="1" x14ac:dyDescent="0.25"/>
    <row r="139068" customFormat="1" x14ac:dyDescent="0.25"/>
    <row r="139069" customFormat="1" x14ac:dyDescent="0.25"/>
    <row r="139070" customFormat="1" x14ac:dyDescent="0.25"/>
    <row r="139071" customFormat="1" x14ac:dyDescent="0.25"/>
    <row r="139072" customFormat="1" x14ac:dyDescent="0.25"/>
    <row r="139073" customFormat="1" x14ac:dyDescent="0.25"/>
    <row r="139074" customFormat="1" x14ac:dyDescent="0.25"/>
    <row r="139075" customFormat="1" x14ac:dyDescent="0.25"/>
    <row r="139076" customFormat="1" x14ac:dyDescent="0.25"/>
    <row r="139077" customFormat="1" x14ac:dyDescent="0.25"/>
    <row r="139078" customFormat="1" x14ac:dyDescent="0.25"/>
    <row r="139079" customFormat="1" x14ac:dyDescent="0.25"/>
    <row r="139080" customFormat="1" x14ac:dyDescent="0.25"/>
    <row r="139081" customFormat="1" x14ac:dyDescent="0.25"/>
    <row r="139082" customFormat="1" x14ac:dyDescent="0.25"/>
    <row r="139083" customFormat="1" x14ac:dyDescent="0.25"/>
    <row r="139084" customFormat="1" x14ac:dyDescent="0.25"/>
    <row r="139085" customFormat="1" x14ac:dyDescent="0.25"/>
    <row r="139086" customFormat="1" x14ac:dyDescent="0.25"/>
    <row r="139087" customFormat="1" x14ac:dyDescent="0.25"/>
    <row r="139088" customFormat="1" x14ac:dyDescent="0.25"/>
    <row r="139089" customFormat="1" x14ac:dyDescent="0.25"/>
    <row r="139090" customFormat="1" x14ac:dyDescent="0.25"/>
    <row r="139091" customFormat="1" x14ac:dyDescent="0.25"/>
    <row r="139092" customFormat="1" x14ac:dyDescent="0.25"/>
    <row r="139093" customFormat="1" x14ac:dyDescent="0.25"/>
    <row r="139094" customFormat="1" x14ac:dyDescent="0.25"/>
    <row r="139095" customFormat="1" x14ac:dyDescent="0.25"/>
    <row r="139096" customFormat="1" x14ac:dyDescent="0.25"/>
    <row r="139097" customFormat="1" x14ac:dyDescent="0.25"/>
    <row r="139098" customFormat="1" x14ac:dyDescent="0.25"/>
    <row r="139099" customFormat="1" x14ac:dyDescent="0.25"/>
    <row r="139100" customFormat="1" x14ac:dyDescent="0.25"/>
    <row r="139101" customFormat="1" x14ac:dyDescent="0.25"/>
    <row r="139102" customFormat="1" x14ac:dyDescent="0.25"/>
    <row r="139103" customFormat="1" x14ac:dyDescent="0.25"/>
    <row r="139104" customFormat="1" x14ac:dyDescent="0.25"/>
    <row r="139105" customFormat="1" x14ac:dyDescent="0.25"/>
    <row r="139106" customFormat="1" x14ac:dyDescent="0.25"/>
    <row r="139107" customFormat="1" x14ac:dyDescent="0.25"/>
    <row r="139108" customFormat="1" x14ac:dyDescent="0.25"/>
    <row r="139109" customFormat="1" x14ac:dyDescent="0.25"/>
    <row r="139110" customFormat="1" x14ac:dyDescent="0.25"/>
    <row r="139111" customFormat="1" x14ac:dyDescent="0.25"/>
    <row r="139112" customFormat="1" x14ac:dyDescent="0.25"/>
    <row r="139113" customFormat="1" x14ac:dyDescent="0.25"/>
    <row r="139114" customFormat="1" x14ac:dyDescent="0.25"/>
    <row r="139115" customFormat="1" x14ac:dyDescent="0.25"/>
    <row r="139116" customFormat="1" x14ac:dyDescent="0.25"/>
    <row r="139117" customFormat="1" x14ac:dyDescent="0.25"/>
    <row r="139118" customFormat="1" x14ac:dyDescent="0.25"/>
    <row r="139119" customFormat="1" x14ac:dyDescent="0.25"/>
    <row r="139120" customFormat="1" x14ac:dyDescent="0.25"/>
    <row r="139121" customFormat="1" x14ac:dyDescent="0.25"/>
    <row r="139122" customFormat="1" x14ac:dyDescent="0.25"/>
    <row r="139123" customFormat="1" x14ac:dyDescent="0.25"/>
    <row r="139124" customFormat="1" x14ac:dyDescent="0.25"/>
    <row r="139125" customFormat="1" x14ac:dyDescent="0.25"/>
    <row r="139126" customFormat="1" x14ac:dyDescent="0.25"/>
    <row r="139127" customFormat="1" x14ac:dyDescent="0.25"/>
    <row r="139128" customFormat="1" x14ac:dyDescent="0.25"/>
    <row r="139129" customFormat="1" x14ac:dyDescent="0.25"/>
    <row r="139130" customFormat="1" x14ac:dyDescent="0.25"/>
    <row r="139131" customFormat="1" x14ac:dyDescent="0.25"/>
    <row r="139132" customFormat="1" x14ac:dyDescent="0.25"/>
    <row r="139133" customFormat="1" x14ac:dyDescent="0.25"/>
    <row r="139134" customFormat="1" x14ac:dyDescent="0.25"/>
    <row r="139135" customFormat="1" x14ac:dyDescent="0.25"/>
    <row r="139136" customFormat="1" x14ac:dyDescent="0.25"/>
    <row r="139137" customFormat="1" x14ac:dyDescent="0.25"/>
    <row r="139138" customFormat="1" x14ac:dyDescent="0.25"/>
    <row r="139139" customFormat="1" x14ac:dyDescent="0.25"/>
    <row r="139140" customFormat="1" x14ac:dyDescent="0.25"/>
    <row r="139141" customFormat="1" x14ac:dyDescent="0.25"/>
    <row r="139142" customFormat="1" x14ac:dyDescent="0.25"/>
    <row r="139143" customFormat="1" x14ac:dyDescent="0.25"/>
    <row r="139144" customFormat="1" x14ac:dyDescent="0.25"/>
    <row r="139145" customFormat="1" x14ac:dyDescent="0.25"/>
    <row r="139146" customFormat="1" x14ac:dyDescent="0.25"/>
    <row r="139147" customFormat="1" x14ac:dyDescent="0.25"/>
    <row r="139148" customFormat="1" x14ac:dyDescent="0.25"/>
    <row r="139149" customFormat="1" x14ac:dyDescent="0.25"/>
    <row r="139150" customFormat="1" x14ac:dyDescent="0.25"/>
    <row r="139151" customFormat="1" x14ac:dyDescent="0.25"/>
    <row r="139152" customFormat="1" x14ac:dyDescent="0.25"/>
    <row r="139153" customFormat="1" x14ac:dyDescent="0.25"/>
    <row r="139154" customFormat="1" x14ac:dyDescent="0.25"/>
    <row r="139155" customFormat="1" x14ac:dyDescent="0.25"/>
    <row r="139156" customFormat="1" x14ac:dyDescent="0.25"/>
    <row r="139157" customFormat="1" x14ac:dyDescent="0.25"/>
    <row r="139158" customFormat="1" x14ac:dyDescent="0.25"/>
    <row r="139159" customFormat="1" x14ac:dyDescent="0.25"/>
    <row r="139160" customFormat="1" x14ac:dyDescent="0.25"/>
    <row r="139161" customFormat="1" x14ac:dyDescent="0.25"/>
    <row r="139162" customFormat="1" x14ac:dyDescent="0.25"/>
    <row r="139163" customFormat="1" x14ac:dyDescent="0.25"/>
    <row r="139164" customFormat="1" x14ac:dyDescent="0.25"/>
    <row r="139165" customFormat="1" x14ac:dyDescent="0.25"/>
    <row r="139166" customFormat="1" x14ac:dyDescent="0.25"/>
    <row r="139167" customFormat="1" x14ac:dyDescent="0.25"/>
    <row r="139168" customFormat="1" x14ac:dyDescent="0.25"/>
    <row r="139169" customFormat="1" x14ac:dyDescent="0.25"/>
    <row r="139170" customFormat="1" x14ac:dyDescent="0.25"/>
    <row r="139171" customFormat="1" x14ac:dyDescent="0.25"/>
    <row r="139172" customFormat="1" x14ac:dyDescent="0.25"/>
    <row r="139173" customFormat="1" x14ac:dyDescent="0.25"/>
    <row r="139174" customFormat="1" x14ac:dyDescent="0.25"/>
    <row r="139175" customFormat="1" x14ac:dyDescent="0.25"/>
    <row r="139176" customFormat="1" x14ac:dyDescent="0.25"/>
    <row r="139177" customFormat="1" x14ac:dyDescent="0.25"/>
    <row r="139178" customFormat="1" x14ac:dyDescent="0.25"/>
    <row r="139179" customFormat="1" x14ac:dyDescent="0.25"/>
    <row r="139180" customFormat="1" x14ac:dyDescent="0.25"/>
    <row r="139181" customFormat="1" x14ac:dyDescent="0.25"/>
    <row r="139182" customFormat="1" x14ac:dyDescent="0.25"/>
    <row r="139183" customFormat="1" x14ac:dyDescent="0.25"/>
    <row r="139184" customFormat="1" x14ac:dyDescent="0.25"/>
    <row r="139185" customFormat="1" x14ac:dyDescent="0.25"/>
    <row r="139186" customFormat="1" x14ac:dyDescent="0.25"/>
    <row r="139187" customFormat="1" x14ac:dyDescent="0.25"/>
    <row r="139188" customFormat="1" x14ac:dyDescent="0.25"/>
    <row r="139189" customFormat="1" x14ac:dyDescent="0.25"/>
    <row r="139190" customFormat="1" x14ac:dyDescent="0.25"/>
    <row r="139191" customFormat="1" x14ac:dyDescent="0.25"/>
    <row r="139192" customFormat="1" x14ac:dyDescent="0.25"/>
    <row r="139193" customFormat="1" x14ac:dyDescent="0.25"/>
    <row r="139194" customFormat="1" x14ac:dyDescent="0.25"/>
    <row r="139195" customFormat="1" x14ac:dyDescent="0.25"/>
    <row r="139196" customFormat="1" x14ac:dyDescent="0.25"/>
    <row r="139197" customFormat="1" x14ac:dyDescent="0.25"/>
    <row r="139198" customFormat="1" x14ac:dyDescent="0.25"/>
    <row r="139199" customFormat="1" x14ac:dyDescent="0.25"/>
    <row r="139200" customFormat="1" x14ac:dyDescent="0.25"/>
    <row r="139201" customFormat="1" x14ac:dyDescent="0.25"/>
    <row r="139202" customFormat="1" x14ac:dyDescent="0.25"/>
    <row r="139203" customFormat="1" x14ac:dyDescent="0.25"/>
    <row r="139204" customFormat="1" x14ac:dyDescent="0.25"/>
    <row r="139205" customFormat="1" x14ac:dyDescent="0.25"/>
    <row r="139206" customFormat="1" x14ac:dyDescent="0.25"/>
    <row r="139207" customFormat="1" x14ac:dyDescent="0.25"/>
    <row r="139208" customFormat="1" x14ac:dyDescent="0.25"/>
    <row r="139209" customFormat="1" x14ac:dyDescent="0.25"/>
    <row r="139210" customFormat="1" x14ac:dyDescent="0.25"/>
    <row r="139211" customFormat="1" x14ac:dyDescent="0.25"/>
    <row r="139212" customFormat="1" x14ac:dyDescent="0.25"/>
    <row r="139213" customFormat="1" x14ac:dyDescent="0.25"/>
    <row r="139214" customFormat="1" x14ac:dyDescent="0.25"/>
    <row r="139215" customFormat="1" x14ac:dyDescent="0.25"/>
    <row r="139216" customFormat="1" x14ac:dyDescent="0.25"/>
    <row r="139217" customFormat="1" x14ac:dyDescent="0.25"/>
    <row r="139218" customFormat="1" x14ac:dyDescent="0.25"/>
    <row r="139219" customFormat="1" x14ac:dyDescent="0.25"/>
    <row r="139220" customFormat="1" x14ac:dyDescent="0.25"/>
    <row r="139221" customFormat="1" x14ac:dyDescent="0.25"/>
    <row r="139222" customFormat="1" x14ac:dyDescent="0.25"/>
    <row r="139223" customFormat="1" x14ac:dyDescent="0.25"/>
    <row r="139224" customFormat="1" x14ac:dyDescent="0.25"/>
    <row r="139225" customFormat="1" x14ac:dyDescent="0.25"/>
    <row r="139226" customFormat="1" x14ac:dyDescent="0.25"/>
    <row r="139227" customFormat="1" x14ac:dyDescent="0.25"/>
    <row r="139228" customFormat="1" x14ac:dyDescent="0.25"/>
    <row r="139229" customFormat="1" x14ac:dyDescent="0.25"/>
    <row r="139230" customFormat="1" x14ac:dyDescent="0.25"/>
    <row r="139231" customFormat="1" x14ac:dyDescent="0.25"/>
    <row r="139232" customFormat="1" x14ac:dyDescent="0.25"/>
    <row r="139233" customFormat="1" x14ac:dyDescent="0.25"/>
    <row r="139234" customFormat="1" x14ac:dyDescent="0.25"/>
    <row r="139235" customFormat="1" x14ac:dyDescent="0.25"/>
    <row r="139236" customFormat="1" x14ac:dyDescent="0.25"/>
    <row r="139237" customFormat="1" x14ac:dyDescent="0.25"/>
    <row r="139238" customFormat="1" x14ac:dyDescent="0.25"/>
    <row r="139239" customFormat="1" x14ac:dyDescent="0.25"/>
    <row r="139240" customFormat="1" x14ac:dyDescent="0.25"/>
    <row r="139241" customFormat="1" x14ac:dyDescent="0.25"/>
    <row r="139242" customFormat="1" x14ac:dyDescent="0.25"/>
    <row r="139243" customFormat="1" x14ac:dyDescent="0.25"/>
    <row r="139244" customFormat="1" x14ac:dyDescent="0.25"/>
    <row r="139245" customFormat="1" x14ac:dyDescent="0.25"/>
    <row r="139246" customFormat="1" x14ac:dyDescent="0.25"/>
    <row r="139247" customFormat="1" x14ac:dyDescent="0.25"/>
    <row r="139248" customFormat="1" x14ac:dyDescent="0.25"/>
    <row r="139249" customFormat="1" x14ac:dyDescent="0.25"/>
    <row r="139250" customFormat="1" x14ac:dyDescent="0.25"/>
    <row r="139251" customFormat="1" x14ac:dyDescent="0.25"/>
    <row r="139252" customFormat="1" x14ac:dyDescent="0.25"/>
    <row r="139253" customFormat="1" x14ac:dyDescent="0.25"/>
    <row r="139254" customFormat="1" x14ac:dyDescent="0.25"/>
    <row r="139255" customFormat="1" x14ac:dyDescent="0.25"/>
    <row r="139256" customFormat="1" x14ac:dyDescent="0.25"/>
    <row r="139257" customFormat="1" x14ac:dyDescent="0.25"/>
    <row r="139258" customFormat="1" x14ac:dyDescent="0.25"/>
    <row r="139259" customFormat="1" x14ac:dyDescent="0.25"/>
    <row r="139260" customFormat="1" x14ac:dyDescent="0.25"/>
    <row r="139261" customFormat="1" x14ac:dyDescent="0.25"/>
    <row r="139262" customFormat="1" x14ac:dyDescent="0.25"/>
    <row r="139263" customFormat="1" x14ac:dyDescent="0.25"/>
    <row r="139264" customFormat="1" x14ac:dyDescent="0.25"/>
    <row r="139265" customFormat="1" x14ac:dyDescent="0.25"/>
    <row r="139266" customFormat="1" x14ac:dyDescent="0.25"/>
    <row r="139267" customFormat="1" x14ac:dyDescent="0.25"/>
    <row r="139268" customFormat="1" x14ac:dyDescent="0.25"/>
    <row r="139269" customFormat="1" x14ac:dyDescent="0.25"/>
    <row r="139270" customFormat="1" x14ac:dyDescent="0.25"/>
    <row r="139271" customFormat="1" x14ac:dyDescent="0.25"/>
    <row r="139272" customFormat="1" x14ac:dyDescent="0.25"/>
    <row r="139273" customFormat="1" x14ac:dyDescent="0.25"/>
    <row r="139274" customFormat="1" x14ac:dyDescent="0.25"/>
    <row r="139275" customFormat="1" x14ac:dyDescent="0.25"/>
    <row r="139276" customFormat="1" x14ac:dyDescent="0.25"/>
    <row r="139277" customFormat="1" x14ac:dyDescent="0.25"/>
    <row r="139278" customFormat="1" x14ac:dyDescent="0.25"/>
    <row r="139279" customFormat="1" x14ac:dyDescent="0.25"/>
    <row r="139280" customFormat="1" x14ac:dyDescent="0.25"/>
    <row r="139281" customFormat="1" x14ac:dyDescent="0.25"/>
    <row r="139282" customFormat="1" x14ac:dyDescent="0.25"/>
    <row r="139283" customFormat="1" x14ac:dyDescent="0.25"/>
    <row r="139284" customFormat="1" x14ac:dyDescent="0.25"/>
    <row r="139285" customFormat="1" x14ac:dyDescent="0.25"/>
    <row r="139286" customFormat="1" x14ac:dyDescent="0.25"/>
    <row r="139287" customFormat="1" x14ac:dyDescent="0.25"/>
    <row r="139288" customFormat="1" x14ac:dyDescent="0.25"/>
    <row r="139289" customFormat="1" x14ac:dyDescent="0.25"/>
    <row r="139290" customFormat="1" x14ac:dyDescent="0.25"/>
    <row r="139291" customFormat="1" x14ac:dyDescent="0.25"/>
    <row r="139292" customFormat="1" x14ac:dyDescent="0.25"/>
    <row r="139293" customFormat="1" x14ac:dyDescent="0.25"/>
    <row r="139294" customFormat="1" x14ac:dyDescent="0.25"/>
    <row r="139295" customFormat="1" x14ac:dyDescent="0.25"/>
    <row r="139296" customFormat="1" x14ac:dyDescent="0.25"/>
    <row r="139297" customFormat="1" x14ac:dyDescent="0.25"/>
    <row r="139298" customFormat="1" x14ac:dyDescent="0.25"/>
    <row r="139299" customFormat="1" x14ac:dyDescent="0.25"/>
    <row r="139300" customFormat="1" x14ac:dyDescent="0.25"/>
    <row r="139301" customFormat="1" x14ac:dyDescent="0.25"/>
    <row r="139302" customFormat="1" x14ac:dyDescent="0.25"/>
    <row r="139303" customFormat="1" x14ac:dyDescent="0.25"/>
    <row r="139304" customFormat="1" x14ac:dyDescent="0.25"/>
    <row r="139305" customFormat="1" x14ac:dyDescent="0.25"/>
    <row r="139306" customFormat="1" x14ac:dyDescent="0.25"/>
    <row r="139307" customFormat="1" x14ac:dyDescent="0.25"/>
    <row r="139308" customFormat="1" x14ac:dyDescent="0.25"/>
    <row r="139309" customFormat="1" x14ac:dyDescent="0.25"/>
    <row r="139310" customFormat="1" x14ac:dyDescent="0.25"/>
    <row r="139311" customFormat="1" x14ac:dyDescent="0.25"/>
    <row r="139312" customFormat="1" x14ac:dyDescent="0.25"/>
    <row r="139313" customFormat="1" x14ac:dyDescent="0.25"/>
    <row r="139314" customFormat="1" x14ac:dyDescent="0.25"/>
    <row r="139315" customFormat="1" x14ac:dyDescent="0.25"/>
    <row r="139316" customFormat="1" x14ac:dyDescent="0.25"/>
    <row r="139317" customFormat="1" x14ac:dyDescent="0.25"/>
    <row r="139318" customFormat="1" x14ac:dyDescent="0.25"/>
    <row r="139319" customFormat="1" x14ac:dyDescent="0.25"/>
    <row r="139320" customFormat="1" x14ac:dyDescent="0.25"/>
    <row r="139321" customFormat="1" x14ac:dyDescent="0.25"/>
    <row r="139322" customFormat="1" x14ac:dyDescent="0.25"/>
    <row r="139323" customFormat="1" x14ac:dyDescent="0.25"/>
    <row r="139324" customFormat="1" x14ac:dyDescent="0.25"/>
    <row r="139325" customFormat="1" x14ac:dyDescent="0.25"/>
    <row r="139326" customFormat="1" x14ac:dyDescent="0.25"/>
    <row r="139327" customFormat="1" x14ac:dyDescent="0.25"/>
    <row r="139328" customFormat="1" x14ac:dyDescent="0.25"/>
    <row r="139329" customFormat="1" x14ac:dyDescent="0.25"/>
    <row r="139330" customFormat="1" x14ac:dyDescent="0.25"/>
    <row r="139331" customFormat="1" x14ac:dyDescent="0.25"/>
    <row r="139332" customFormat="1" x14ac:dyDescent="0.25"/>
    <row r="139333" customFormat="1" x14ac:dyDescent="0.25"/>
    <row r="139334" customFormat="1" x14ac:dyDescent="0.25"/>
    <row r="139335" customFormat="1" x14ac:dyDescent="0.25"/>
    <row r="139336" customFormat="1" x14ac:dyDescent="0.25"/>
    <row r="139337" customFormat="1" x14ac:dyDescent="0.25"/>
    <row r="139338" customFormat="1" x14ac:dyDescent="0.25"/>
    <row r="139339" customFormat="1" x14ac:dyDescent="0.25"/>
    <row r="139340" customFormat="1" x14ac:dyDescent="0.25"/>
    <row r="139341" customFormat="1" x14ac:dyDescent="0.25"/>
    <row r="139342" customFormat="1" x14ac:dyDescent="0.25"/>
    <row r="139343" customFormat="1" x14ac:dyDescent="0.25"/>
    <row r="139344" customFormat="1" x14ac:dyDescent="0.25"/>
    <row r="139345" customFormat="1" x14ac:dyDescent="0.25"/>
    <row r="139346" customFormat="1" x14ac:dyDescent="0.25"/>
    <row r="139347" customFormat="1" x14ac:dyDescent="0.25"/>
    <row r="139348" customFormat="1" x14ac:dyDescent="0.25"/>
    <row r="139349" customFormat="1" x14ac:dyDescent="0.25"/>
    <row r="139350" customFormat="1" x14ac:dyDescent="0.25"/>
    <row r="139351" customFormat="1" x14ac:dyDescent="0.25"/>
    <row r="139352" customFormat="1" x14ac:dyDescent="0.25"/>
    <row r="139353" customFormat="1" x14ac:dyDescent="0.25"/>
    <row r="139354" customFormat="1" x14ac:dyDescent="0.25"/>
    <row r="139355" customFormat="1" x14ac:dyDescent="0.25"/>
    <row r="139356" customFormat="1" x14ac:dyDescent="0.25"/>
    <row r="139357" customFormat="1" x14ac:dyDescent="0.25"/>
    <row r="139358" customFormat="1" x14ac:dyDescent="0.25"/>
    <row r="139359" customFormat="1" x14ac:dyDescent="0.25"/>
    <row r="139360" customFormat="1" x14ac:dyDescent="0.25"/>
    <row r="139361" customFormat="1" x14ac:dyDescent="0.25"/>
    <row r="139362" customFormat="1" x14ac:dyDescent="0.25"/>
    <row r="139363" customFormat="1" x14ac:dyDescent="0.25"/>
    <row r="139364" customFormat="1" x14ac:dyDescent="0.25"/>
    <row r="139365" customFormat="1" x14ac:dyDescent="0.25"/>
    <row r="139366" customFormat="1" x14ac:dyDescent="0.25"/>
    <row r="139367" customFormat="1" x14ac:dyDescent="0.25"/>
    <row r="139368" customFormat="1" x14ac:dyDescent="0.25"/>
    <row r="139369" customFormat="1" x14ac:dyDescent="0.25"/>
    <row r="139370" customFormat="1" x14ac:dyDescent="0.25"/>
    <row r="139371" customFormat="1" x14ac:dyDescent="0.25"/>
    <row r="139372" customFormat="1" x14ac:dyDescent="0.25"/>
    <row r="139373" customFormat="1" x14ac:dyDescent="0.25"/>
    <row r="139374" customFormat="1" x14ac:dyDescent="0.25"/>
    <row r="139375" customFormat="1" x14ac:dyDescent="0.25"/>
    <row r="139376" customFormat="1" x14ac:dyDescent="0.25"/>
    <row r="139377" customFormat="1" x14ac:dyDescent="0.25"/>
    <row r="139378" customFormat="1" x14ac:dyDescent="0.25"/>
    <row r="139379" customFormat="1" x14ac:dyDescent="0.25"/>
    <row r="139380" customFormat="1" x14ac:dyDescent="0.25"/>
    <row r="139381" customFormat="1" x14ac:dyDescent="0.25"/>
    <row r="139382" customFormat="1" x14ac:dyDescent="0.25"/>
    <row r="139383" customFormat="1" x14ac:dyDescent="0.25"/>
    <row r="139384" customFormat="1" x14ac:dyDescent="0.25"/>
    <row r="139385" customFormat="1" x14ac:dyDescent="0.25"/>
    <row r="139386" customFormat="1" x14ac:dyDescent="0.25"/>
    <row r="139387" customFormat="1" x14ac:dyDescent="0.25"/>
    <row r="139388" customFormat="1" x14ac:dyDescent="0.25"/>
    <row r="139389" customFormat="1" x14ac:dyDescent="0.25"/>
    <row r="139390" customFormat="1" x14ac:dyDescent="0.25"/>
    <row r="139391" customFormat="1" x14ac:dyDescent="0.25"/>
    <row r="139392" customFormat="1" x14ac:dyDescent="0.25"/>
    <row r="139393" customFormat="1" x14ac:dyDescent="0.25"/>
    <row r="139394" customFormat="1" x14ac:dyDescent="0.25"/>
    <row r="139395" customFormat="1" x14ac:dyDescent="0.25"/>
    <row r="139396" customFormat="1" x14ac:dyDescent="0.25"/>
    <row r="139397" customFormat="1" x14ac:dyDescent="0.25"/>
    <row r="139398" customFormat="1" x14ac:dyDescent="0.25"/>
    <row r="139399" customFormat="1" x14ac:dyDescent="0.25"/>
    <row r="139400" customFormat="1" x14ac:dyDescent="0.25"/>
    <row r="139401" customFormat="1" x14ac:dyDescent="0.25"/>
    <row r="139402" customFormat="1" x14ac:dyDescent="0.25"/>
    <row r="139403" customFormat="1" x14ac:dyDescent="0.25"/>
    <row r="139404" customFormat="1" x14ac:dyDescent="0.25"/>
    <row r="139405" customFormat="1" x14ac:dyDescent="0.25"/>
    <row r="139406" customFormat="1" x14ac:dyDescent="0.25"/>
    <row r="139407" customFormat="1" x14ac:dyDescent="0.25"/>
    <row r="139408" customFormat="1" x14ac:dyDescent="0.25"/>
    <row r="139409" customFormat="1" x14ac:dyDescent="0.25"/>
    <row r="139410" customFormat="1" x14ac:dyDescent="0.25"/>
    <row r="139411" customFormat="1" x14ac:dyDescent="0.25"/>
    <row r="139412" customFormat="1" x14ac:dyDescent="0.25"/>
    <row r="139413" customFormat="1" x14ac:dyDescent="0.25"/>
    <row r="139414" customFormat="1" x14ac:dyDescent="0.25"/>
    <row r="139415" customFormat="1" x14ac:dyDescent="0.25"/>
    <row r="139416" customFormat="1" x14ac:dyDescent="0.25"/>
    <row r="139417" customFormat="1" x14ac:dyDescent="0.25"/>
    <row r="139418" customFormat="1" x14ac:dyDescent="0.25"/>
    <row r="139419" customFormat="1" x14ac:dyDescent="0.25"/>
    <row r="139420" customFormat="1" x14ac:dyDescent="0.25"/>
    <row r="139421" customFormat="1" x14ac:dyDescent="0.25"/>
    <row r="139422" customFormat="1" x14ac:dyDescent="0.25"/>
    <row r="139423" customFormat="1" x14ac:dyDescent="0.25"/>
    <row r="139424" customFormat="1" x14ac:dyDescent="0.25"/>
    <row r="139425" customFormat="1" x14ac:dyDescent="0.25"/>
    <row r="139426" customFormat="1" x14ac:dyDescent="0.25"/>
    <row r="139427" customFormat="1" x14ac:dyDescent="0.25"/>
    <row r="139428" customFormat="1" x14ac:dyDescent="0.25"/>
    <row r="139429" customFormat="1" x14ac:dyDescent="0.25"/>
    <row r="139430" customFormat="1" x14ac:dyDescent="0.25"/>
    <row r="139431" customFormat="1" x14ac:dyDescent="0.25"/>
    <row r="139432" customFormat="1" x14ac:dyDescent="0.25"/>
    <row r="139433" customFormat="1" x14ac:dyDescent="0.25"/>
    <row r="139434" customFormat="1" x14ac:dyDescent="0.25"/>
    <row r="139435" customFormat="1" x14ac:dyDescent="0.25"/>
    <row r="139436" customFormat="1" x14ac:dyDescent="0.25"/>
    <row r="139437" customFormat="1" x14ac:dyDescent="0.25"/>
    <row r="139438" customFormat="1" x14ac:dyDescent="0.25"/>
    <row r="139439" customFormat="1" x14ac:dyDescent="0.25"/>
    <row r="139440" customFormat="1" x14ac:dyDescent="0.25"/>
    <row r="139441" customFormat="1" x14ac:dyDescent="0.25"/>
    <row r="139442" customFormat="1" x14ac:dyDescent="0.25"/>
    <row r="139443" customFormat="1" x14ac:dyDescent="0.25"/>
    <row r="139444" customFormat="1" x14ac:dyDescent="0.25"/>
    <row r="139445" customFormat="1" x14ac:dyDescent="0.25"/>
    <row r="139446" customFormat="1" x14ac:dyDescent="0.25"/>
    <row r="139447" customFormat="1" x14ac:dyDescent="0.25"/>
    <row r="139448" customFormat="1" x14ac:dyDescent="0.25"/>
    <row r="139449" customFormat="1" x14ac:dyDescent="0.25"/>
    <row r="139450" customFormat="1" x14ac:dyDescent="0.25"/>
    <row r="139451" customFormat="1" x14ac:dyDescent="0.25"/>
    <row r="139452" customFormat="1" x14ac:dyDescent="0.25"/>
    <row r="139453" customFormat="1" x14ac:dyDescent="0.25"/>
    <row r="139454" customFormat="1" x14ac:dyDescent="0.25"/>
    <row r="139455" customFormat="1" x14ac:dyDescent="0.25"/>
    <row r="139456" customFormat="1" x14ac:dyDescent="0.25"/>
    <row r="139457" customFormat="1" x14ac:dyDescent="0.25"/>
    <row r="139458" customFormat="1" x14ac:dyDescent="0.25"/>
    <row r="139459" customFormat="1" x14ac:dyDescent="0.25"/>
    <row r="139460" customFormat="1" x14ac:dyDescent="0.25"/>
    <row r="139461" customFormat="1" x14ac:dyDescent="0.25"/>
    <row r="139462" customFormat="1" x14ac:dyDescent="0.25"/>
    <row r="139463" customFormat="1" x14ac:dyDescent="0.25"/>
    <row r="139464" customFormat="1" x14ac:dyDescent="0.25"/>
    <row r="139465" customFormat="1" x14ac:dyDescent="0.25"/>
    <row r="139466" customFormat="1" x14ac:dyDescent="0.25"/>
    <row r="139467" customFormat="1" x14ac:dyDescent="0.25"/>
    <row r="139468" customFormat="1" x14ac:dyDescent="0.25"/>
    <row r="139469" customFormat="1" x14ac:dyDescent="0.25"/>
    <row r="139470" customFormat="1" x14ac:dyDescent="0.25"/>
    <row r="139471" customFormat="1" x14ac:dyDescent="0.25"/>
    <row r="139472" customFormat="1" x14ac:dyDescent="0.25"/>
    <row r="139473" customFormat="1" x14ac:dyDescent="0.25"/>
    <row r="139474" customFormat="1" x14ac:dyDescent="0.25"/>
    <row r="139475" customFormat="1" x14ac:dyDescent="0.25"/>
    <row r="139476" customFormat="1" x14ac:dyDescent="0.25"/>
    <row r="139477" customFormat="1" x14ac:dyDescent="0.25"/>
    <row r="139478" customFormat="1" x14ac:dyDescent="0.25"/>
    <row r="139479" customFormat="1" x14ac:dyDescent="0.25"/>
    <row r="139480" customFormat="1" x14ac:dyDescent="0.25"/>
    <row r="139481" customFormat="1" x14ac:dyDescent="0.25"/>
    <row r="139482" customFormat="1" x14ac:dyDescent="0.25"/>
    <row r="139483" customFormat="1" x14ac:dyDescent="0.25"/>
    <row r="139484" customFormat="1" x14ac:dyDescent="0.25"/>
    <row r="139485" customFormat="1" x14ac:dyDescent="0.25"/>
    <row r="139486" customFormat="1" x14ac:dyDescent="0.25"/>
    <row r="139487" customFormat="1" x14ac:dyDescent="0.25"/>
    <row r="139488" customFormat="1" x14ac:dyDescent="0.25"/>
    <row r="139489" customFormat="1" x14ac:dyDescent="0.25"/>
    <row r="139490" customFormat="1" x14ac:dyDescent="0.25"/>
    <row r="139491" customFormat="1" x14ac:dyDescent="0.25"/>
    <row r="139492" customFormat="1" x14ac:dyDescent="0.25"/>
    <row r="139493" customFormat="1" x14ac:dyDescent="0.25"/>
    <row r="139494" customFormat="1" x14ac:dyDescent="0.25"/>
    <row r="139495" customFormat="1" x14ac:dyDescent="0.25"/>
    <row r="139496" customFormat="1" x14ac:dyDescent="0.25"/>
    <row r="139497" customFormat="1" x14ac:dyDescent="0.25"/>
    <row r="139498" customFormat="1" x14ac:dyDescent="0.25"/>
    <row r="139499" customFormat="1" x14ac:dyDescent="0.25"/>
    <row r="139500" customFormat="1" x14ac:dyDescent="0.25"/>
    <row r="139501" customFormat="1" x14ac:dyDescent="0.25"/>
    <row r="139502" customFormat="1" x14ac:dyDescent="0.25"/>
    <row r="139503" customFormat="1" x14ac:dyDescent="0.25"/>
    <row r="139504" customFormat="1" x14ac:dyDescent="0.25"/>
    <row r="139505" customFormat="1" x14ac:dyDescent="0.25"/>
    <row r="139506" customFormat="1" x14ac:dyDescent="0.25"/>
    <row r="139507" customFormat="1" x14ac:dyDescent="0.25"/>
    <row r="139508" customFormat="1" x14ac:dyDescent="0.25"/>
    <row r="139509" customFormat="1" x14ac:dyDescent="0.25"/>
    <row r="139510" customFormat="1" x14ac:dyDescent="0.25"/>
    <row r="139511" customFormat="1" x14ac:dyDescent="0.25"/>
    <row r="139512" customFormat="1" x14ac:dyDescent="0.25"/>
    <row r="139513" customFormat="1" x14ac:dyDescent="0.25"/>
    <row r="139514" customFormat="1" x14ac:dyDescent="0.25"/>
    <row r="139515" customFormat="1" x14ac:dyDescent="0.25"/>
    <row r="139516" customFormat="1" x14ac:dyDescent="0.25"/>
    <row r="139517" customFormat="1" x14ac:dyDescent="0.25"/>
    <row r="139518" customFormat="1" x14ac:dyDescent="0.25"/>
    <row r="139519" customFormat="1" x14ac:dyDescent="0.25"/>
    <row r="139520" customFormat="1" x14ac:dyDescent="0.25"/>
    <row r="139521" customFormat="1" x14ac:dyDescent="0.25"/>
    <row r="139522" customFormat="1" x14ac:dyDescent="0.25"/>
    <row r="139523" customFormat="1" x14ac:dyDescent="0.25"/>
    <row r="139524" customFormat="1" x14ac:dyDescent="0.25"/>
    <row r="139525" customFormat="1" x14ac:dyDescent="0.25"/>
    <row r="139526" customFormat="1" x14ac:dyDescent="0.25"/>
    <row r="139527" customFormat="1" x14ac:dyDescent="0.25"/>
    <row r="139528" customFormat="1" x14ac:dyDescent="0.25"/>
    <row r="139529" customFormat="1" x14ac:dyDescent="0.25"/>
    <row r="139530" customFormat="1" x14ac:dyDescent="0.25"/>
    <row r="139531" customFormat="1" x14ac:dyDescent="0.25"/>
    <row r="139532" customFormat="1" x14ac:dyDescent="0.25"/>
    <row r="139533" customFormat="1" x14ac:dyDescent="0.25"/>
    <row r="139534" customFormat="1" x14ac:dyDescent="0.25"/>
    <row r="139535" customFormat="1" x14ac:dyDescent="0.25"/>
    <row r="139536" customFormat="1" x14ac:dyDescent="0.25"/>
    <row r="139537" customFormat="1" x14ac:dyDescent="0.25"/>
    <row r="139538" customFormat="1" x14ac:dyDescent="0.25"/>
    <row r="139539" customFormat="1" x14ac:dyDescent="0.25"/>
    <row r="139540" customFormat="1" x14ac:dyDescent="0.25"/>
    <row r="139541" customFormat="1" x14ac:dyDescent="0.25"/>
    <row r="139542" customFormat="1" x14ac:dyDescent="0.25"/>
    <row r="139543" customFormat="1" x14ac:dyDescent="0.25"/>
    <row r="139544" customFormat="1" x14ac:dyDescent="0.25"/>
    <row r="139545" customFormat="1" x14ac:dyDescent="0.25"/>
    <row r="139546" customFormat="1" x14ac:dyDescent="0.25"/>
    <row r="139547" customFormat="1" x14ac:dyDescent="0.25"/>
    <row r="139548" customFormat="1" x14ac:dyDescent="0.25"/>
    <row r="139549" customFormat="1" x14ac:dyDescent="0.25"/>
    <row r="139550" customFormat="1" x14ac:dyDescent="0.25"/>
    <row r="139551" customFormat="1" x14ac:dyDescent="0.25"/>
    <row r="139552" customFormat="1" x14ac:dyDescent="0.25"/>
    <row r="139553" customFormat="1" x14ac:dyDescent="0.25"/>
    <row r="139554" customFormat="1" x14ac:dyDescent="0.25"/>
    <row r="139555" customFormat="1" x14ac:dyDescent="0.25"/>
    <row r="139556" customFormat="1" x14ac:dyDescent="0.25"/>
    <row r="139557" customFormat="1" x14ac:dyDescent="0.25"/>
    <row r="139558" customFormat="1" x14ac:dyDescent="0.25"/>
    <row r="139559" customFormat="1" x14ac:dyDescent="0.25"/>
    <row r="139560" customFormat="1" x14ac:dyDescent="0.25"/>
    <row r="139561" customFormat="1" x14ac:dyDescent="0.25"/>
    <row r="139562" customFormat="1" x14ac:dyDescent="0.25"/>
    <row r="139563" customFormat="1" x14ac:dyDescent="0.25"/>
    <row r="139564" customFormat="1" x14ac:dyDescent="0.25"/>
    <row r="139565" customFormat="1" x14ac:dyDescent="0.25"/>
    <row r="139566" customFormat="1" x14ac:dyDescent="0.25"/>
    <row r="139567" customFormat="1" x14ac:dyDescent="0.25"/>
    <row r="139568" customFormat="1" x14ac:dyDescent="0.25"/>
    <row r="139569" customFormat="1" x14ac:dyDescent="0.25"/>
    <row r="139570" customFormat="1" x14ac:dyDescent="0.25"/>
    <row r="139571" customFormat="1" x14ac:dyDescent="0.25"/>
    <row r="139572" customFormat="1" x14ac:dyDescent="0.25"/>
    <row r="139573" customFormat="1" x14ac:dyDescent="0.25"/>
    <row r="139574" customFormat="1" x14ac:dyDescent="0.25"/>
    <row r="139575" customFormat="1" x14ac:dyDescent="0.25"/>
    <row r="139576" customFormat="1" x14ac:dyDescent="0.25"/>
    <row r="139577" customFormat="1" x14ac:dyDescent="0.25"/>
    <row r="139578" customFormat="1" x14ac:dyDescent="0.25"/>
    <row r="139579" customFormat="1" x14ac:dyDescent="0.25"/>
    <row r="139580" customFormat="1" x14ac:dyDescent="0.25"/>
    <row r="139581" customFormat="1" x14ac:dyDescent="0.25"/>
    <row r="139582" customFormat="1" x14ac:dyDescent="0.25"/>
    <row r="139583" customFormat="1" x14ac:dyDescent="0.25"/>
    <row r="139584" customFormat="1" x14ac:dyDescent="0.25"/>
    <row r="139585" customFormat="1" x14ac:dyDescent="0.25"/>
    <row r="139586" customFormat="1" x14ac:dyDescent="0.25"/>
    <row r="139587" customFormat="1" x14ac:dyDescent="0.25"/>
    <row r="139588" customFormat="1" x14ac:dyDescent="0.25"/>
    <row r="139589" customFormat="1" x14ac:dyDescent="0.25"/>
    <row r="139590" customFormat="1" x14ac:dyDescent="0.25"/>
    <row r="139591" customFormat="1" x14ac:dyDescent="0.25"/>
    <row r="139592" customFormat="1" x14ac:dyDescent="0.25"/>
    <row r="139593" customFormat="1" x14ac:dyDescent="0.25"/>
    <row r="139594" customFormat="1" x14ac:dyDescent="0.25"/>
    <row r="139595" customFormat="1" x14ac:dyDescent="0.25"/>
    <row r="139596" customFormat="1" x14ac:dyDescent="0.25"/>
    <row r="139597" customFormat="1" x14ac:dyDescent="0.25"/>
    <row r="139598" customFormat="1" x14ac:dyDescent="0.25"/>
    <row r="139599" customFormat="1" x14ac:dyDescent="0.25"/>
    <row r="139600" customFormat="1" x14ac:dyDescent="0.25"/>
    <row r="139601" customFormat="1" x14ac:dyDescent="0.25"/>
    <row r="139602" customFormat="1" x14ac:dyDescent="0.25"/>
    <row r="139603" customFormat="1" x14ac:dyDescent="0.25"/>
    <row r="139604" customFormat="1" x14ac:dyDescent="0.25"/>
    <row r="139605" customFormat="1" x14ac:dyDescent="0.25"/>
    <row r="139606" customFormat="1" x14ac:dyDescent="0.25"/>
    <row r="139607" customFormat="1" x14ac:dyDescent="0.25"/>
    <row r="139608" customFormat="1" x14ac:dyDescent="0.25"/>
    <row r="139609" customFormat="1" x14ac:dyDescent="0.25"/>
    <row r="139610" customFormat="1" x14ac:dyDescent="0.25"/>
    <row r="139611" customFormat="1" x14ac:dyDescent="0.25"/>
    <row r="139612" customFormat="1" x14ac:dyDescent="0.25"/>
    <row r="139613" customFormat="1" x14ac:dyDescent="0.25"/>
    <row r="139614" customFormat="1" x14ac:dyDescent="0.25"/>
    <row r="139615" customFormat="1" x14ac:dyDescent="0.25"/>
    <row r="139616" customFormat="1" x14ac:dyDescent="0.25"/>
    <row r="139617" customFormat="1" x14ac:dyDescent="0.25"/>
    <row r="139618" customFormat="1" x14ac:dyDescent="0.25"/>
    <row r="139619" customFormat="1" x14ac:dyDescent="0.25"/>
    <row r="139620" customFormat="1" x14ac:dyDescent="0.25"/>
    <row r="139621" customFormat="1" x14ac:dyDescent="0.25"/>
    <row r="139622" customFormat="1" x14ac:dyDescent="0.25"/>
    <row r="139623" customFormat="1" x14ac:dyDescent="0.25"/>
    <row r="139624" customFormat="1" x14ac:dyDescent="0.25"/>
    <row r="139625" customFormat="1" x14ac:dyDescent="0.25"/>
    <row r="139626" customFormat="1" x14ac:dyDescent="0.25"/>
    <row r="139627" customFormat="1" x14ac:dyDescent="0.25"/>
    <row r="139628" customFormat="1" x14ac:dyDescent="0.25"/>
    <row r="139629" customFormat="1" x14ac:dyDescent="0.25"/>
    <row r="139630" customFormat="1" x14ac:dyDescent="0.25"/>
    <row r="139631" customFormat="1" x14ac:dyDescent="0.25"/>
    <row r="139632" customFormat="1" x14ac:dyDescent="0.25"/>
    <row r="139633" customFormat="1" x14ac:dyDescent="0.25"/>
    <row r="139634" customFormat="1" x14ac:dyDescent="0.25"/>
    <row r="139635" customFormat="1" x14ac:dyDescent="0.25"/>
    <row r="139636" customFormat="1" x14ac:dyDescent="0.25"/>
    <row r="139637" customFormat="1" x14ac:dyDescent="0.25"/>
    <row r="139638" customFormat="1" x14ac:dyDescent="0.25"/>
    <row r="139639" customFormat="1" x14ac:dyDescent="0.25"/>
    <row r="139640" customFormat="1" x14ac:dyDescent="0.25"/>
    <row r="139641" customFormat="1" x14ac:dyDescent="0.25"/>
    <row r="139642" customFormat="1" x14ac:dyDescent="0.25"/>
    <row r="139643" customFormat="1" x14ac:dyDescent="0.25"/>
    <row r="139644" customFormat="1" x14ac:dyDescent="0.25"/>
    <row r="139645" customFormat="1" x14ac:dyDescent="0.25"/>
    <row r="139646" customFormat="1" x14ac:dyDescent="0.25"/>
    <row r="139647" customFormat="1" x14ac:dyDescent="0.25"/>
    <row r="139648" customFormat="1" x14ac:dyDescent="0.25"/>
    <row r="139649" customFormat="1" x14ac:dyDescent="0.25"/>
    <row r="139650" customFormat="1" x14ac:dyDescent="0.25"/>
    <row r="139651" customFormat="1" x14ac:dyDescent="0.25"/>
    <row r="139652" customFormat="1" x14ac:dyDescent="0.25"/>
    <row r="139653" customFormat="1" x14ac:dyDescent="0.25"/>
    <row r="139654" customFormat="1" x14ac:dyDescent="0.25"/>
    <row r="139655" customFormat="1" x14ac:dyDescent="0.25"/>
    <row r="139656" customFormat="1" x14ac:dyDescent="0.25"/>
    <row r="139657" customFormat="1" x14ac:dyDescent="0.25"/>
    <row r="139658" customFormat="1" x14ac:dyDescent="0.25"/>
    <row r="139659" customFormat="1" x14ac:dyDescent="0.25"/>
    <row r="139660" customFormat="1" x14ac:dyDescent="0.25"/>
    <row r="139661" customFormat="1" x14ac:dyDescent="0.25"/>
    <row r="139662" customFormat="1" x14ac:dyDescent="0.25"/>
    <row r="139663" customFormat="1" x14ac:dyDescent="0.25"/>
    <row r="139664" customFormat="1" x14ac:dyDescent="0.25"/>
    <row r="139665" customFormat="1" x14ac:dyDescent="0.25"/>
    <row r="139666" customFormat="1" x14ac:dyDescent="0.25"/>
    <row r="139667" customFormat="1" x14ac:dyDescent="0.25"/>
    <row r="139668" customFormat="1" x14ac:dyDescent="0.25"/>
    <row r="139669" customFormat="1" x14ac:dyDescent="0.25"/>
    <row r="139670" customFormat="1" x14ac:dyDescent="0.25"/>
    <row r="139671" customFormat="1" x14ac:dyDescent="0.25"/>
    <row r="139672" customFormat="1" x14ac:dyDescent="0.25"/>
    <row r="139673" customFormat="1" x14ac:dyDescent="0.25"/>
    <row r="139674" customFormat="1" x14ac:dyDescent="0.25"/>
    <row r="139675" customFormat="1" x14ac:dyDescent="0.25"/>
    <row r="139676" customFormat="1" x14ac:dyDescent="0.25"/>
    <row r="139677" customFormat="1" x14ac:dyDescent="0.25"/>
    <row r="139678" customFormat="1" x14ac:dyDescent="0.25"/>
    <row r="139679" customFormat="1" x14ac:dyDescent="0.25"/>
    <row r="139680" customFormat="1" x14ac:dyDescent="0.25"/>
    <row r="139681" customFormat="1" x14ac:dyDescent="0.25"/>
    <row r="139682" customFormat="1" x14ac:dyDescent="0.25"/>
    <row r="139683" customFormat="1" x14ac:dyDescent="0.25"/>
    <row r="139684" customFormat="1" x14ac:dyDescent="0.25"/>
    <row r="139685" customFormat="1" x14ac:dyDescent="0.25"/>
    <row r="139686" customFormat="1" x14ac:dyDescent="0.25"/>
    <row r="139687" customFormat="1" x14ac:dyDescent="0.25"/>
    <row r="139688" customFormat="1" x14ac:dyDescent="0.25"/>
    <row r="139689" customFormat="1" x14ac:dyDescent="0.25"/>
    <row r="139690" customFormat="1" x14ac:dyDescent="0.25"/>
    <row r="139691" customFormat="1" x14ac:dyDescent="0.25"/>
    <row r="139692" customFormat="1" x14ac:dyDescent="0.25"/>
    <row r="139693" customFormat="1" x14ac:dyDescent="0.25"/>
    <row r="139694" customFormat="1" x14ac:dyDescent="0.25"/>
    <row r="139695" customFormat="1" x14ac:dyDescent="0.25"/>
    <row r="139696" customFormat="1" x14ac:dyDescent="0.25"/>
    <row r="139697" customFormat="1" x14ac:dyDescent="0.25"/>
    <row r="139698" customFormat="1" x14ac:dyDescent="0.25"/>
    <row r="139699" customFormat="1" x14ac:dyDescent="0.25"/>
    <row r="139700" customFormat="1" x14ac:dyDescent="0.25"/>
    <row r="139701" customFormat="1" x14ac:dyDescent="0.25"/>
    <row r="139702" customFormat="1" x14ac:dyDescent="0.25"/>
    <row r="139703" customFormat="1" x14ac:dyDescent="0.25"/>
    <row r="139704" customFormat="1" x14ac:dyDescent="0.25"/>
    <row r="139705" customFormat="1" x14ac:dyDescent="0.25"/>
    <row r="139706" customFormat="1" x14ac:dyDescent="0.25"/>
    <row r="139707" customFormat="1" x14ac:dyDescent="0.25"/>
    <row r="139708" customFormat="1" x14ac:dyDescent="0.25"/>
    <row r="139709" customFormat="1" x14ac:dyDescent="0.25"/>
    <row r="139710" customFormat="1" x14ac:dyDescent="0.25"/>
    <row r="139711" customFormat="1" x14ac:dyDescent="0.25"/>
    <row r="139712" customFormat="1" x14ac:dyDescent="0.25"/>
    <row r="139713" customFormat="1" x14ac:dyDescent="0.25"/>
    <row r="139714" customFormat="1" x14ac:dyDescent="0.25"/>
    <row r="139715" customFormat="1" x14ac:dyDescent="0.25"/>
    <row r="139716" customFormat="1" x14ac:dyDescent="0.25"/>
    <row r="139717" customFormat="1" x14ac:dyDescent="0.25"/>
    <row r="139718" customFormat="1" x14ac:dyDescent="0.25"/>
    <row r="139719" customFormat="1" x14ac:dyDescent="0.25"/>
    <row r="139720" customFormat="1" x14ac:dyDescent="0.25"/>
    <row r="139721" customFormat="1" x14ac:dyDescent="0.25"/>
    <row r="139722" customFormat="1" x14ac:dyDescent="0.25"/>
    <row r="139723" customFormat="1" x14ac:dyDescent="0.25"/>
    <row r="139724" customFormat="1" x14ac:dyDescent="0.25"/>
    <row r="139725" customFormat="1" x14ac:dyDescent="0.25"/>
    <row r="139726" customFormat="1" x14ac:dyDescent="0.25"/>
    <row r="139727" customFormat="1" x14ac:dyDescent="0.25"/>
    <row r="139728" customFormat="1" x14ac:dyDescent="0.25"/>
    <row r="139729" customFormat="1" x14ac:dyDescent="0.25"/>
    <row r="139730" customFormat="1" x14ac:dyDescent="0.25"/>
    <row r="139731" customFormat="1" x14ac:dyDescent="0.25"/>
    <row r="139732" customFormat="1" x14ac:dyDescent="0.25"/>
    <row r="139733" customFormat="1" x14ac:dyDescent="0.25"/>
    <row r="139734" customFormat="1" x14ac:dyDescent="0.25"/>
    <row r="139735" customFormat="1" x14ac:dyDescent="0.25"/>
    <row r="139736" customFormat="1" x14ac:dyDescent="0.25"/>
    <row r="139737" customFormat="1" x14ac:dyDescent="0.25"/>
    <row r="139738" customFormat="1" x14ac:dyDescent="0.25"/>
    <row r="139739" customFormat="1" x14ac:dyDescent="0.25"/>
    <row r="139740" customFormat="1" x14ac:dyDescent="0.25"/>
    <row r="139741" customFormat="1" x14ac:dyDescent="0.25"/>
    <row r="139742" customFormat="1" x14ac:dyDescent="0.25"/>
    <row r="139743" customFormat="1" x14ac:dyDescent="0.25"/>
    <row r="139744" customFormat="1" x14ac:dyDescent="0.25"/>
    <row r="139745" customFormat="1" x14ac:dyDescent="0.25"/>
    <row r="139746" customFormat="1" x14ac:dyDescent="0.25"/>
    <row r="139747" customFormat="1" x14ac:dyDescent="0.25"/>
    <row r="139748" customFormat="1" x14ac:dyDescent="0.25"/>
    <row r="139749" customFormat="1" x14ac:dyDescent="0.25"/>
    <row r="139750" customFormat="1" x14ac:dyDescent="0.25"/>
    <row r="139751" customFormat="1" x14ac:dyDescent="0.25"/>
    <row r="139752" customFormat="1" x14ac:dyDescent="0.25"/>
    <row r="139753" customFormat="1" x14ac:dyDescent="0.25"/>
    <row r="139754" customFormat="1" x14ac:dyDescent="0.25"/>
    <row r="139755" customFormat="1" x14ac:dyDescent="0.25"/>
    <row r="139756" customFormat="1" x14ac:dyDescent="0.25"/>
    <row r="139757" customFormat="1" x14ac:dyDescent="0.25"/>
    <row r="139758" customFormat="1" x14ac:dyDescent="0.25"/>
    <row r="139759" customFormat="1" x14ac:dyDescent="0.25"/>
    <row r="139760" customFormat="1" x14ac:dyDescent="0.25"/>
    <row r="139761" customFormat="1" x14ac:dyDescent="0.25"/>
    <row r="139762" customFormat="1" x14ac:dyDescent="0.25"/>
    <row r="139763" customFormat="1" x14ac:dyDescent="0.25"/>
    <row r="139764" customFormat="1" x14ac:dyDescent="0.25"/>
    <row r="139765" customFormat="1" x14ac:dyDescent="0.25"/>
    <row r="139766" customFormat="1" x14ac:dyDescent="0.25"/>
    <row r="139767" customFormat="1" x14ac:dyDescent="0.25"/>
    <row r="139768" customFormat="1" x14ac:dyDescent="0.25"/>
    <row r="139769" customFormat="1" x14ac:dyDescent="0.25"/>
    <row r="139770" customFormat="1" x14ac:dyDescent="0.25"/>
    <row r="139771" customFormat="1" x14ac:dyDescent="0.25"/>
    <row r="139772" customFormat="1" x14ac:dyDescent="0.25"/>
    <row r="139773" customFormat="1" x14ac:dyDescent="0.25"/>
    <row r="139774" customFormat="1" x14ac:dyDescent="0.25"/>
    <row r="139775" customFormat="1" x14ac:dyDescent="0.25"/>
    <row r="139776" customFormat="1" x14ac:dyDescent="0.25"/>
    <row r="139777" customFormat="1" x14ac:dyDescent="0.25"/>
    <row r="139778" customFormat="1" x14ac:dyDescent="0.25"/>
    <row r="139779" customFormat="1" x14ac:dyDescent="0.25"/>
    <row r="139780" customFormat="1" x14ac:dyDescent="0.25"/>
    <row r="139781" customFormat="1" x14ac:dyDescent="0.25"/>
    <row r="139782" customFormat="1" x14ac:dyDescent="0.25"/>
    <row r="139783" customFormat="1" x14ac:dyDescent="0.25"/>
    <row r="139784" customFormat="1" x14ac:dyDescent="0.25"/>
    <row r="139785" customFormat="1" x14ac:dyDescent="0.25"/>
    <row r="139786" customFormat="1" x14ac:dyDescent="0.25"/>
    <row r="139787" customFormat="1" x14ac:dyDescent="0.25"/>
    <row r="139788" customFormat="1" x14ac:dyDescent="0.25"/>
    <row r="139789" customFormat="1" x14ac:dyDescent="0.25"/>
    <row r="139790" customFormat="1" x14ac:dyDescent="0.25"/>
    <row r="139791" customFormat="1" x14ac:dyDescent="0.25"/>
    <row r="139792" customFormat="1" x14ac:dyDescent="0.25"/>
    <row r="139793" customFormat="1" x14ac:dyDescent="0.25"/>
    <row r="139794" customFormat="1" x14ac:dyDescent="0.25"/>
    <row r="139795" customFormat="1" x14ac:dyDescent="0.25"/>
    <row r="139796" customFormat="1" x14ac:dyDescent="0.25"/>
    <row r="139797" customFormat="1" x14ac:dyDescent="0.25"/>
    <row r="139798" customFormat="1" x14ac:dyDescent="0.25"/>
    <row r="139799" customFormat="1" x14ac:dyDescent="0.25"/>
    <row r="139800" customFormat="1" x14ac:dyDescent="0.25"/>
    <row r="139801" customFormat="1" x14ac:dyDescent="0.25"/>
    <row r="139802" customFormat="1" x14ac:dyDescent="0.25"/>
    <row r="139803" customFormat="1" x14ac:dyDescent="0.25"/>
    <row r="139804" customFormat="1" x14ac:dyDescent="0.25"/>
    <row r="139805" customFormat="1" x14ac:dyDescent="0.25"/>
    <row r="139806" customFormat="1" x14ac:dyDescent="0.25"/>
    <row r="139807" customFormat="1" x14ac:dyDescent="0.25"/>
    <row r="139808" customFormat="1" x14ac:dyDescent="0.25"/>
    <row r="139809" customFormat="1" x14ac:dyDescent="0.25"/>
    <row r="139810" customFormat="1" x14ac:dyDescent="0.25"/>
    <row r="139811" customFormat="1" x14ac:dyDescent="0.25"/>
    <row r="139812" customFormat="1" x14ac:dyDescent="0.25"/>
    <row r="139813" customFormat="1" x14ac:dyDescent="0.25"/>
    <row r="139814" customFormat="1" x14ac:dyDescent="0.25"/>
    <row r="139815" customFormat="1" x14ac:dyDescent="0.25"/>
    <row r="139816" customFormat="1" x14ac:dyDescent="0.25"/>
    <row r="139817" customFormat="1" x14ac:dyDescent="0.25"/>
    <row r="139818" customFormat="1" x14ac:dyDescent="0.25"/>
    <row r="139819" customFormat="1" x14ac:dyDescent="0.25"/>
    <row r="139820" customFormat="1" x14ac:dyDescent="0.25"/>
    <row r="139821" customFormat="1" x14ac:dyDescent="0.25"/>
    <row r="139822" customFormat="1" x14ac:dyDescent="0.25"/>
    <row r="139823" customFormat="1" x14ac:dyDescent="0.25"/>
    <row r="139824" customFormat="1" x14ac:dyDescent="0.25"/>
    <row r="139825" customFormat="1" x14ac:dyDescent="0.25"/>
    <row r="139826" customFormat="1" x14ac:dyDescent="0.25"/>
    <row r="139827" customFormat="1" x14ac:dyDescent="0.25"/>
    <row r="139828" customFormat="1" x14ac:dyDescent="0.25"/>
    <row r="139829" customFormat="1" x14ac:dyDescent="0.25"/>
    <row r="139830" customFormat="1" x14ac:dyDescent="0.25"/>
    <row r="139831" customFormat="1" x14ac:dyDescent="0.25"/>
    <row r="139832" customFormat="1" x14ac:dyDescent="0.25"/>
    <row r="139833" customFormat="1" x14ac:dyDescent="0.25"/>
    <row r="139834" customFormat="1" x14ac:dyDescent="0.25"/>
    <row r="139835" customFormat="1" x14ac:dyDescent="0.25"/>
    <row r="139836" customFormat="1" x14ac:dyDescent="0.25"/>
    <row r="139837" customFormat="1" x14ac:dyDescent="0.25"/>
    <row r="139838" customFormat="1" x14ac:dyDescent="0.25"/>
    <row r="139839" customFormat="1" x14ac:dyDescent="0.25"/>
    <row r="139840" customFormat="1" x14ac:dyDescent="0.25"/>
    <row r="139841" customFormat="1" x14ac:dyDescent="0.25"/>
    <row r="139842" customFormat="1" x14ac:dyDescent="0.25"/>
    <row r="139843" customFormat="1" x14ac:dyDescent="0.25"/>
    <row r="139844" customFormat="1" x14ac:dyDescent="0.25"/>
    <row r="139845" customFormat="1" x14ac:dyDescent="0.25"/>
    <row r="139846" customFormat="1" x14ac:dyDescent="0.25"/>
    <row r="139847" customFormat="1" x14ac:dyDescent="0.25"/>
    <row r="139848" customFormat="1" x14ac:dyDescent="0.25"/>
    <row r="139849" customFormat="1" x14ac:dyDescent="0.25"/>
    <row r="139850" customFormat="1" x14ac:dyDescent="0.25"/>
    <row r="139851" customFormat="1" x14ac:dyDescent="0.25"/>
    <row r="139852" customFormat="1" x14ac:dyDescent="0.25"/>
    <row r="139853" customFormat="1" x14ac:dyDescent="0.25"/>
    <row r="139854" customFormat="1" x14ac:dyDescent="0.25"/>
    <row r="139855" customFormat="1" x14ac:dyDescent="0.25"/>
    <row r="139856" customFormat="1" x14ac:dyDescent="0.25"/>
    <row r="139857" customFormat="1" x14ac:dyDescent="0.25"/>
    <row r="139858" customFormat="1" x14ac:dyDescent="0.25"/>
    <row r="139859" customFormat="1" x14ac:dyDescent="0.25"/>
    <row r="139860" customFormat="1" x14ac:dyDescent="0.25"/>
    <row r="139861" customFormat="1" x14ac:dyDescent="0.25"/>
    <row r="139862" customFormat="1" x14ac:dyDescent="0.25"/>
    <row r="139863" customFormat="1" x14ac:dyDescent="0.25"/>
    <row r="139864" customFormat="1" x14ac:dyDescent="0.25"/>
    <row r="139865" customFormat="1" x14ac:dyDescent="0.25"/>
    <row r="139866" customFormat="1" x14ac:dyDescent="0.25"/>
    <row r="139867" customFormat="1" x14ac:dyDescent="0.25"/>
    <row r="139868" customFormat="1" x14ac:dyDescent="0.25"/>
    <row r="139869" customFormat="1" x14ac:dyDescent="0.25"/>
    <row r="139870" customFormat="1" x14ac:dyDescent="0.25"/>
    <row r="139871" customFormat="1" x14ac:dyDescent="0.25"/>
    <row r="139872" customFormat="1" x14ac:dyDescent="0.25"/>
    <row r="139873" customFormat="1" x14ac:dyDescent="0.25"/>
    <row r="139874" customFormat="1" x14ac:dyDescent="0.25"/>
    <row r="139875" customFormat="1" x14ac:dyDescent="0.25"/>
    <row r="139876" customFormat="1" x14ac:dyDescent="0.25"/>
    <row r="139877" customFormat="1" x14ac:dyDescent="0.25"/>
    <row r="139878" customFormat="1" x14ac:dyDescent="0.25"/>
    <row r="139879" customFormat="1" x14ac:dyDescent="0.25"/>
    <row r="139880" customFormat="1" x14ac:dyDescent="0.25"/>
    <row r="139881" customFormat="1" x14ac:dyDescent="0.25"/>
    <row r="139882" customFormat="1" x14ac:dyDescent="0.25"/>
    <row r="139883" customFormat="1" x14ac:dyDescent="0.25"/>
    <row r="139884" customFormat="1" x14ac:dyDescent="0.25"/>
    <row r="139885" customFormat="1" x14ac:dyDescent="0.25"/>
    <row r="139886" customFormat="1" x14ac:dyDescent="0.25"/>
    <row r="139887" customFormat="1" x14ac:dyDescent="0.25"/>
    <row r="139888" customFormat="1" x14ac:dyDescent="0.25"/>
    <row r="139889" customFormat="1" x14ac:dyDescent="0.25"/>
    <row r="139890" customFormat="1" x14ac:dyDescent="0.25"/>
    <row r="139891" customFormat="1" x14ac:dyDescent="0.25"/>
    <row r="139892" customFormat="1" x14ac:dyDescent="0.25"/>
    <row r="139893" customFormat="1" x14ac:dyDescent="0.25"/>
    <row r="139894" customFormat="1" x14ac:dyDescent="0.25"/>
    <row r="139895" customFormat="1" x14ac:dyDescent="0.25"/>
    <row r="139896" customFormat="1" x14ac:dyDescent="0.25"/>
    <row r="139897" customFormat="1" x14ac:dyDescent="0.25"/>
    <row r="139898" customFormat="1" x14ac:dyDescent="0.25"/>
    <row r="139899" customFormat="1" x14ac:dyDescent="0.25"/>
    <row r="139900" customFormat="1" x14ac:dyDescent="0.25"/>
    <row r="139901" customFormat="1" x14ac:dyDescent="0.25"/>
    <row r="139902" customFormat="1" x14ac:dyDescent="0.25"/>
    <row r="139903" customFormat="1" x14ac:dyDescent="0.25"/>
    <row r="139904" customFormat="1" x14ac:dyDescent="0.25"/>
    <row r="139905" customFormat="1" x14ac:dyDescent="0.25"/>
    <row r="139906" customFormat="1" x14ac:dyDescent="0.25"/>
    <row r="139907" customFormat="1" x14ac:dyDescent="0.25"/>
    <row r="139908" customFormat="1" x14ac:dyDescent="0.25"/>
    <row r="139909" customFormat="1" x14ac:dyDescent="0.25"/>
    <row r="139910" customFormat="1" x14ac:dyDescent="0.25"/>
    <row r="139911" customFormat="1" x14ac:dyDescent="0.25"/>
    <row r="139912" customFormat="1" x14ac:dyDescent="0.25"/>
    <row r="139913" customFormat="1" x14ac:dyDescent="0.25"/>
    <row r="139914" customFormat="1" x14ac:dyDescent="0.25"/>
    <row r="139915" customFormat="1" x14ac:dyDescent="0.25"/>
    <row r="139916" customFormat="1" x14ac:dyDescent="0.25"/>
    <row r="139917" customFormat="1" x14ac:dyDescent="0.25"/>
    <row r="139918" customFormat="1" x14ac:dyDescent="0.25"/>
    <row r="139919" customFormat="1" x14ac:dyDescent="0.25"/>
    <row r="139920" customFormat="1" x14ac:dyDescent="0.25"/>
    <row r="139921" customFormat="1" x14ac:dyDescent="0.25"/>
    <row r="139922" customFormat="1" x14ac:dyDescent="0.25"/>
    <row r="139923" customFormat="1" x14ac:dyDescent="0.25"/>
    <row r="139924" customFormat="1" x14ac:dyDescent="0.25"/>
    <row r="139925" customFormat="1" x14ac:dyDescent="0.25"/>
    <row r="139926" customFormat="1" x14ac:dyDescent="0.25"/>
    <row r="139927" customFormat="1" x14ac:dyDescent="0.25"/>
    <row r="139928" customFormat="1" x14ac:dyDescent="0.25"/>
    <row r="139929" customFormat="1" x14ac:dyDescent="0.25"/>
    <row r="139930" customFormat="1" x14ac:dyDescent="0.25"/>
    <row r="139931" customFormat="1" x14ac:dyDescent="0.25"/>
    <row r="139932" customFormat="1" x14ac:dyDescent="0.25"/>
    <row r="139933" customFormat="1" x14ac:dyDescent="0.25"/>
    <row r="139934" customFormat="1" x14ac:dyDescent="0.25"/>
    <row r="139935" customFormat="1" x14ac:dyDescent="0.25"/>
    <row r="139936" customFormat="1" x14ac:dyDescent="0.25"/>
    <row r="139937" customFormat="1" x14ac:dyDescent="0.25"/>
    <row r="139938" customFormat="1" x14ac:dyDescent="0.25"/>
    <row r="139939" customFormat="1" x14ac:dyDescent="0.25"/>
    <row r="139940" customFormat="1" x14ac:dyDescent="0.25"/>
    <row r="139941" customFormat="1" x14ac:dyDescent="0.25"/>
    <row r="139942" customFormat="1" x14ac:dyDescent="0.25"/>
    <row r="139943" customFormat="1" x14ac:dyDescent="0.25"/>
    <row r="139944" customFormat="1" x14ac:dyDescent="0.25"/>
    <row r="139945" customFormat="1" x14ac:dyDescent="0.25"/>
    <row r="139946" customFormat="1" x14ac:dyDescent="0.25"/>
    <row r="139947" customFormat="1" x14ac:dyDescent="0.25"/>
    <row r="139948" customFormat="1" x14ac:dyDescent="0.25"/>
    <row r="139949" customFormat="1" x14ac:dyDescent="0.25"/>
    <row r="139950" customFormat="1" x14ac:dyDescent="0.25"/>
    <row r="139951" customFormat="1" x14ac:dyDescent="0.25"/>
    <row r="139952" customFormat="1" x14ac:dyDescent="0.25"/>
    <row r="139953" customFormat="1" x14ac:dyDescent="0.25"/>
    <row r="139954" customFormat="1" x14ac:dyDescent="0.25"/>
    <row r="139955" customFormat="1" x14ac:dyDescent="0.25"/>
    <row r="139956" customFormat="1" x14ac:dyDescent="0.25"/>
    <row r="139957" customFormat="1" x14ac:dyDescent="0.25"/>
    <row r="139958" customFormat="1" x14ac:dyDescent="0.25"/>
    <row r="139959" customFormat="1" x14ac:dyDescent="0.25"/>
    <row r="139960" customFormat="1" x14ac:dyDescent="0.25"/>
    <row r="139961" customFormat="1" x14ac:dyDescent="0.25"/>
    <row r="139962" customFormat="1" x14ac:dyDescent="0.25"/>
    <row r="139963" customFormat="1" x14ac:dyDescent="0.25"/>
    <row r="139964" customFormat="1" x14ac:dyDescent="0.25"/>
    <row r="139965" customFormat="1" x14ac:dyDescent="0.25"/>
    <row r="139966" customFormat="1" x14ac:dyDescent="0.25"/>
    <row r="139967" customFormat="1" x14ac:dyDescent="0.25"/>
    <row r="139968" customFormat="1" x14ac:dyDescent="0.25"/>
    <row r="139969" customFormat="1" x14ac:dyDescent="0.25"/>
    <row r="139970" customFormat="1" x14ac:dyDescent="0.25"/>
    <row r="139971" customFormat="1" x14ac:dyDescent="0.25"/>
    <row r="139972" customFormat="1" x14ac:dyDescent="0.25"/>
    <row r="139973" customFormat="1" x14ac:dyDescent="0.25"/>
    <row r="139974" customFormat="1" x14ac:dyDescent="0.25"/>
    <row r="139975" customFormat="1" x14ac:dyDescent="0.25"/>
    <row r="139976" customFormat="1" x14ac:dyDescent="0.25"/>
    <row r="139977" customFormat="1" x14ac:dyDescent="0.25"/>
    <row r="139978" customFormat="1" x14ac:dyDescent="0.25"/>
    <row r="139979" customFormat="1" x14ac:dyDescent="0.25"/>
    <row r="139980" customFormat="1" x14ac:dyDescent="0.25"/>
    <row r="139981" customFormat="1" x14ac:dyDescent="0.25"/>
    <row r="139982" customFormat="1" x14ac:dyDescent="0.25"/>
    <row r="139983" customFormat="1" x14ac:dyDescent="0.25"/>
    <row r="139984" customFormat="1" x14ac:dyDescent="0.25"/>
    <row r="139985" customFormat="1" x14ac:dyDescent="0.25"/>
    <row r="139986" customFormat="1" x14ac:dyDescent="0.25"/>
    <row r="139987" customFormat="1" x14ac:dyDescent="0.25"/>
    <row r="139988" customFormat="1" x14ac:dyDescent="0.25"/>
    <row r="139989" customFormat="1" x14ac:dyDescent="0.25"/>
    <row r="139990" customFormat="1" x14ac:dyDescent="0.25"/>
    <row r="139991" customFormat="1" x14ac:dyDescent="0.25"/>
    <row r="139992" customFormat="1" x14ac:dyDescent="0.25"/>
    <row r="139993" customFormat="1" x14ac:dyDescent="0.25"/>
    <row r="139994" customFormat="1" x14ac:dyDescent="0.25"/>
    <row r="139995" customFormat="1" x14ac:dyDescent="0.25"/>
    <row r="139996" customFormat="1" x14ac:dyDescent="0.25"/>
    <row r="139997" customFormat="1" x14ac:dyDescent="0.25"/>
    <row r="139998" customFormat="1" x14ac:dyDescent="0.25"/>
    <row r="139999" customFormat="1" x14ac:dyDescent="0.25"/>
    <row r="140000" customFormat="1" x14ac:dyDescent="0.25"/>
    <row r="140001" customFormat="1" x14ac:dyDescent="0.25"/>
    <row r="140002" customFormat="1" x14ac:dyDescent="0.25"/>
    <row r="140003" customFormat="1" x14ac:dyDescent="0.25"/>
    <row r="140004" customFormat="1" x14ac:dyDescent="0.25"/>
    <row r="140005" customFormat="1" x14ac:dyDescent="0.25"/>
    <row r="140006" customFormat="1" x14ac:dyDescent="0.25"/>
    <row r="140007" customFormat="1" x14ac:dyDescent="0.25"/>
    <row r="140008" customFormat="1" x14ac:dyDescent="0.25"/>
    <row r="140009" customFormat="1" x14ac:dyDescent="0.25"/>
    <row r="140010" customFormat="1" x14ac:dyDescent="0.25"/>
    <row r="140011" customFormat="1" x14ac:dyDescent="0.25"/>
    <row r="140012" customFormat="1" x14ac:dyDescent="0.25"/>
    <row r="140013" customFormat="1" x14ac:dyDescent="0.25"/>
    <row r="140014" customFormat="1" x14ac:dyDescent="0.25"/>
    <row r="140015" customFormat="1" x14ac:dyDescent="0.25"/>
    <row r="140016" customFormat="1" x14ac:dyDescent="0.25"/>
    <row r="140017" customFormat="1" x14ac:dyDescent="0.25"/>
    <row r="140018" customFormat="1" x14ac:dyDescent="0.25"/>
    <row r="140019" customFormat="1" x14ac:dyDescent="0.25"/>
    <row r="140020" customFormat="1" x14ac:dyDescent="0.25"/>
    <row r="140021" customFormat="1" x14ac:dyDescent="0.25"/>
    <row r="140022" customFormat="1" x14ac:dyDescent="0.25"/>
    <row r="140023" customFormat="1" x14ac:dyDescent="0.25"/>
    <row r="140024" customFormat="1" x14ac:dyDescent="0.25"/>
    <row r="140025" customFormat="1" x14ac:dyDescent="0.25"/>
    <row r="140026" customFormat="1" x14ac:dyDescent="0.25"/>
    <row r="140027" customFormat="1" x14ac:dyDescent="0.25"/>
    <row r="140028" customFormat="1" x14ac:dyDescent="0.25"/>
    <row r="140029" customFormat="1" x14ac:dyDescent="0.25"/>
    <row r="140030" customFormat="1" x14ac:dyDescent="0.25"/>
    <row r="140031" customFormat="1" x14ac:dyDescent="0.25"/>
    <row r="140032" customFormat="1" x14ac:dyDescent="0.25"/>
    <row r="140033" customFormat="1" x14ac:dyDescent="0.25"/>
    <row r="140034" customFormat="1" x14ac:dyDescent="0.25"/>
    <row r="140035" customFormat="1" x14ac:dyDescent="0.25"/>
    <row r="140036" customFormat="1" x14ac:dyDescent="0.25"/>
    <row r="140037" customFormat="1" x14ac:dyDescent="0.25"/>
    <row r="140038" customFormat="1" x14ac:dyDescent="0.25"/>
    <row r="140039" customFormat="1" x14ac:dyDescent="0.25"/>
    <row r="140040" customFormat="1" x14ac:dyDescent="0.25"/>
    <row r="140041" customFormat="1" x14ac:dyDescent="0.25"/>
    <row r="140042" customFormat="1" x14ac:dyDescent="0.25"/>
    <row r="140043" customFormat="1" x14ac:dyDescent="0.25"/>
    <row r="140044" customFormat="1" x14ac:dyDescent="0.25"/>
    <row r="140045" customFormat="1" x14ac:dyDescent="0.25"/>
    <row r="140046" customFormat="1" x14ac:dyDescent="0.25"/>
    <row r="140047" customFormat="1" x14ac:dyDescent="0.25"/>
    <row r="140048" customFormat="1" x14ac:dyDescent="0.25"/>
    <row r="140049" customFormat="1" x14ac:dyDescent="0.25"/>
    <row r="140050" customFormat="1" x14ac:dyDescent="0.25"/>
    <row r="140051" customFormat="1" x14ac:dyDescent="0.25"/>
    <row r="140052" customFormat="1" x14ac:dyDescent="0.25"/>
    <row r="140053" customFormat="1" x14ac:dyDescent="0.25"/>
    <row r="140054" customFormat="1" x14ac:dyDescent="0.25"/>
    <row r="140055" customFormat="1" x14ac:dyDescent="0.25"/>
    <row r="140056" customFormat="1" x14ac:dyDescent="0.25"/>
    <row r="140057" customFormat="1" x14ac:dyDescent="0.25"/>
    <row r="140058" customFormat="1" x14ac:dyDescent="0.25"/>
    <row r="140059" customFormat="1" x14ac:dyDescent="0.25"/>
    <row r="140060" customFormat="1" x14ac:dyDescent="0.25"/>
    <row r="140061" customFormat="1" x14ac:dyDescent="0.25"/>
    <row r="140062" customFormat="1" x14ac:dyDescent="0.25"/>
    <row r="140063" customFormat="1" x14ac:dyDescent="0.25"/>
    <row r="140064" customFormat="1" x14ac:dyDescent="0.25"/>
    <row r="140065" customFormat="1" x14ac:dyDescent="0.25"/>
    <row r="140066" customFormat="1" x14ac:dyDescent="0.25"/>
    <row r="140067" customFormat="1" x14ac:dyDescent="0.25"/>
    <row r="140068" customFormat="1" x14ac:dyDescent="0.25"/>
    <row r="140069" customFormat="1" x14ac:dyDescent="0.25"/>
    <row r="140070" customFormat="1" x14ac:dyDescent="0.25"/>
    <row r="140071" customFormat="1" x14ac:dyDescent="0.25"/>
    <row r="140072" customFormat="1" x14ac:dyDescent="0.25"/>
    <row r="140073" customFormat="1" x14ac:dyDescent="0.25"/>
    <row r="140074" customFormat="1" x14ac:dyDescent="0.25"/>
    <row r="140075" customFormat="1" x14ac:dyDescent="0.25"/>
    <row r="140076" customFormat="1" x14ac:dyDescent="0.25"/>
    <row r="140077" customFormat="1" x14ac:dyDescent="0.25"/>
    <row r="140078" customFormat="1" x14ac:dyDescent="0.25"/>
    <row r="140079" customFormat="1" x14ac:dyDescent="0.25"/>
    <row r="140080" customFormat="1" x14ac:dyDescent="0.25"/>
    <row r="140081" customFormat="1" x14ac:dyDescent="0.25"/>
    <row r="140082" customFormat="1" x14ac:dyDescent="0.25"/>
    <row r="140083" customFormat="1" x14ac:dyDescent="0.25"/>
    <row r="140084" customFormat="1" x14ac:dyDescent="0.25"/>
    <row r="140085" customFormat="1" x14ac:dyDescent="0.25"/>
    <row r="140086" customFormat="1" x14ac:dyDescent="0.25"/>
    <row r="140087" customFormat="1" x14ac:dyDescent="0.25"/>
    <row r="140088" customFormat="1" x14ac:dyDescent="0.25"/>
    <row r="140089" customFormat="1" x14ac:dyDescent="0.25"/>
    <row r="140090" customFormat="1" x14ac:dyDescent="0.25"/>
    <row r="140091" customFormat="1" x14ac:dyDescent="0.25"/>
    <row r="140092" customFormat="1" x14ac:dyDescent="0.25"/>
    <row r="140093" customFormat="1" x14ac:dyDescent="0.25"/>
    <row r="140094" customFormat="1" x14ac:dyDescent="0.25"/>
    <row r="140095" customFormat="1" x14ac:dyDescent="0.25"/>
    <row r="140096" customFormat="1" x14ac:dyDescent="0.25"/>
    <row r="140097" customFormat="1" x14ac:dyDescent="0.25"/>
    <row r="140098" customFormat="1" x14ac:dyDescent="0.25"/>
    <row r="140099" customFormat="1" x14ac:dyDescent="0.25"/>
    <row r="140100" customFormat="1" x14ac:dyDescent="0.25"/>
    <row r="140101" customFormat="1" x14ac:dyDescent="0.25"/>
    <row r="140102" customFormat="1" x14ac:dyDescent="0.25"/>
    <row r="140103" customFormat="1" x14ac:dyDescent="0.25"/>
    <row r="140104" customFormat="1" x14ac:dyDescent="0.25"/>
    <row r="140105" customFormat="1" x14ac:dyDescent="0.25"/>
    <row r="140106" customFormat="1" x14ac:dyDescent="0.25"/>
    <row r="140107" customFormat="1" x14ac:dyDescent="0.25"/>
    <row r="140108" customFormat="1" x14ac:dyDescent="0.25"/>
    <row r="140109" customFormat="1" x14ac:dyDescent="0.25"/>
    <row r="140110" customFormat="1" x14ac:dyDescent="0.25"/>
    <row r="140111" customFormat="1" x14ac:dyDescent="0.25"/>
    <row r="140112" customFormat="1" x14ac:dyDescent="0.25"/>
    <row r="140113" customFormat="1" x14ac:dyDescent="0.25"/>
    <row r="140114" customFormat="1" x14ac:dyDescent="0.25"/>
    <row r="140115" customFormat="1" x14ac:dyDescent="0.25"/>
    <row r="140116" customFormat="1" x14ac:dyDescent="0.25"/>
    <row r="140117" customFormat="1" x14ac:dyDescent="0.25"/>
    <row r="140118" customFormat="1" x14ac:dyDescent="0.25"/>
    <row r="140119" customFormat="1" x14ac:dyDescent="0.25"/>
    <row r="140120" customFormat="1" x14ac:dyDescent="0.25"/>
    <row r="140121" customFormat="1" x14ac:dyDescent="0.25"/>
    <row r="140122" customFormat="1" x14ac:dyDescent="0.25"/>
    <row r="140123" customFormat="1" x14ac:dyDescent="0.25"/>
    <row r="140124" customFormat="1" x14ac:dyDescent="0.25"/>
    <row r="140125" customFormat="1" x14ac:dyDescent="0.25"/>
    <row r="140126" customFormat="1" x14ac:dyDescent="0.25"/>
    <row r="140127" customFormat="1" x14ac:dyDescent="0.25"/>
    <row r="140128" customFormat="1" x14ac:dyDescent="0.25"/>
    <row r="140129" customFormat="1" x14ac:dyDescent="0.25"/>
    <row r="140130" customFormat="1" x14ac:dyDescent="0.25"/>
    <row r="140131" customFormat="1" x14ac:dyDescent="0.25"/>
    <row r="140132" customFormat="1" x14ac:dyDescent="0.25"/>
    <row r="140133" customFormat="1" x14ac:dyDescent="0.25"/>
    <row r="140134" customFormat="1" x14ac:dyDescent="0.25"/>
    <row r="140135" customFormat="1" x14ac:dyDescent="0.25"/>
    <row r="140136" customFormat="1" x14ac:dyDescent="0.25"/>
    <row r="140137" customFormat="1" x14ac:dyDescent="0.25"/>
    <row r="140138" customFormat="1" x14ac:dyDescent="0.25"/>
    <row r="140139" customFormat="1" x14ac:dyDescent="0.25"/>
    <row r="140140" customFormat="1" x14ac:dyDescent="0.25"/>
    <row r="140141" customFormat="1" x14ac:dyDescent="0.25"/>
    <row r="140142" customFormat="1" x14ac:dyDescent="0.25"/>
    <row r="140143" customFormat="1" x14ac:dyDescent="0.25"/>
    <row r="140144" customFormat="1" x14ac:dyDescent="0.25"/>
    <row r="140145" customFormat="1" x14ac:dyDescent="0.25"/>
    <row r="140146" customFormat="1" x14ac:dyDescent="0.25"/>
    <row r="140147" customFormat="1" x14ac:dyDescent="0.25"/>
    <row r="140148" customFormat="1" x14ac:dyDescent="0.25"/>
    <row r="140149" customFormat="1" x14ac:dyDescent="0.25"/>
    <row r="140150" customFormat="1" x14ac:dyDescent="0.25"/>
    <row r="140151" customFormat="1" x14ac:dyDescent="0.25"/>
    <row r="140152" customFormat="1" x14ac:dyDescent="0.25"/>
    <row r="140153" customFormat="1" x14ac:dyDescent="0.25"/>
    <row r="140154" customFormat="1" x14ac:dyDescent="0.25"/>
    <row r="140155" customFormat="1" x14ac:dyDescent="0.25"/>
    <row r="140156" customFormat="1" x14ac:dyDescent="0.25"/>
    <row r="140157" customFormat="1" x14ac:dyDescent="0.25"/>
    <row r="140158" customFormat="1" x14ac:dyDescent="0.25"/>
    <row r="140159" customFormat="1" x14ac:dyDescent="0.25"/>
    <row r="140160" customFormat="1" x14ac:dyDescent="0.25"/>
    <row r="140161" customFormat="1" x14ac:dyDescent="0.25"/>
    <row r="140162" customFormat="1" x14ac:dyDescent="0.25"/>
    <row r="140163" customFormat="1" x14ac:dyDescent="0.25"/>
    <row r="140164" customFormat="1" x14ac:dyDescent="0.25"/>
    <row r="140165" customFormat="1" x14ac:dyDescent="0.25"/>
    <row r="140166" customFormat="1" x14ac:dyDescent="0.25"/>
    <row r="140167" customFormat="1" x14ac:dyDescent="0.25"/>
    <row r="140168" customFormat="1" x14ac:dyDescent="0.25"/>
    <row r="140169" customFormat="1" x14ac:dyDescent="0.25"/>
    <row r="140170" customFormat="1" x14ac:dyDescent="0.25"/>
    <row r="140171" customFormat="1" x14ac:dyDescent="0.25"/>
    <row r="140172" customFormat="1" x14ac:dyDescent="0.25"/>
    <row r="140173" customFormat="1" x14ac:dyDescent="0.25"/>
    <row r="140174" customFormat="1" x14ac:dyDescent="0.25"/>
    <row r="140175" customFormat="1" x14ac:dyDescent="0.25"/>
    <row r="140176" customFormat="1" x14ac:dyDescent="0.25"/>
    <row r="140177" customFormat="1" x14ac:dyDescent="0.25"/>
    <row r="140178" customFormat="1" x14ac:dyDescent="0.25"/>
    <row r="140179" customFormat="1" x14ac:dyDescent="0.25"/>
    <row r="140180" customFormat="1" x14ac:dyDescent="0.25"/>
    <row r="140181" customFormat="1" x14ac:dyDescent="0.25"/>
    <row r="140182" customFormat="1" x14ac:dyDescent="0.25"/>
    <row r="140183" customFormat="1" x14ac:dyDescent="0.25"/>
    <row r="140184" customFormat="1" x14ac:dyDescent="0.25"/>
    <row r="140185" customFormat="1" x14ac:dyDescent="0.25"/>
    <row r="140186" customFormat="1" x14ac:dyDescent="0.25"/>
    <row r="140187" customFormat="1" x14ac:dyDescent="0.25"/>
    <row r="140188" customFormat="1" x14ac:dyDescent="0.25"/>
    <row r="140189" customFormat="1" x14ac:dyDescent="0.25"/>
    <row r="140190" customFormat="1" x14ac:dyDescent="0.25"/>
    <row r="140191" customFormat="1" x14ac:dyDescent="0.25"/>
    <row r="140192" customFormat="1" x14ac:dyDescent="0.25"/>
    <row r="140193" customFormat="1" x14ac:dyDescent="0.25"/>
    <row r="140194" customFormat="1" x14ac:dyDescent="0.25"/>
    <row r="140195" customFormat="1" x14ac:dyDescent="0.25"/>
    <row r="140196" customFormat="1" x14ac:dyDescent="0.25"/>
    <row r="140197" customFormat="1" x14ac:dyDescent="0.25"/>
    <row r="140198" customFormat="1" x14ac:dyDescent="0.25"/>
    <row r="140199" customFormat="1" x14ac:dyDescent="0.25"/>
    <row r="140200" customFormat="1" x14ac:dyDescent="0.25"/>
    <row r="140201" customFormat="1" x14ac:dyDescent="0.25"/>
    <row r="140202" customFormat="1" x14ac:dyDescent="0.25"/>
    <row r="140203" customFormat="1" x14ac:dyDescent="0.25"/>
    <row r="140204" customFormat="1" x14ac:dyDescent="0.25"/>
    <row r="140205" customFormat="1" x14ac:dyDescent="0.25"/>
    <row r="140206" customFormat="1" x14ac:dyDescent="0.25"/>
    <row r="140207" customFormat="1" x14ac:dyDescent="0.25"/>
    <row r="140208" customFormat="1" x14ac:dyDescent="0.25"/>
    <row r="140209" customFormat="1" x14ac:dyDescent="0.25"/>
    <row r="140210" customFormat="1" x14ac:dyDescent="0.25"/>
    <row r="140211" customFormat="1" x14ac:dyDescent="0.25"/>
    <row r="140212" customFormat="1" x14ac:dyDescent="0.25"/>
    <row r="140213" customFormat="1" x14ac:dyDescent="0.25"/>
    <row r="140214" customFormat="1" x14ac:dyDescent="0.25"/>
    <row r="140215" customFormat="1" x14ac:dyDescent="0.25"/>
    <row r="140216" customFormat="1" x14ac:dyDescent="0.25"/>
    <row r="140217" customFormat="1" x14ac:dyDescent="0.25"/>
    <row r="140218" customFormat="1" x14ac:dyDescent="0.25"/>
    <row r="140219" customFormat="1" x14ac:dyDescent="0.25"/>
    <row r="140220" customFormat="1" x14ac:dyDescent="0.25"/>
    <row r="140221" customFormat="1" x14ac:dyDescent="0.25"/>
    <row r="140222" customFormat="1" x14ac:dyDescent="0.25"/>
    <row r="140223" customFormat="1" x14ac:dyDescent="0.25"/>
    <row r="140224" customFormat="1" x14ac:dyDescent="0.25"/>
    <row r="140225" customFormat="1" x14ac:dyDescent="0.25"/>
    <row r="140226" customFormat="1" x14ac:dyDescent="0.25"/>
    <row r="140227" customFormat="1" x14ac:dyDescent="0.25"/>
    <row r="140228" customFormat="1" x14ac:dyDescent="0.25"/>
    <row r="140229" customFormat="1" x14ac:dyDescent="0.25"/>
    <row r="140230" customFormat="1" x14ac:dyDescent="0.25"/>
    <row r="140231" customFormat="1" x14ac:dyDescent="0.25"/>
    <row r="140232" customFormat="1" x14ac:dyDescent="0.25"/>
    <row r="140233" customFormat="1" x14ac:dyDescent="0.25"/>
    <row r="140234" customFormat="1" x14ac:dyDescent="0.25"/>
    <row r="140235" customFormat="1" x14ac:dyDescent="0.25"/>
    <row r="140236" customFormat="1" x14ac:dyDescent="0.25"/>
    <row r="140237" customFormat="1" x14ac:dyDescent="0.25"/>
    <row r="140238" customFormat="1" x14ac:dyDescent="0.25"/>
    <row r="140239" customFormat="1" x14ac:dyDescent="0.25"/>
    <row r="140240" customFormat="1" x14ac:dyDescent="0.25"/>
    <row r="140241" customFormat="1" x14ac:dyDescent="0.25"/>
    <row r="140242" customFormat="1" x14ac:dyDescent="0.25"/>
    <row r="140243" customFormat="1" x14ac:dyDescent="0.25"/>
    <row r="140244" customFormat="1" x14ac:dyDescent="0.25"/>
    <row r="140245" customFormat="1" x14ac:dyDescent="0.25"/>
    <row r="140246" customFormat="1" x14ac:dyDescent="0.25"/>
    <row r="140247" customFormat="1" x14ac:dyDescent="0.25"/>
    <row r="140248" customFormat="1" x14ac:dyDescent="0.25"/>
    <row r="140249" customFormat="1" x14ac:dyDescent="0.25"/>
    <row r="140250" customFormat="1" x14ac:dyDescent="0.25"/>
    <row r="140251" customFormat="1" x14ac:dyDescent="0.25"/>
    <row r="140252" customFormat="1" x14ac:dyDescent="0.25"/>
    <row r="140253" customFormat="1" x14ac:dyDescent="0.25"/>
    <row r="140254" customFormat="1" x14ac:dyDescent="0.25"/>
    <row r="140255" customFormat="1" x14ac:dyDescent="0.25"/>
    <row r="140256" customFormat="1" x14ac:dyDescent="0.25"/>
    <row r="140257" customFormat="1" x14ac:dyDescent="0.25"/>
    <row r="140258" customFormat="1" x14ac:dyDescent="0.25"/>
    <row r="140259" customFormat="1" x14ac:dyDescent="0.25"/>
    <row r="140260" customFormat="1" x14ac:dyDescent="0.25"/>
    <row r="140261" customFormat="1" x14ac:dyDescent="0.25"/>
    <row r="140262" customFormat="1" x14ac:dyDescent="0.25"/>
    <row r="140263" customFormat="1" x14ac:dyDescent="0.25"/>
    <row r="140264" customFormat="1" x14ac:dyDescent="0.25"/>
    <row r="140265" customFormat="1" x14ac:dyDescent="0.25"/>
    <row r="140266" customFormat="1" x14ac:dyDescent="0.25"/>
    <row r="140267" customFormat="1" x14ac:dyDescent="0.25"/>
    <row r="140268" customFormat="1" x14ac:dyDescent="0.25"/>
    <row r="140269" customFormat="1" x14ac:dyDescent="0.25"/>
    <row r="140270" customFormat="1" x14ac:dyDescent="0.25"/>
    <row r="140271" customFormat="1" x14ac:dyDescent="0.25"/>
    <row r="140272" customFormat="1" x14ac:dyDescent="0.25"/>
    <row r="140273" customFormat="1" x14ac:dyDescent="0.25"/>
    <row r="140274" customFormat="1" x14ac:dyDescent="0.25"/>
    <row r="140275" customFormat="1" x14ac:dyDescent="0.25"/>
    <row r="140276" customFormat="1" x14ac:dyDescent="0.25"/>
    <row r="140277" customFormat="1" x14ac:dyDescent="0.25"/>
    <row r="140278" customFormat="1" x14ac:dyDescent="0.25"/>
    <row r="140279" customFormat="1" x14ac:dyDescent="0.25"/>
    <row r="140280" customFormat="1" x14ac:dyDescent="0.25"/>
    <row r="140281" customFormat="1" x14ac:dyDescent="0.25"/>
    <row r="140282" customFormat="1" x14ac:dyDescent="0.25"/>
    <row r="140283" customFormat="1" x14ac:dyDescent="0.25"/>
    <row r="140284" customFormat="1" x14ac:dyDescent="0.25"/>
    <row r="140285" customFormat="1" x14ac:dyDescent="0.25"/>
    <row r="140286" customFormat="1" x14ac:dyDescent="0.25"/>
    <row r="140287" customFormat="1" x14ac:dyDescent="0.25"/>
    <row r="140288" customFormat="1" x14ac:dyDescent="0.25"/>
    <row r="140289" customFormat="1" x14ac:dyDescent="0.25"/>
    <row r="140290" customFormat="1" x14ac:dyDescent="0.25"/>
    <row r="140291" customFormat="1" x14ac:dyDescent="0.25"/>
    <row r="140292" customFormat="1" x14ac:dyDescent="0.25"/>
    <row r="140293" customFormat="1" x14ac:dyDescent="0.25"/>
    <row r="140294" customFormat="1" x14ac:dyDescent="0.25"/>
    <row r="140295" customFormat="1" x14ac:dyDescent="0.25"/>
    <row r="140296" customFormat="1" x14ac:dyDescent="0.25"/>
    <row r="140297" customFormat="1" x14ac:dyDescent="0.25"/>
    <row r="140298" customFormat="1" x14ac:dyDescent="0.25"/>
    <row r="140299" customFormat="1" x14ac:dyDescent="0.25"/>
    <row r="140300" customFormat="1" x14ac:dyDescent="0.25"/>
    <row r="140301" customFormat="1" x14ac:dyDescent="0.25"/>
    <row r="140302" customFormat="1" x14ac:dyDescent="0.25"/>
    <row r="140303" customFormat="1" x14ac:dyDescent="0.25"/>
    <row r="140304" customFormat="1" x14ac:dyDescent="0.25"/>
    <row r="140305" customFormat="1" x14ac:dyDescent="0.25"/>
    <row r="140306" customFormat="1" x14ac:dyDescent="0.25"/>
    <row r="140307" customFormat="1" x14ac:dyDescent="0.25"/>
    <row r="140308" customFormat="1" x14ac:dyDescent="0.25"/>
    <row r="140309" customFormat="1" x14ac:dyDescent="0.25"/>
    <row r="140310" customFormat="1" x14ac:dyDescent="0.25"/>
    <row r="140311" customFormat="1" x14ac:dyDescent="0.25"/>
    <row r="140312" customFormat="1" x14ac:dyDescent="0.25"/>
    <row r="140313" customFormat="1" x14ac:dyDescent="0.25"/>
    <row r="140314" customFormat="1" x14ac:dyDescent="0.25"/>
    <row r="140315" customFormat="1" x14ac:dyDescent="0.25"/>
    <row r="140316" customFormat="1" x14ac:dyDescent="0.25"/>
    <row r="140317" customFormat="1" x14ac:dyDescent="0.25"/>
    <row r="140318" customFormat="1" x14ac:dyDescent="0.25"/>
    <row r="140319" customFormat="1" x14ac:dyDescent="0.25"/>
    <row r="140320" customFormat="1" x14ac:dyDescent="0.25"/>
    <row r="140321" customFormat="1" x14ac:dyDescent="0.25"/>
    <row r="140322" customFormat="1" x14ac:dyDescent="0.25"/>
    <row r="140323" customFormat="1" x14ac:dyDescent="0.25"/>
    <row r="140324" customFormat="1" x14ac:dyDescent="0.25"/>
    <row r="140325" customFormat="1" x14ac:dyDescent="0.25"/>
    <row r="140326" customFormat="1" x14ac:dyDescent="0.25"/>
    <row r="140327" customFormat="1" x14ac:dyDescent="0.25"/>
    <row r="140328" customFormat="1" x14ac:dyDescent="0.25"/>
    <row r="140329" customFormat="1" x14ac:dyDescent="0.25"/>
    <row r="140330" customFormat="1" x14ac:dyDescent="0.25"/>
    <row r="140331" customFormat="1" x14ac:dyDescent="0.25"/>
    <row r="140332" customFormat="1" x14ac:dyDescent="0.25"/>
    <row r="140333" customFormat="1" x14ac:dyDescent="0.25"/>
    <row r="140334" customFormat="1" x14ac:dyDescent="0.25"/>
    <row r="140335" customFormat="1" x14ac:dyDescent="0.25"/>
    <row r="140336" customFormat="1" x14ac:dyDescent="0.25"/>
    <row r="140337" customFormat="1" x14ac:dyDescent="0.25"/>
    <row r="140338" customFormat="1" x14ac:dyDescent="0.25"/>
    <row r="140339" customFormat="1" x14ac:dyDescent="0.25"/>
    <row r="140340" customFormat="1" x14ac:dyDescent="0.25"/>
    <row r="140341" customFormat="1" x14ac:dyDescent="0.25"/>
    <row r="140342" customFormat="1" x14ac:dyDescent="0.25"/>
    <row r="140343" customFormat="1" x14ac:dyDescent="0.25"/>
    <row r="140344" customFormat="1" x14ac:dyDescent="0.25"/>
    <row r="140345" customFormat="1" x14ac:dyDescent="0.25"/>
    <row r="140346" customFormat="1" x14ac:dyDescent="0.25"/>
    <row r="140347" customFormat="1" x14ac:dyDescent="0.25"/>
    <row r="140348" customFormat="1" x14ac:dyDescent="0.25"/>
    <row r="140349" customFormat="1" x14ac:dyDescent="0.25"/>
    <row r="140350" customFormat="1" x14ac:dyDescent="0.25"/>
    <row r="140351" customFormat="1" x14ac:dyDescent="0.25"/>
    <row r="140352" customFormat="1" x14ac:dyDescent="0.25"/>
    <row r="140353" customFormat="1" x14ac:dyDescent="0.25"/>
    <row r="140354" customFormat="1" x14ac:dyDescent="0.25"/>
    <row r="140355" customFormat="1" x14ac:dyDescent="0.25"/>
    <row r="140356" customFormat="1" x14ac:dyDescent="0.25"/>
    <row r="140357" customFormat="1" x14ac:dyDescent="0.25"/>
    <row r="140358" customFormat="1" x14ac:dyDescent="0.25"/>
    <row r="140359" customFormat="1" x14ac:dyDescent="0.25"/>
    <row r="140360" customFormat="1" x14ac:dyDescent="0.25"/>
    <row r="140361" customFormat="1" x14ac:dyDescent="0.25"/>
    <row r="140362" customFormat="1" x14ac:dyDescent="0.25"/>
    <row r="140363" customFormat="1" x14ac:dyDescent="0.25"/>
    <row r="140364" customFormat="1" x14ac:dyDescent="0.25"/>
    <row r="140365" customFormat="1" x14ac:dyDescent="0.25"/>
    <row r="140366" customFormat="1" x14ac:dyDescent="0.25"/>
    <row r="140367" customFormat="1" x14ac:dyDescent="0.25"/>
    <row r="140368" customFormat="1" x14ac:dyDescent="0.25"/>
    <row r="140369" customFormat="1" x14ac:dyDescent="0.25"/>
    <row r="140370" customFormat="1" x14ac:dyDescent="0.25"/>
    <row r="140371" customFormat="1" x14ac:dyDescent="0.25"/>
    <row r="140372" customFormat="1" x14ac:dyDescent="0.25"/>
    <row r="140373" customFormat="1" x14ac:dyDescent="0.25"/>
    <row r="140374" customFormat="1" x14ac:dyDescent="0.25"/>
    <row r="140375" customFormat="1" x14ac:dyDescent="0.25"/>
    <row r="140376" customFormat="1" x14ac:dyDescent="0.25"/>
    <row r="140377" customFormat="1" x14ac:dyDescent="0.25"/>
    <row r="140378" customFormat="1" x14ac:dyDescent="0.25"/>
    <row r="140379" customFormat="1" x14ac:dyDescent="0.25"/>
    <row r="140380" customFormat="1" x14ac:dyDescent="0.25"/>
    <row r="140381" customFormat="1" x14ac:dyDescent="0.25"/>
    <row r="140382" customFormat="1" x14ac:dyDescent="0.25"/>
    <row r="140383" customFormat="1" x14ac:dyDescent="0.25"/>
    <row r="140384" customFormat="1" x14ac:dyDescent="0.25"/>
    <row r="140385" customFormat="1" x14ac:dyDescent="0.25"/>
    <row r="140386" customFormat="1" x14ac:dyDescent="0.25"/>
    <row r="140387" customFormat="1" x14ac:dyDescent="0.25"/>
    <row r="140388" customFormat="1" x14ac:dyDescent="0.25"/>
    <row r="140389" customFormat="1" x14ac:dyDescent="0.25"/>
    <row r="140390" customFormat="1" x14ac:dyDescent="0.25"/>
    <row r="140391" customFormat="1" x14ac:dyDescent="0.25"/>
    <row r="140392" customFormat="1" x14ac:dyDescent="0.25"/>
    <row r="140393" customFormat="1" x14ac:dyDescent="0.25"/>
    <row r="140394" customFormat="1" x14ac:dyDescent="0.25"/>
    <row r="140395" customFormat="1" x14ac:dyDescent="0.25"/>
    <row r="140396" customFormat="1" x14ac:dyDescent="0.25"/>
    <row r="140397" customFormat="1" x14ac:dyDescent="0.25"/>
    <row r="140398" customFormat="1" x14ac:dyDescent="0.25"/>
    <row r="140399" customFormat="1" x14ac:dyDescent="0.25"/>
    <row r="140400" customFormat="1" x14ac:dyDescent="0.25"/>
    <row r="140401" customFormat="1" x14ac:dyDescent="0.25"/>
    <row r="140402" customFormat="1" x14ac:dyDescent="0.25"/>
    <row r="140403" customFormat="1" x14ac:dyDescent="0.25"/>
    <row r="140404" customFormat="1" x14ac:dyDescent="0.25"/>
    <row r="140405" customFormat="1" x14ac:dyDescent="0.25"/>
    <row r="140406" customFormat="1" x14ac:dyDescent="0.25"/>
    <row r="140407" customFormat="1" x14ac:dyDescent="0.25"/>
    <row r="140408" customFormat="1" x14ac:dyDescent="0.25"/>
    <row r="140409" customFormat="1" x14ac:dyDescent="0.25"/>
    <row r="140410" customFormat="1" x14ac:dyDescent="0.25"/>
    <row r="140411" customFormat="1" x14ac:dyDescent="0.25"/>
    <row r="140412" customFormat="1" x14ac:dyDescent="0.25"/>
    <row r="140413" customFormat="1" x14ac:dyDescent="0.25"/>
    <row r="140414" customFormat="1" x14ac:dyDescent="0.25"/>
    <row r="140415" customFormat="1" x14ac:dyDescent="0.25"/>
    <row r="140416" customFormat="1" x14ac:dyDescent="0.25"/>
    <row r="140417" customFormat="1" x14ac:dyDescent="0.25"/>
    <row r="140418" customFormat="1" x14ac:dyDescent="0.25"/>
    <row r="140419" customFormat="1" x14ac:dyDescent="0.25"/>
    <row r="140420" customFormat="1" x14ac:dyDescent="0.25"/>
    <row r="140421" customFormat="1" x14ac:dyDescent="0.25"/>
    <row r="140422" customFormat="1" x14ac:dyDescent="0.25"/>
    <row r="140423" customFormat="1" x14ac:dyDescent="0.25"/>
    <row r="140424" customFormat="1" x14ac:dyDescent="0.25"/>
    <row r="140425" customFormat="1" x14ac:dyDescent="0.25"/>
    <row r="140426" customFormat="1" x14ac:dyDescent="0.25"/>
    <row r="140427" customFormat="1" x14ac:dyDescent="0.25"/>
    <row r="140428" customFormat="1" x14ac:dyDescent="0.25"/>
    <row r="140429" customFormat="1" x14ac:dyDescent="0.25"/>
    <row r="140430" customFormat="1" x14ac:dyDescent="0.25"/>
    <row r="140431" customFormat="1" x14ac:dyDescent="0.25"/>
    <row r="140432" customFormat="1" x14ac:dyDescent="0.25"/>
    <row r="140433" customFormat="1" x14ac:dyDescent="0.25"/>
    <row r="140434" customFormat="1" x14ac:dyDescent="0.25"/>
    <row r="140435" customFormat="1" x14ac:dyDescent="0.25"/>
    <row r="140436" customFormat="1" x14ac:dyDescent="0.25"/>
    <row r="140437" customFormat="1" x14ac:dyDescent="0.25"/>
    <row r="140438" customFormat="1" x14ac:dyDescent="0.25"/>
    <row r="140439" customFormat="1" x14ac:dyDescent="0.25"/>
    <row r="140440" customFormat="1" x14ac:dyDescent="0.25"/>
    <row r="140441" customFormat="1" x14ac:dyDescent="0.25"/>
    <row r="140442" customFormat="1" x14ac:dyDescent="0.25"/>
    <row r="140443" customFormat="1" x14ac:dyDescent="0.25"/>
    <row r="140444" customFormat="1" x14ac:dyDescent="0.25"/>
    <row r="140445" customFormat="1" x14ac:dyDescent="0.25"/>
    <row r="140446" customFormat="1" x14ac:dyDescent="0.25"/>
    <row r="140447" customFormat="1" x14ac:dyDescent="0.25"/>
    <row r="140448" customFormat="1" x14ac:dyDescent="0.25"/>
    <row r="140449" customFormat="1" x14ac:dyDescent="0.25"/>
    <row r="140450" customFormat="1" x14ac:dyDescent="0.25"/>
    <row r="140451" customFormat="1" x14ac:dyDescent="0.25"/>
    <row r="140452" customFormat="1" x14ac:dyDescent="0.25"/>
    <row r="140453" customFormat="1" x14ac:dyDescent="0.25"/>
    <row r="140454" customFormat="1" x14ac:dyDescent="0.25"/>
    <row r="140455" customFormat="1" x14ac:dyDescent="0.25"/>
    <row r="140456" customFormat="1" x14ac:dyDescent="0.25"/>
    <row r="140457" customFormat="1" x14ac:dyDescent="0.25"/>
    <row r="140458" customFormat="1" x14ac:dyDescent="0.25"/>
    <row r="140459" customFormat="1" x14ac:dyDescent="0.25"/>
    <row r="140460" customFormat="1" x14ac:dyDescent="0.25"/>
    <row r="140461" customFormat="1" x14ac:dyDescent="0.25"/>
    <row r="140462" customFormat="1" x14ac:dyDescent="0.25"/>
    <row r="140463" customFormat="1" x14ac:dyDescent="0.25"/>
    <row r="140464" customFormat="1" x14ac:dyDescent="0.25"/>
    <row r="140465" customFormat="1" x14ac:dyDescent="0.25"/>
    <row r="140466" customFormat="1" x14ac:dyDescent="0.25"/>
    <row r="140467" customFormat="1" x14ac:dyDescent="0.25"/>
    <row r="140468" customFormat="1" x14ac:dyDescent="0.25"/>
    <row r="140469" customFormat="1" x14ac:dyDescent="0.25"/>
    <row r="140470" customFormat="1" x14ac:dyDescent="0.25"/>
    <row r="140471" customFormat="1" x14ac:dyDescent="0.25"/>
    <row r="140472" customFormat="1" x14ac:dyDescent="0.25"/>
    <row r="140473" customFormat="1" x14ac:dyDescent="0.25"/>
    <row r="140474" customFormat="1" x14ac:dyDescent="0.25"/>
    <row r="140475" customFormat="1" x14ac:dyDescent="0.25"/>
    <row r="140476" customFormat="1" x14ac:dyDescent="0.25"/>
    <row r="140477" customFormat="1" x14ac:dyDescent="0.25"/>
    <row r="140478" customFormat="1" x14ac:dyDescent="0.25"/>
    <row r="140479" customFormat="1" x14ac:dyDescent="0.25"/>
    <row r="140480" customFormat="1" x14ac:dyDescent="0.25"/>
    <row r="140481" customFormat="1" x14ac:dyDescent="0.25"/>
    <row r="140482" customFormat="1" x14ac:dyDescent="0.25"/>
    <row r="140483" customFormat="1" x14ac:dyDescent="0.25"/>
    <row r="140484" customFormat="1" x14ac:dyDescent="0.25"/>
    <row r="140485" customFormat="1" x14ac:dyDescent="0.25"/>
    <row r="140486" customFormat="1" x14ac:dyDescent="0.25"/>
    <row r="140487" customFormat="1" x14ac:dyDescent="0.25"/>
    <row r="140488" customFormat="1" x14ac:dyDescent="0.25"/>
    <row r="140489" customFormat="1" x14ac:dyDescent="0.25"/>
    <row r="140490" customFormat="1" x14ac:dyDescent="0.25"/>
    <row r="140491" customFormat="1" x14ac:dyDescent="0.25"/>
    <row r="140492" customFormat="1" x14ac:dyDescent="0.25"/>
    <row r="140493" customFormat="1" x14ac:dyDescent="0.25"/>
    <row r="140494" customFormat="1" x14ac:dyDescent="0.25"/>
    <row r="140495" customFormat="1" x14ac:dyDescent="0.25"/>
    <row r="140496" customFormat="1" x14ac:dyDescent="0.25"/>
    <row r="140497" customFormat="1" x14ac:dyDescent="0.25"/>
    <row r="140498" customFormat="1" x14ac:dyDescent="0.25"/>
    <row r="140499" customFormat="1" x14ac:dyDescent="0.25"/>
    <row r="140500" customFormat="1" x14ac:dyDescent="0.25"/>
    <row r="140501" customFormat="1" x14ac:dyDescent="0.25"/>
    <row r="140502" customFormat="1" x14ac:dyDescent="0.25"/>
    <row r="140503" customFormat="1" x14ac:dyDescent="0.25"/>
    <row r="140504" customFormat="1" x14ac:dyDescent="0.25"/>
    <row r="140505" customFormat="1" x14ac:dyDescent="0.25"/>
    <row r="140506" customFormat="1" x14ac:dyDescent="0.25"/>
    <row r="140507" customFormat="1" x14ac:dyDescent="0.25"/>
    <row r="140508" customFormat="1" x14ac:dyDescent="0.25"/>
    <row r="140509" customFormat="1" x14ac:dyDescent="0.25"/>
    <row r="140510" customFormat="1" x14ac:dyDescent="0.25"/>
    <row r="140511" customFormat="1" x14ac:dyDescent="0.25"/>
    <row r="140512" customFormat="1" x14ac:dyDescent="0.25"/>
    <row r="140513" customFormat="1" x14ac:dyDescent="0.25"/>
    <row r="140514" customFormat="1" x14ac:dyDescent="0.25"/>
    <row r="140515" customFormat="1" x14ac:dyDescent="0.25"/>
    <row r="140516" customFormat="1" x14ac:dyDescent="0.25"/>
    <row r="140517" customFormat="1" x14ac:dyDescent="0.25"/>
    <row r="140518" customFormat="1" x14ac:dyDescent="0.25"/>
    <row r="140519" customFormat="1" x14ac:dyDescent="0.25"/>
    <row r="140520" customFormat="1" x14ac:dyDescent="0.25"/>
    <row r="140521" customFormat="1" x14ac:dyDescent="0.25"/>
    <row r="140522" customFormat="1" x14ac:dyDescent="0.25"/>
    <row r="140523" customFormat="1" x14ac:dyDescent="0.25"/>
    <row r="140524" customFormat="1" x14ac:dyDescent="0.25"/>
    <row r="140525" customFormat="1" x14ac:dyDescent="0.25"/>
    <row r="140526" customFormat="1" x14ac:dyDescent="0.25"/>
    <row r="140527" customFormat="1" x14ac:dyDescent="0.25"/>
    <row r="140528" customFormat="1" x14ac:dyDescent="0.25"/>
    <row r="140529" customFormat="1" x14ac:dyDescent="0.25"/>
    <row r="140530" customFormat="1" x14ac:dyDescent="0.25"/>
    <row r="140531" customFormat="1" x14ac:dyDescent="0.25"/>
    <row r="140532" customFormat="1" x14ac:dyDescent="0.25"/>
    <row r="140533" customFormat="1" x14ac:dyDescent="0.25"/>
    <row r="140534" customFormat="1" x14ac:dyDescent="0.25"/>
    <row r="140535" customFormat="1" x14ac:dyDescent="0.25"/>
    <row r="140536" customFormat="1" x14ac:dyDescent="0.25"/>
    <row r="140537" customFormat="1" x14ac:dyDescent="0.25"/>
    <row r="140538" customFormat="1" x14ac:dyDescent="0.25"/>
    <row r="140539" customFormat="1" x14ac:dyDescent="0.25"/>
    <row r="140540" customFormat="1" x14ac:dyDescent="0.25"/>
    <row r="140541" customFormat="1" x14ac:dyDescent="0.25"/>
    <row r="140542" customFormat="1" x14ac:dyDescent="0.25"/>
    <row r="140543" customFormat="1" x14ac:dyDescent="0.25"/>
    <row r="140544" customFormat="1" x14ac:dyDescent="0.25"/>
    <row r="140545" customFormat="1" x14ac:dyDescent="0.25"/>
    <row r="140546" customFormat="1" x14ac:dyDescent="0.25"/>
    <row r="140547" customFormat="1" x14ac:dyDescent="0.25"/>
    <row r="140548" customFormat="1" x14ac:dyDescent="0.25"/>
    <row r="140549" customFormat="1" x14ac:dyDescent="0.25"/>
    <row r="140550" customFormat="1" x14ac:dyDescent="0.25"/>
    <row r="140551" customFormat="1" x14ac:dyDescent="0.25"/>
    <row r="140552" customFormat="1" x14ac:dyDescent="0.25"/>
    <row r="140553" customFormat="1" x14ac:dyDescent="0.25"/>
    <row r="140554" customFormat="1" x14ac:dyDescent="0.25"/>
    <row r="140555" customFormat="1" x14ac:dyDescent="0.25"/>
    <row r="140556" customFormat="1" x14ac:dyDescent="0.25"/>
    <row r="140557" customFormat="1" x14ac:dyDescent="0.25"/>
    <row r="140558" customFormat="1" x14ac:dyDescent="0.25"/>
    <row r="140559" customFormat="1" x14ac:dyDescent="0.25"/>
    <row r="140560" customFormat="1" x14ac:dyDescent="0.25"/>
    <row r="140561" customFormat="1" x14ac:dyDescent="0.25"/>
    <row r="140562" customFormat="1" x14ac:dyDescent="0.25"/>
    <row r="140563" customFormat="1" x14ac:dyDescent="0.25"/>
    <row r="140564" customFormat="1" x14ac:dyDescent="0.25"/>
    <row r="140565" customFormat="1" x14ac:dyDescent="0.25"/>
    <row r="140566" customFormat="1" x14ac:dyDescent="0.25"/>
    <row r="140567" customFormat="1" x14ac:dyDescent="0.25"/>
    <row r="140568" customFormat="1" x14ac:dyDescent="0.25"/>
    <row r="140569" customFormat="1" x14ac:dyDescent="0.25"/>
    <row r="140570" customFormat="1" x14ac:dyDescent="0.25"/>
    <row r="140571" customFormat="1" x14ac:dyDescent="0.25"/>
    <row r="140572" customFormat="1" x14ac:dyDescent="0.25"/>
    <row r="140573" customFormat="1" x14ac:dyDescent="0.25"/>
    <row r="140574" customFormat="1" x14ac:dyDescent="0.25"/>
    <row r="140575" customFormat="1" x14ac:dyDescent="0.25"/>
    <row r="140576" customFormat="1" x14ac:dyDescent="0.25"/>
    <row r="140577" customFormat="1" x14ac:dyDescent="0.25"/>
    <row r="140578" customFormat="1" x14ac:dyDescent="0.25"/>
    <row r="140579" customFormat="1" x14ac:dyDescent="0.25"/>
    <row r="140580" customFormat="1" x14ac:dyDescent="0.25"/>
    <row r="140581" customFormat="1" x14ac:dyDescent="0.25"/>
    <row r="140582" customFormat="1" x14ac:dyDescent="0.25"/>
    <row r="140583" customFormat="1" x14ac:dyDescent="0.25"/>
    <row r="140584" customFormat="1" x14ac:dyDescent="0.25"/>
    <row r="140585" customFormat="1" x14ac:dyDescent="0.25"/>
    <row r="140586" customFormat="1" x14ac:dyDescent="0.25"/>
    <row r="140587" customFormat="1" x14ac:dyDescent="0.25"/>
    <row r="140588" customFormat="1" x14ac:dyDescent="0.25"/>
    <row r="140589" customFormat="1" x14ac:dyDescent="0.25"/>
    <row r="140590" customFormat="1" x14ac:dyDescent="0.25"/>
    <row r="140591" customFormat="1" x14ac:dyDescent="0.25"/>
    <row r="140592" customFormat="1" x14ac:dyDescent="0.25"/>
    <row r="140593" customFormat="1" x14ac:dyDescent="0.25"/>
    <row r="140594" customFormat="1" x14ac:dyDescent="0.25"/>
    <row r="140595" customFormat="1" x14ac:dyDescent="0.25"/>
    <row r="140596" customFormat="1" x14ac:dyDescent="0.25"/>
    <row r="140597" customFormat="1" x14ac:dyDescent="0.25"/>
    <row r="140598" customFormat="1" x14ac:dyDescent="0.25"/>
    <row r="140599" customFormat="1" x14ac:dyDescent="0.25"/>
    <row r="140600" customFormat="1" x14ac:dyDescent="0.25"/>
    <row r="140601" customFormat="1" x14ac:dyDescent="0.25"/>
    <row r="140602" customFormat="1" x14ac:dyDescent="0.25"/>
    <row r="140603" customFormat="1" x14ac:dyDescent="0.25"/>
    <row r="140604" customFormat="1" x14ac:dyDescent="0.25"/>
    <row r="140605" customFormat="1" x14ac:dyDescent="0.25"/>
    <row r="140606" customFormat="1" x14ac:dyDescent="0.25"/>
    <row r="140607" customFormat="1" x14ac:dyDescent="0.25"/>
    <row r="140608" customFormat="1" x14ac:dyDescent="0.25"/>
    <row r="140609" customFormat="1" x14ac:dyDescent="0.25"/>
    <row r="140610" customFormat="1" x14ac:dyDescent="0.25"/>
    <row r="140611" customFormat="1" x14ac:dyDescent="0.25"/>
    <row r="140612" customFormat="1" x14ac:dyDescent="0.25"/>
    <row r="140613" customFormat="1" x14ac:dyDescent="0.25"/>
    <row r="140614" customFormat="1" x14ac:dyDescent="0.25"/>
    <row r="140615" customFormat="1" x14ac:dyDescent="0.25"/>
    <row r="140616" customFormat="1" x14ac:dyDescent="0.25"/>
    <row r="140617" customFormat="1" x14ac:dyDescent="0.25"/>
    <row r="140618" customFormat="1" x14ac:dyDescent="0.25"/>
    <row r="140619" customFormat="1" x14ac:dyDescent="0.25"/>
    <row r="140620" customFormat="1" x14ac:dyDescent="0.25"/>
    <row r="140621" customFormat="1" x14ac:dyDescent="0.25"/>
    <row r="140622" customFormat="1" x14ac:dyDescent="0.25"/>
    <row r="140623" customFormat="1" x14ac:dyDescent="0.25"/>
    <row r="140624" customFormat="1" x14ac:dyDescent="0.25"/>
    <row r="140625" customFormat="1" x14ac:dyDescent="0.25"/>
    <row r="140626" customFormat="1" x14ac:dyDescent="0.25"/>
    <row r="140627" customFormat="1" x14ac:dyDescent="0.25"/>
    <row r="140628" customFormat="1" x14ac:dyDescent="0.25"/>
    <row r="140629" customFormat="1" x14ac:dyDescent="0.25"/>
    <row r="140630" customFormat="1" x14ac:dyDescent="0.25"/>
    <row r="140631" customFormat="1" x14ac:dyDescent="0.25"/>
    <row r="140632" customFormat="1" x14ac:dyDescent="0.25"/>
    <row r="140633" customFormat="1" x14ac:dyDescent="0.25"/>
    <row r="140634" customFormat="1" x14ac:dyDescent="0.25"/>
    <row r="140635" customFormat="1" x14ac:dyDescent="0.25"/>
    <row r="140636" customFormat="1" x14ac:dyDescent="0.25"/>
    <row r="140637" customFormat="1" x14ac:dyDescent="0.25"/>
    <row r="140638" customFormat="1" x14ac:dyDescent="0.25"/>
    <row r="140639" customFormat="1" x14ac:dyDescent="0.25"/>
    <row r="140640" customFormat="1" x14ac:dyDescent="0.25"/>
    <row r="140641" customFormat="1" x14ac:dyDescent="0.25"/>
    <row r="140642" customFormat="1" x14ac:dyDescent="0.25"/>
    <row r="140643" customFormat="1" x14ac:dyDescent="0.25"/>
    <row r="140644" customFormat="1" x14ac:dyDescent="0.25"/>
    <row r="140645" customFormat="1" x14ac:dyDescent="0.25"/>
    <row r="140646" customFormat="1" x14ac:dyDescent="0.25"/>
    <row r="140647" customFormat="1" x14ac:dyDescent="0.25"/>
    <row r="140648" customFormat="1" x14ac:dyDescent="0.25"/>
    <row r="140649" customFormat="1" x14ac:dyDescent="0.25"/>
    <row r="140650" customFormat="1" x14ac:dyDescent="0.25"/>
    <row r="140651" customFormat="1" x14ac:dyDescent="0.25"/>
    <row r="140652" customFormat="1" x14ac:dyDescent="0.25"/>
    <row r="140653" customFormat="1" x14ac:dyDescent="0.25"/>
    <row r="140654" customFormat="1" x14ac:dyDescent="0.25"/>
    <row r="140655" customFormat="1" x14ac:dyDescent="0.25"/>
    <row r="140656" customFormat="1" x14ac:dyDescent="0.25"/>
    <row r="140657" customFormat="1" x14ac:dyDescent="0.25"/>
    <row r="140658" customFormat="1" x14ac:dyDescent="0.25"/>
    <row r="140659" customFormat="1" x14ac:dyDescent="0.25"/>
    <row r="140660" customFormat="1" x14ac:dyDescent="0.25"/>
    <row r="140661" customFormat="1" x14ac:dyDescent="0.25"/>
    <row r="140662" customFormat="1" x14ac:dyDescent="0.25"/>
    <row r="140663" customFormat="1" x14ac:dyDescent="0.25"/>
    <row r="140664" customFormat="1" x14ac:dyDescent="0.25"/>
    <row r="140665" customFormat="1" x14ac:dyDescent="0.25"/>
    <row r="140666" customFormat="1" x14ac:dyDescent="0.25"/>
    <row r="140667" customFormat="1" x14ac:dyDescent="0.25"/>
    <row r="140668" customFormat="1" x14ac:dyDescent="0.25"/>
    <row r="140669" customFormat="1" x14ac:dyDescent="0.25"/>
    <row r="140670" customFormat="1" x14ac:dyDescent="0.25"/>
    <row r="140671" customFormat="1" x14ac:dyDescent="0.25"/>
    <row r="140672" customFormat="1" x14ac:dyDescent="0.25"/>
    <row r="140673" customFormat="1" x14ac:dyDescent="0.25"/>
    <row r="140674" customFormat="1" x14ac:dyDescent="0.25"/>
    <row r="140675" customFormat="1" x14ac:dyDescent="0.25"/>
    <row r="140676" customFormat="1" x14ac:dyDescent="0.25"/>
    <row r="140677" customFormat="1" x14ac:dyDescent="0.25"/>
    <row r="140678" customFormat="1" x14ac:dyDescent="0.25"/>
    <row r="140679" customFormat="1" x14ac:dyDescent="0.25"/>
    <row r="140680" customFormat="1" x14ac:dyDescent="0.25"/>
    <row r="140681" customFormat="1" x14ac:dyDescent="0.25"/>
    <row r="140682" customFormat="1" x14ac:dyDescent="0.25"/>
    <row r="140683" customFormat="1" x14ac:dyDescent="0.25"/>
    <row r="140684" customFormat="1" x14ac:dyDescent="0.25"/>
    <row r="140685" customFormat="1" x14ac:dyDescent="0.25"/>
    <row r="140686" customFormat="1" x14ac:dyDescent="0.25"/>
    <row r="140687" customFormat="1" x14ac:dyDescent="0.25"/>
    <row r="140688" customFormat="1" x14ac:dyDescent="0.25"/>
    <row r="140689" customFormat="1" x14ac:dyDescent="0.25"/>
    <row r="140690" customFormat="1" x14ac:dyDescent="0.25"/>
    <row r="140691" customFormat="1" x14ac:dyDescent="0.25"/>
    <row r="140692" customFormat="1" x14ac:dyDescent="0.25"/>
    <row r="140693" customFormat="1" x14ac:dyDescent="0.25"/>
    <row r="140694" customFormat="1" x14ac:dyDescent="0.25"/>
    <row r="140695" customFormat="1" x14ac:dyDescent="0.25"/>
    <row r="140696" customFormat="1" x14ac:dyDescent="0.25"/>
    <row r="140697" customFormat="1" x14ac:dyDescent="0.25"/>
    <row r="140698" customFormat="1" x14ac:dyDescent="0.25"/>
    <row r="140699" customFormat="1" x14ac:dyDescent="0.25"/>
    <row r="140700" customFormat="1" x14ac:dyDescent="0.25"/>
    <row r="140701" customFormat="1" x14ac:dyDescent="0.25"/>
    <row r="140702" customFormat="1" x14ac:dyDescent="0.25"/>
    <row r="140703" customFormat="1" x14ac:dyDescent="0.25"/>
    <row r="140704" customFormat="1" x14ac:dyDescent="0.25"/>
    <row r="140705" customFormat="1" x14ac:dyDescent="0.25"/>
    <row r="140706" customFormat="1" x14ac:dyDescent="0.25"/>
    <row r="140707" customFormat="1" x14ac:dyDescent="0.25"/>
    <row r="140708" customFormat="1" x14ac:dyDescent="0.25"/>
    <row r="140709" customFormat="1" x14ac:dyDescent="0.25"/>
    <row r="140710" customFormat="1" x14ac:dyDescent="0.25"/>
    <row r="140711" customFormat="1" x14ac:dyDescent="0.25"/>
    <row r="140712" customFormat="1" x14ac:dyDescent="0.25"/>
    <row r="140713" customFormat="1" x14ac:dyDescent="0.25"/>
    <row r="140714" customFormat="1" x14ac:dyDescent="0.25"/>
    <row r="140715" customFormat="1" x14ac:dyDescent="0.25"/>
    <row r="140716" customFormat="1" x14ac:dyDescent="0.25"/>
    <row r="140717" customFormat="1" x14ac:dyDescent="0.25"/>
    <row r="140718" customFormat="1" x14ac:dyDescent="0.25"/>
    <row r="140719" customFormat="1" x14ac:dyDescent="0.25"/>
    <row r="140720" customFormat="1" x14ac:dyDescent="0.25"/>
    <row r="140721" customFormat="1" x14ac:dyDescent="0.25"/>
    <row r="140722" customFormat="1" x14ac:dyDescent="0.25"/>
    <row r="140723" customFormat="1" x14ac:dyDescent="0.25"/>
    <row r="140724" customFormat="1" x14ac:dyDescent="0.25"/>
    <row r="140725" customFormat="1" x14ac:dyDescent="0.25"/>
    <row r="140726" customFormat="1" x14ac:dyDescent="0.25"/>
    <row r="140727" customFormat="1" x14ac:dyDescent="0.25"/>
    <row r="140728" customFormat="1" x14ac:dyDescent="0.25"/>
    <row r="140729" customFormat="1" x14ac:dyDescent="0.25"/>
    <row r="140730" customFormat="1" x14ac:dyDescent="0.25"/>
    <row r="140731" customFormat="1" x14ac:dyDescent="0.25"/>
    <row r="140732" customFormat="1" x14ac:dyDescent="0.25"/>
    <row r="140733" customFormat="1" x14ac:dyDescent="0.25"/>
    <row r="140734" customFormat="1" x14ac:dyDescent="0.25"/>
    <row r="140735" customFormat="1" x14ac:dyDescent="0.25"/>
    <row r="140736" customFormat="1" x14ac:dyDescent="0.25"/>
    <row r="140737" customFormat="1" x14ac:dyDescent="0.25"/>
    <row r="140738" customFormat="1" x14ac:dyDescent="0.25"/>
    <row r="140739" customFormat="1" x14ac:dyDescent="0.25"/>
    <row r="140740" customFormat="1" x14ac:dyDescent="0.25"/>
    <row r="140741" customFormat="1" x14ac:dyDescent="0.25"/>
    <row r="140742" customFormat="1" x14ac:dyDescent="0.25"/>
    <row r="140743" customFormat="1" x14ac:dyDescent="0.25"/>
    <row r="140744" customFormat="1" x14ac:dyDescent="0.25"/>
    <row r="140745" customFormat="1" x14ac:dyDescent="0.25"/>
    <row r="140746" customFormat="1" x14ac:dyDescent="0.25"/>
    <row r="140747" customFormat="1" x14ac:dyDescent="0.25"/>
    <row r="140748" customFormat="1" x14ac:dyDescent="0.25"/>
    <row r="140749" customFormat="1" x14ac:dyDescent="0.25"/>
    <row r="140750" customFormat="1" x14ac:dyDescent="0.25"/>
    <row r="140751" customFormat="1" x14ac:dyDescent="0.25"/>
    <row r="140752" customFormat="1" x14ac:dyDescent="0.25"/>
    <row r="140753" customFormat="1" x14ac:dyDescent="0.25"/>
    <row r="140754" customFormat="1" x14ac:dyDescent="0.25"/>
    <row r="140755" customFormat="1" x14ac:dyDescent="0.25"/>
    <row r="140756" customFormat="1" x14ac:dyDescent="0.25"/>
    <row r="140757" customFormat="1" x14ac:dyDescent="0.25"/>
    <row r="140758" customFormat="1" x14ac:dyDescent="0.25"/>
    <row r="140759" customFormat="1" x14ac:dyDescent="0.25"/>
    <row r="140760" customFormat="1" x14ac:dyDescent="0.25"/>
    <row r="140761" customFormat="1" x14ac:dyDescent="0.25"/>
    <row r="140762" customFormat="1" x14ac:dyDescent="0.25"/>
    <row r="140763" customFormat="1" x14ac:dyDescent="0.25"/>
    <row r="140764" customFormat="1" x14ac:dyDescent="0.25"/>
    <row r="140765" customFormat="1" x14ac:dyDescent="0.25"/>
    <row r="140766" customFormat="1" x14ac:dyDescent="0.25"/>
    <row r="140767" customFormat="1" x14ac:dyDescent="0.25"/>
    <row r="140768" customFormat="1" x14ac:dyDescent="0.25"/>
    <row r="140769" customFormat="1" x14ac:dyDescent="0.25"/>
    <row r="140770" customFormat="1" x14ac:dyDescent="0.25"/>
    <row r="140771" customFormat="1" x14ac:dyDescent="0.25"/>
    <row r="140772" customFormat="1" x14ac:dyDescent="0.25"/>
    <row r="140773" customFormat="1" x14ac:dyDescent="0.25"/>
    <row r="140774" customFormat="1" x14ac:dyDescent="0.25"/>
    <row r="140775" customFormat="1" x14ac:dyDescent="0.25"/>
    <row r="140776" customFormat="1" x14ac:dyDescent="0.25"/>
    <row r="140777" customFormat="1" x14ac:dyDescent="0.25"/>
    <row r="140778" customFormat="1" x14ac:dyDescent="0.25"/>
    <row r="140779" customFormat="1" x14ac:dyDescent="0.25"/>
    <row r="140780" customFormat="1" x14ac:dyDescent="0.25"/>
    <row r="140781" customFormat="1" x14ac:dyDescent="0.25"/>
    <row r="140782" customFormat="1" x14ac:dyDescent="0.25"/>
    <row r="140783" customFormat="1" x14ac:dyDescent="0.25"/>
    <row r="140784" customFormat="1" x14ac:dyDescent="0.25"/>
    <row r="140785" customFormat="1" x14ac:dyDescent="0.25"/>
    <row r="140786" customFormat="1" x14ac:dyDescent="0.25"/>
    <row r="140787" customFormat="1" x14ac:dyDescent="0.25"/>
    <row r="140788" customFormat="1" x14ac:dyDescent="0.25"/>
    <row r="140789" customFormat="1" x14ac:dyDescent="0.25"/>
    <row r="140790" customFormat="1" x14ac:dyDescent="0.25"/>
    <row r="140791" customFormat="1" x14ac:dyDescent="0.25"/>
    <row r="140792" customFormat="1" x14ac:dyDescent="0.25"/>
    <row r="140793" customFormat="1" x14ac:dyDescent="0.25"/>
    <row r="140794" customFormat="1" x14ac:dyDescent="0.25"/>
    <row r="140795" customFormat="1" x14ac:dyDescent="0.25"/>
    <row r="140796" customFormat="1" x14ac:dyDescent="0.25"/>
    <row r="140797" customFormat="1" x14ac:dyDescent="0.25"/>
    <row r="140798" customFormat="1" x14ac:dyDescent="0.25"/>
    <row r="140799" customFormat="1" x14ac:dyDescent="0.25"/>
    <row r="140800" customFormat="1" x14ac:dyDescent="0.25"/>
    <row r="140801" customFormat="1" x14ac:dyDescent="0.25"/>
    <row r="140802" customFormat="1" x14ac:dyDescent="0.25"/>
    <row r="140803" customFormat="1" x14ac:dyDescent="0.25"/>
    <row r="140804" customFormat="1" x14ac:dyDescent="0.25"/>
    <row r="140805" customFormat="1" x14ac:dyDescent="0.25"/>
    <row r="140806" customFormat="1" x14ac:dyDescent="0.25"/>
    <row r="140807" customFormat="1" x14ac:dyDescent="0.25"/>
    <row r="140808" customFormat="1" x14ac:dyDescent="0.25"/>
    <row r="140809" customFormat="1" x14ac:dyDescent="0.25"/>
    <row r="140810" customFormat="1" x14ac:dyDescent="0.25"/>
    <row r="140811" customFormat="1" x14ac:dyDescent="0.25"/>
    <row r="140812" customFormat="1" x14ac:dyDescent="0.25"/>
    <row r="140813" customFormat="1" x14ac:dyDescent="0.25"/>
    <row r="140814" customFormat="1" x14ac:dyDescent="0.25"/>
    <row r="140815" customFormat="1" x14ac:dyDescent="0.25"/>
    <row r="140816" customFormat="1" x14ac:dyDescent="0.25"/>
    <row r="140817" customFormat="1" x14ac:dyDescent="0.25"/>
    <row r="140818" customFormat="1" x14ac:dyDescent="0.25"/>
    <row r="140819" customFormat="1" x14ac:dyDescent="0.25"/>
    <row r="140820" customFormat="1" x14ac:dyDescent="0.25"/>
    <row r="140821" customFormat="1" x14ac:dyDescent="0.25"/>
    <row r="140822" customFormat="1" x14ac:dyDescent="0.25"/>
    <row r="140823" customFormat="1" x14ac:dyDescent="0.25"/>
    <row r="140824" customFormat="1" x14ac:dyDescent="0.25"/>
    <row r="140825" customFormat="1" x14ac:dyDescent="0.25"/>
    <row r="140826" customFormat="1" x14ac:dyDescent="0.25"/>
    <row r="140827" customFormat="1" x14ac:dyDescent="0.25"/>
    <row r="140828" customFormat="1" x14ac:dyDescent="0.25"/>
    <row r="140829" customFormat="1" x14ac:dyDescent="0.25"/>
    <row r="140830" customFormat="1" x14ac:dyDescent="0.25"/>
    <row r="140831" customFormat="1" x14ac:dyDescent="0.25"/>
    <row r="140832" customFormat="1" x14ac:dyDescent="0.25"/>
    <row r="140833" customFormat="1" x14ac:dyDescent="0.25"/>
    <row r="140834" customFormat="1" x14ac:dyDescent="0.25"/>
    <row r="140835" customFormat="1" x14ac:dyDescent="0.25"/>
    <row r="140836" customFormat="1" x14ac:dyDescent="0.25"/>
    <row r="140837" customFormat="1" x14ac:dyDescent="0.25"/>
    <row r="140838" customFormat="1" x14ac:dyDescent="0.25"/>
    <row r="140839" customFormat="1" x14ac:dyDescent="0.25"/>
    <row r="140840" customFormat="1" x14ac:dyDescent="0.25"/>
    <row r="140841" customFormat="1" x14ac:dyDescent="0.25"/>
    <row r="140842" customFormat="1" x14ac:dyDescent="0.25"/>
    <row r="140843" customFormat="1" x14ac:dyDescent="0.25"/>
    <row r="140844" customFormat="1" x14ac:dyDescent="0.25"/>
    <row r="140845" customFormat="1" x14ac:dyDescent="0.25"/>
    <row r="140846" customFormat="1" x14ac:dyDescent="0.25"/>
    <row r="140847" customFormat="1" x14ac:dyDescent="0.25"/>
    <row r="140848" customFormat="1" x14ac:dyDescent="0.25"/>
    <row r="140849" customFormat="1" x14ac:dyDescent="0.25"/>
    <row r="140850" customFormat="1" x14ac:dyDescent="0.25"/>
    <row r="140851" customFormat="1" x14ac:dyDescent="0.25"/>
    <row r="140852" customFormat="1" x14ac:dyDescent="0.25"/>
    <row r="140853" customFormat="1" x14ac:dyDescent="0.25"/>
    <row r="140854" customFormat="1" x14ac:dyDescent="0.25"/>
    <row r="140855" customFormat="1" x14ac:dyDescent="0.25"/>
    <row r="140856" customFormat="1" x14ac:dyDescent="0.25"/>
    <row r="140857" customFormat="1" x14ac:dyDescent="0.25"/>
    <row r="140858" customFormat="1" x14ac:dyDescent="0.25"/>
    <row r="140859" customFormat="1" x14ac:dyDescent="0.25"/>
    <row r="140860" customFormat="1" x14ac:dyDescent="0.25"/>
    <row r="140861" customFormat="1" x14ac:dyDescent="0.25"/>
    <row r="140862" customFormat="1" x14ac:dyDescent="0.25"/>
    <row r="140863" customFormat="1" x14ac:dyDescent="0.25"/>
    <row r="140864" customFormat="1" x14ac:dyDescent="0.25"/>
    <row r="140865" customFormat="1" x14ac:dyDescent="0.25"/>
    <row r="140866" customFormat="1" x14ac:dyDescent="0.25"/>
    <row r="140867" customFormat="1" x14ac:dyDescent="0.25"/>
    <row r="140868" customFormat="1" x14ac:dyDescent="0.25"/>
    <row r="140869" customFormat="1" x14ac:dyDescent="0.25"/>
    <row r="140870" customFormat="1" x14ac:dyDescent="0.25"/>
    <row r="140871" customFormat="1" x14ac:dyDescent="0.25"/>
    <row r="140872" customFormat="1" x14ac:dyDescent="0.25"/>
    <row r="140873" customFormat="1" x14ac:dyDescent="0.25"/>
    <row r="140874" customFormat="1" x14ac:dyDescent="0.25"/>
    <row r="140875" customFormat="1" x14ac:dyDescent="0.25"/>
    <row r="140876" customFormat="1" x14ac:dyDescent="0.25"/>
    <row r="140877" customFormat="1" x14ac:dyDescent="0.25"/>
    <row r="140878" customFormat="1" x14ac:dyDescent="0.25"/>
    <row r="140879" customFormat="1" x14ac:dyDescent="0.25"/>
    <row r="140880" customFormat="1" x14ac:dyDescent="0.25"/>
    <row r="140881" customFormat="1" x14ac:dyDescent="0.25"/>
    <row r="140882" customFormat="1" x14ac:dyDescent="0.25"/>
    <row r="140883" customFormat="1" x14ac:dyDescent="0.25"/>
    <row r="140884" customFormat="1" x14ac:dyDescent="0.25"/>
    <row r="140885" customFormat="1" x14ac:dyDescent="0.25"/>
    <row r="140886" customFormat="1" x14ac:dyDescent="0.25"/>
    <row r="140887" customFormat="1" x14ac:dyDescent="0.25"/>
    <row r="140888" customFormat="1" x14ac:dyDescent="0.25"/>
    <row r="140889" customFormat="1" x14ac:dyDescent="0.25"/>
    <row r="140890" customFormat="1" x14ac:dyDescent="0.25"/>
    <row r="140891" customFormat="1" x14ac:dyDescent="0.25"/>
    <row r="140892" customFormat="1" x14ac:dyDescent="0.25"/>
    <row r="140893" customFormat="1" x14ac:dyDescent="0.25"/>
    <row r="140894" customFormat="1" x14ac:dyDescent="0.25"/>
    <row r="140895" customFormat="1" x14ac:dyDescent="0.25"/>
    <row r="140896" customFormat="1" x14ac:dyDescent="0.25"/>
    <row r="140897" customFormat="1" x14ac:dyDescent="0.25"/>
    <row r="140898" customFormat="1" x14ac:dyDescent="0.25"/>
    <row r="140899" customFormat="1" x14ac:dyDescent="0.25"/>
    <row r="140900" customFormat="1" x14ac:dyDescent="0.25"/>
    <row r="140901" customFormat="1" x14ac:dyDescent="0.25"/>
    <row r="140902" customFormat="1" x14ac:dyDescent="0.25"/>
    <row r="140903" customFormat="1" x14ac:dyDescent="0.25"/>
    <row r="140904" customFormat="1" x14ac:dyDescent="0.25"/>
    <row r="140905" customFormat="1" x14ac:dyDescent="0.25"/>
    <row r="140906" customFormat="1" x14ac:dyDescent="0.25"/>
    <row r="140907" customFormat="1" x14ac:dyDescent="0.25"/>
    <row r="140908" customFormat="1" x14ac:dyDescent="0.25"/>
    <row r="140909" customFormat="1" x14ac:dyDescent="0.25"/>
    <row r="140910" customFormat="1" x14ac:dyDescent="0.25"/>
    <row r="140911" customFormat="1" x14ac:dyDescent="0.25"/>
    <row r="140912" customFormat="1" x14ac:dyDescent="0.25"/>
    <row r="140913" customFormat="1" x14ac:dyDescent="0.25"/>
    <row r="140914" customFormat="1" x14ac:dyDescent="0.25"/>
    <row r="140915" customFormat="1" x14ac:dyDescent="0.25"/>
    <row r="140916" customFormat="1" x14ac:dyDescent="0.25"/>
    <row r="140917" customFormat="1" x14ac:dyDescent="0.25"/>
    <row r="140918" customFormat="1" x14ac:dyDescent="0.25"/>
    <row r="140919" customFormat="1" x14ac:dyDescent="0.25"/>
    <row r="140920" customFormat="1" x14ac:dyDescent="0.25"/>
    <row r="140921" customFormat="1" x14ac:dyDescent="0.25"/>
    <row r="140922" customFormat="1" x14ac:dyDescent="0.25"/>
    <row r="140923" customFormat="1" x14ac:dyDescent="0.25"/>
    <row r="140924" customFormat="1" x14ac:dyDescent="0.25"/>
    <row r="140925" customFormat="1" x14ac:dyDescent="0.25"/>
    <row r="140926" customFormat="1" x14ac:dyDescent="0.25"/>
    <row r="140927" customFormat="1" x14ac:dyDescent="0.25"/>
    <row r="140928" customFormat="1" x14ac:dyDescent="0.25"/>
    <row r="140929" customFormat="1" x14ac:dyDescent="0.25"/>
    <row r="140930" customFormat="1" x14ac:dyDescent="0.25"/>
    <row r="140931" customFormat="1" x14ac:dyDescent="0.25"/>
    <row r="140932" customFormat="1" x14ac:dyDescent="0.25"/>
    <row r="140933" customFormat="1" x14ac:dyDescent="0.25"/>
    <row r="140934" customFormat="1" x14ac:dyDescent="0.25"/>
    <row r="140935" customFormat="1" x14ac:dyDescent="0.25"/>
    <row r="140936" customFormat="1" x14ac:dyDescent="0.25"/>
    <row r="140937" customFormat="1" x14ac:dyDescent="0.25"/>
    <row r="140938" customFormat="1" x14ac:dyDescent="0.25"/>
    <row r="140939" customFormat="1" x14ac:dyDescent="0.25"/>
    <row r="140940" customFormat="1" x14ac:dyDescent="0.25"/>
    <row r="140941" customFormat="1" x14ac:dyDescent="0.25"/>
    <row r="140942" customFormat="1" x14ac:dyDescent="0.25"/>
    <row r="140943" customFormat="1" x14ac:dyDescent="0.25"/>
    <row r="140944" customFormat="1" x14ac:dyDescent="0.25"/>
    <row r="140945" customFormat="1" x14ac:dyDescent="0.25"/>
    <row r="140946" customFormat="1" x14ac:dyDescent="0.25"/>
    <row r="140947" customFormat="1" x14ac:dyDescent="0.25"/>
    <row r="140948" customFormat="1" x14ac:dyDescent="0.25"/>
    <row r="140949" customFormat="1" x14ac:dyDescent="0.25"/>
    <row r="140950" customFormat="1" x14ac:dyDescent="0.25"/>
    <row r="140951" customFormat="1" x14ac:dyDescent="0.25"/>
    <row r="140952" customFormat="1" x14ac:dyDescent="0.25"/>
    <row r="140953" customFormat="1" x14ac:dyDescent="0.25"/>
    <row r="140954" customFormat="1" x14ac:dyDescent="0.25"/>
    <row r="140955" customFormat="1" x14ac:dyDescent="0.25"/>
    <row r="140956" customFormat="1" x14ac:dyDescent="0.25"/>
    <row r="140957" customFormat="1" x14ac:dyDescent="0.25"/>
    <row r="140958" customFormat="1" x14ac:dyDescent="0.25"/>
    <row r="140959" customFormat="1" x14ac:dyDescent="0.25"/>
    <row r="140960" customFormat="1" x14ac:dyDescent="0.25"/>
    <row r="140961" customFormat="1" x14ac:dyDescent="0.25"/>
    <row r="140962" customFormat="1" x14ac:dyDescent="0.25"/>
    <row r="140963" customFormat="1" x14ac:dyDescent="0.25"/>
    <row r="140964" customFormat="1" x14ac:dyDescent="0.25"/>
    <row r="140965" customFormat="1" x14ac:dyDescent="0.25"/>
    <row r="140966" customFormat="1" x14ac:dyDescent="0.25"/>
    <row r="140967" customFormat="1" x14ac:dyDescent="0.25"/>
    <row r="140968" customFormat="1" x14ac:dyDescent="0.25"/>
    <row r="140969" customFormat="1" x14ac:dyDescent="0.25"/>
    <row r="140970" customFormat="1" x14ac:dyDescent="0.25"/>
    <row r="140971" customFormat="1" x14ac:dyDescent="0.25"/>
    <row r="140972" customFormat="1" x14ac:dyDescent="0.25"/>
    <row r="140973" customFormat="1" x14ac:dyDescent="0.25"/>
    <row r="140974" customFormat="1" x14ac:dyDescent="0.25"/>
    <row r="140975" customFormat="1" x14ac:dyDescent="0.25"/>
    <row r="140976" customFormat="1" x14ac:dyDescent="0.25"/>
    <row r="140977" customFormat="1" x14ac:dyDescent="0.25"/>
    <row r="140978" customFormat="1" x14ac:dyDescent="0.25"/>
    <row r="140979" customFormat="1" x14ac:dyDescent="0.25"/>
    <row r="140980" customFormat="1" x14ac:dyDescent="0.25"/>
    <row r="140981" customFormat="1" x14ac:dyDescent="0.25"/>
    <row r="140982" customFormat="1" x14ac:dyDescent="0.25"/>
    <row r="140983" customFormat="1" x14ac:dyDescent="0.25"/>
    <row r="140984" customFormat="1" x14ac:dyDescent="0.25"/>
    <row r="140985" customFormat="1" x14ac:dyDescent="0.25"/>
    <row r="140986" customFormat="1" x14ac:dyDescent="0.25"/>
    <row r="140987" customFormat="1" x14ac:dyDescent="0.25"/>
    <row r="140988" customFormat="1" x14ac:dyDescent="0.25"/>
    <row r="140989" customFormat="1" x14ac:dyDescent="0.25"/>
    <row r="140990" customFormat="1" x14ac:dyDescent="0.25"/>
    <row r="140991" customFormat="1" x14ac:dyDescent="0.25"/>
    <row r="140992" customFormat="1" x14ac:dyDescent="0.25"/>
    <row r="140993" customFormat="1" x14ac:dyDescent="0.25"/>
    <row r="140994" customFormat="1" x14ac:dyDescent="0.25"/>
    <row r="140995" customFormat="1" x14ac:dyDescent="0.25"/>
    <row r="140996" customFormat="1" x14ac:dyDescent="0.25"/>
    <row r="140997" customFormat="1" x14ac:dyDescent="0.25"/>
    <row r="140998" customFormat="1" x14ac:dyDescent="0.25"/>
    <row r="140999" customFormat="1" x14ac:dyDescent="0.25"/>
    <row r="141000" customFormat="1" x14ac:dyDescent="0.25"/>
    <row r="141001" customFormat="1" x14ac:dyDescent="0.25"/>
    <row r="141002" customFormat="1" x14ac:dyDescent="0.25"/>
    <row r="141003" customFormat="1" x14ac:dyDescent="0.25"/>
    <row r="141004" customFormat="1" x14ac:dyDescent="0.25"/>
    <row r="141005" customFormat="1" x14ac:dyDescent="0.25"/>
    <row r="141006" customFormat="1" x14ac:dyDescent="0.25"/>
    <row r="141007" customFormat="1" x14ac:dyDescent="0.25"/>
    <row r="141008" customFormat="1" x14ac:dyDescent="0.25"/>
    <row r="141009" customFormat="1" x14ac:dyDescent="0.25"/>
    <row r="141010" customFormat="1" x14ac:dyDescent="0.25"/>
    <row r="141011" customFormat="1" x14ac:dyDescent="0.25"/>
    <row r="141012" customFormat="1" x14ac:dyDescent="0.25"/>
    <row r="141013" customFormat="1" x14ac:dyDescent="0.25"/>
    <row r="141014" customFormat="1" x14ac:dyDescent="0.25"/>
    <row r="141015" customFormat="1" x14ac:dyDescent="0.25"/>
    <row r="141016" customFormat="1" x14ac:dyDescent="0.25"/>
    <row r="141017" customFormat="1" x14ac:dyDescent="0.25"/>
    <row r="141018" customFormat="1" x14ac:dyDescent="0.25"/>
    <row r="141019" customFormat="1" x14ac:dyDescent="0.25"/>
    <row r="141020" customFormat="1" x14ac:dyDescent="0.25"/>
    <row r="141021" customFormat="1" x14ac:dyDescent="0.25"/>
    <row r="141022" customFormat="1" x14ac:dyDescent="0.25"/>
    <row r="141023" customFormat="1" x14ac:dyDescent="0.25"/>
    <row r="141024" customFormat="1" x14ac:dyDescent="0.25"/>
    <row r="141025" customFormat="1" x14ac:dyDescent="0.25"/>
    <row r="141026" customFormat="1" x14ac:dyDescent="0.25"/>
    <row r="141027" customFormat="1" x14ac:dyDescent="0.25"/>
    <row r="141028" customFormat="1" x14ac:dyDescent="0.25"/>
    <row r="141029" customFormat="1" x14ac:dyDescent="0.25"/>
    <row r="141030" customFormat="1" x14ac:dyDescent="0.25"/>
    <row r="141031" customFormat="1" x14ac:dyDescent="0.25"/>
    <row r="141032" customFormat="1" x14ac:dyDescent="0.25"/>
    <row r="141033" customFormat="1" x14ac:dyDescent="0.25"/>
    <row r="141034" customFormat="1" x14ac:dyDescent="0.25"/>
    <row r="141035" customFormat="1" x14ac:dyDescent="0.25"/>
    <row r="141036" customFormat="1" x14ac:dyDescent="0.25"/>
    <row r="141037" customFormat="1" x14ac:dyDescent="0.25"/>
    <row r="141038" customFormat="1" x14ac:dyDescent="0.25"/>
    <row r="141039" customFormat="1" x14ac:dyDescent="0.25"/>
    <row r="141040" customFormat="1" x14ac:dyDescent="0.25"/>
    <row r="141041" customFormat="1" x14ac:dyDescent="0.25"/>
    <row r="141042" customFormat="1" x14ac:dyDescent="0.25"/>
    <row r="141043" customFormat="1" x14ac:dyDescent="0.25"/>
    <row r="141044" customFormat="1" x14ac:dyDescent="0.25"/>
    <row r="141045" customFormat="1" x14ac:dyDescent="0.25"/>
    <row r="141046" customFormat="1" x14ac:dyDescent="0.25"/>
    <row r="141047" customFormat="1" x14ac:dyDescent="0.25"/>
    <row r="141048" customFormat="1" x14ac:dyDescent="0.25"/>
    <row r="141049" customFormat="1" x14ac:dyDescent="0.25"/>
    <row r="141050" customFormat="1" x14ac:dyDescent="0.25"/>
    <row r="141051" customFormat="1" x14ac:dyDescent="0.25"/>
    <row r="141052" customFormat="1" x14ac:dyDescent="0.25"/>
    <row r="141053" customFormat="1" x14ac:dyDescent="0.25"/>
    <row r="141054" customFormat="1" x14ac:dyDescent="0.25"/>
    <row r="141055" customFormat="1" x14ac:dyDescent="0.25"/>
    <row r="141056" customFormat="1" x14ac:dyDescent="0.25"/>
    <row r="141057" customFormat="1" x14ac:dyDescent="0.25"/>
    <row r="141058" customFormat="1" x14ac:dyDescent="0.25"/>
    <row r="141059" customFormat="1" x14ac:dyDescent="0.25"/>
    <row r="141060" customFormat="1" x14ac:dyDescent="0.25"/>
    <row r="141061" customFormat="1" x14ac:dyDescent="0.25"/>
    <row r="141062" customFormat="1" x14ac:dyDescent="0.25"/>
    <row r="141063" customFormat="1" x14ac:dyDescent="0.25"/>
    <row r="141064" customFormat="1" x14ac:dyDescent="0.25"/>
    <row r="141065" customFormat="1" x14ac:dyDescent="0.25"/>
    <row r="141066" customFormat="1" x14ac:dyDescent="0.25"/>
    <row r="141067" customFormat="1" x14ac:dyDescent="0.25"/>
    <row r="141068" customFormat="1" x14ac:dyDescent="0.25"/>
    <row r="141069" customFormat="1" x14ac:dyDescent="0.25"/>
    <row r="141070" customFormat="1" x14ac:dyDescent="0.25"/>
    <row r="141071" customFormat="1" x14ac:dyDescent="0.25"/>
    <row r="141072" customFormat="1" x14ac:dyDescent="0.25"/>
    <row r="141073" customFormat="1" x14ac:dyDescent="0.25"/>
    <row r="141074" customFormat="1" x14ac:dyDescent="0.25"/>
    <row r="141075" customFormat="1" x14ac:dyDescent="0.25"/>
    <row r="141076" customFormat="1" x14ac:dyDescent="0.25"/>
    <row r="141077" customFormat="1" x14ac:dyDescent="0.25"/>
    <row r="141078" customFormat="1" x14ac:dyDescent="0.25"/>
    <row r="141079" customFormat="1" x14ac:dyDescent="0.25"/>
    <row r="141080" customFormat="1" x14ac:dyDescent="0.25"/>
    <row r="141081" customFormat="1" x14ac:dyDescent="0.25"/>
    <row r="141082" customFormat="1" x14ac:dyDescent="0.25"/>
    <row r="141083" customFormat="1" x14ac:dyDescent="0.25"/>
    <row r="141084" customFormat="1" x14ac:dyDescent="0.25"/>
    <row r="141085" customFormat="1" x14ac:dyDescent="0.25"/>
    <row r="141086" customFormat="1" x14ac:dyDescent="0.25"/>
    <row r="141087" customFormat="1" x14ac:dyDescent="0.25"/>
    <row r="141088" customFormat="1" x14ac:dyDescent="0.25"/>
    <row r="141089" customFormat="1" x14ac:dyDescent="0.25"/>
    <row r="141090" customFormat="1" x14ac:dyDescent="0.25"/>
    <row r="141091" customFormat="1" x14ac:dyDescent="0.25"/>
    <row r="141092" customFormat="1" x14ac:dyDescent="0.25"/>
    <row r="141093" customFormat="1" x14ac:dyDescent="0.25"/>
    <row r="141094" customFormat="1" x14ac:dyDescent="0.25"/>
    <row r="141095" customFormat="1" x14ac:dyDescent="0.25"/>
    <row r="141096" customFormat="1" x14ac:dyDescent="0.25"/>
    <row r="141097" customFormat="1" x14ac:dyDescent="0.25"/>
    <row r="141098" customFormat="1" x14ac:dyDescent="0.25"/>
    <row r="141099" customFormat="1" x14ac:dyDescent="0.25"/>
    <row r="141100" customFormat="1" x14ac:dyDescent="0.25"/>
    <row r="141101" customFormat="1" x14ac:dyDescent="0.25"/>
    <row r="141102" customFormat="1" x14ac:dyDescent="0.25"/>
    <row r="141103" customFormat="1" x14ac:dyDescent="0.25"/>
    <row r="141104" customFormat="1" x14ac:dyDescent="0.25"/>
    <row r="141105" customFormat="1" x14ac:dyDescent="0.25"/>
    <row r="141106" customFormat="1" x14ac:dyDescent="0.25"/>
    <row r="141107" customFormat="1" x14ac:dyDescent="0.25"/>
    <row r="141108" customFormat="1" x14ac:dyDescent="0.25"/>
    <row r="141109" customFormat="1" x14ac:dyDescent="0.25"/>
    <row r="141110" customFormat="1" x14ac:dyDescent="0.25"/>
    <row r="141111" customFormat="1" x14ac:dyDescent="0.25"/>
    <row r="141112" customFormat="1" x14ac:dyDescent="0.25"/>
    <row r="141113" customFormat="1" x14ac:dyDescent="0.25"/>
    <row r="141114" customFormat="1" x14ac:dyDescent="0.25"/>
    <row r="141115" customFormat="1" x14ac:dyDescent="0.25"/>
    <row r="141116" customFormat="1" x14ac:dyDescent="0.25"/>
    <row r="141117" customFormat="1" x14ac:dyDescent="0.25"/>
    <row r="141118" customFormat="1" x14ac:dyDescent="0.25"/>
    <row r="141119" customFormat="1" x14ac:dyDescent="0.25"/>
    <row r="141120" customFormat="1" x14ac:dyDescent="0.25"/>
    <row r="141121" customFormat="1" x14ac:dyDescent="0.25"/>
    <row r="141122" customFormat="1" x14ac:dyDescent="0.25"/>
    <row r="141123" customFormat="1" x14ac:dyDescent="0.25"/>
    <row r="141124" customFormat="1" x14ac:dyDescent="0.25"/>
    <row r="141125" customFormat="1" x14ac:dyDescent="0.25"/>
    <row r="141126" customFormat="1" x14ac:dyDescent="0.25"/>
    <row r="141127" customFormat="1" x14ac:dyDescent="0.25"/>
    <row r="141128" customFormat="1" x14ac:dyDescent="0.25"/>
    <row r="141129" customFormat="1" x14ac:dyDescent="0.25"/>
    <row r="141130" customFormat="1" x14ac:dyDescent="0.25"/>
    <row r="141131" customFormat="1" x14ac:dyDescent="0.25"/>
    <row r="141132" customFormat="1" x14ac:dyDescent="0.25"/>
    <row r="141133" customFormat="1" x14ac:dyDescent="0.25"/>
    <row r="141134" customFormat="1" x14ac:dyDescent="0.25"/>
    <row r="141135" customFormat="1" x14ac:dyDescent="0.25"/>
    <row r="141136" customFormat="1" x14ac:dyDescent="0.25"/>
    <row r="141137" customFormat="1" x14ac:dyDescent="0.25"/>
    <row r="141138" customFormat="1" x14ac:dyDescent="0.25"/>
    <row r="141139" customFormat="1" x14ac:dyDescent="0.25"/>
    <row r="141140" customFormat="1" x14ac:dyDescent="0.25"/>
    <row r="141141" customFormat="1" x14ac:dyDescent="0.25"/>
    <row r="141142" customFormat="1" x14ac:dyDescent="0.25"/>
    <row r="141143" customFormat="1" x14ac:dyDescent="0.25"/>
    <row r="141144" customFormat="1" x14ac:dyDescent="0.25"/>
    <row r="141145" customFormat="1" x14ac:dyDescent="0.25"/>
    <row r="141146" customFormat="1" x14ac:dyDescent="0.25"/>
    <row r="141147" customFormat="1" x14ac:dyDescent="0.25"/>
    <row r="141148" customFormat="1" x14ac:dyDescent="0.25"/>
    <row r="141149" customFormat="1" x14ac:dyDescent="0.25"/>
    <row r="141150" customFormat="1" x14ac:dyDescent="0.25"/>
    <row r="141151" customFormat="1" x14ac:dyDescent="0.25"/>
    <row r="141152" customFormat="1" x14ac:dyDescent="0.25"/>
    <row r="141153" customFormat="1" x14ac:dyDescent="0.25"/>
    <row r="141154" customFormat="1" x14ac:dyDescent="0.25"/>
    <row r="141155" customFormat="1" x14ac:dyDescent="0.25"/>
    <row r="141156" customFormat="1" x14ac:dyDescent="0.25"/>
    <row r="141157" customFormat="1" x14ac:dyDescent="0.25"/>
    <row r="141158" customFormat="1" x14ac:dyDescent="0.25"/>
    <row r="141159" customFormat="1" x14ac:dyDescent="0.25"/>
    <row r="141160" customFormat="1" x14ac:dyDescent="0.25"/>
    <row r="141161" customFormat="1" x14ac:dyDescent="0.25"/>
    <row r="141162" customFormat="1" x14ac:dyDescent="0.25"/>
    <row r="141163" customFormat="1" x14ac:dyDescent="0.25"/>
    <row r="141164" customFormat="1" x14ac:dyDescent="0.25"/>
    <row r="141165" customFormat="1" x14ac:dyDescent="0.25"/>
    <row r="141166" customFormat="1" x14ac:dyDescent="0.25"/>
    <row r="141167" customFormat="1" x14ac:dyDescent="0.25"/>
    <row r="141168" customFormat="1" x14ac:dyDescent="0.25"/>
    <row r="141169" customFormat="1" x14ac:dyDescent="0.25"/>
    <row r="141170" customFormat="1" x14ac:dyDescent="0.25"/>
    <row r="141171" customFormat="1" x14ac:dyDescent="0.25"/>
    <row r="141172" customFormat="1" x14ac:dyDescent="0.25"/>
    <row r="141173" customFormat="1" x14ac:dyDescent="0.25"/>
    <row r="141174" customFormat="1" x14ac:dyDescent="0.25"/>
    <row r="141175" customFormat="1" x14ac:dyDescent="0.25"/>
    <row r="141176" customFormat="1" x14ac:dyDescent="0.25"/>
    <row r="141177" customFormat="1" x14ac:dyDescent="0.25"/>
    <row r="141178" customFormat="1" x14ac:dyDescent="0.25"/>
    <row r="141179" customFormat="1" x14ac:dyDescent="0.25"/>
    <row r="141180" customFormat="1" x14ac:dyDescent="0.25"/>
    <row r="141181" customFormat="1" x14ac:dyDescent="0.25"/>
    <row r="141182" customFormat="1" x14ac:dyDescent="0.25"/>
    <row r="141183" customFormat="1" x14ac:dyDescent="0.25"/>
    <row r="141184" customFormat="1" x14ac:dyDescent="0.25"/>
    <row r="141185" customFormat="1" x14ac:dyDescent="0.25"/>
    <row r="141186" customFormat="1" x14ac:dyDescent="0.25"/>
    <row r="141187" customFormat="1" x14ac:dyDescent="0.25"/>
    <row r="141188" customFormat="1" x14ac:dyDescent="0.25"/>
    <row r="141189" customFormat="1" x14ac:dyDescent="0.25"/>
    <row r="141190" customFormat="1" x14ac:dyDescent="0.25"/>
    <row r="141191" customFormat="1" x14ac:dyDescent="0.25"/>
    <row r="141192" customFormat="1" x14ac:dyDescent="0.25"/>
    <row r="141193" customFormat="1" x14ac:dyDescent="0.25"/>
    <row r="141194" customFormat="1" x14ac:dyDescent="0.25"/>
    <row r="141195" customFormat="1" x14ac:dyDescent="0.25"/>
    <row r="141196" customFormat="1" x14ac:dyDescent="0.25"/>
    <row r="141197" customFormat="1" x14ac:dyDescent="0.25"/>
    <row r="141198" customFormat="1" x14ac:dyDescent="0.25"/>
    <row r="141199" customFormat="1" x14ac:dyDescent="0.25"/>
    <row r="141200" customFormat="1" x14ac:dyDescent="0.25"/>
    <row r="141201" customFormat="1" x14ac:dyDescent="0.25"/>
    <row r="141202" customFormat="1" x14ac:dyDescent="0.25"/>
    <row r="141203" customFormat="1" x14ac:dyDescent="0.25"/>
    <row r="141204" customFormat="1" x14ac:dyDescent="0.25"/>
    <row r="141205" customFormat="1" x14ac:dyDescent="0.25"/>
    <row r="141206" customFormat="1" x14ac:dyDescent="0.25"/>
    <row r="141207" customFormat="1" x14ac:dyDescent="0.25"/>
    <row r="141208" customFormat="1" x14ac:dyDescent="0.25"/>
    <row r="141209" customFormat="1" x14ac:dyDescent="0.25"/>
    <row r="141210" customFormat="1" x14ac:dyDescent="0.25"/>
    <row r="141211" customFormat="1" x14ac:dyDescent="0.25"/>
    <row r="141212" customFormat="1" x14ac:dyDescent="0.25"/>
    <row r="141213" customFormat="1" x14ac:dyDescent="0.25"/>
    <row r="141214" customFormat="1" x14ac:dyDescent="0.25"/>
    <row r="141215" customFormat="1" x14ac:dyDescent="0.25"/>
    <row r="141216" customFormat="1" x14ac:dyDescent="0.25"/>
    <row r="141217" customFormat="1" x14ac:dyDescent="0.25"/>
    <row r="141218" customFormat="1" x14ac:dyDescent="0.25"/>
    <row r="141219" customFormat="1" x14ac:dyDescent="0.25"/>
    <row r="141220" customFormat="1" x14ac:dyDescent="0.25"/>
    <row r="141221" customFormat="1" x14ac:dyDescent="0.25"/>
    <row r="141222" customFormat="1" x14ac:dyDescent="0.25"/>
    <row r="141223" customFormat="1" x14ac:dyDescent="0.25"/>
    <row r="141224" customFormat="1" x14ac:dyDescent="0.25"/>
    <row r="141225" customFormat="1" x14ac:dyDescent="0.25"/>
    <row r="141226" customFormat="1" x14ac:dyDescent="0.25"/>
    <row r="141227" customFormat="1" x14ac:dyDescent="0.25"/>
    <row r="141228" customFormat="1" x14ac:dyDescent="0.25"/>
    <row r="141229" customFormat="1" x14ac:dyDescent="0.25"/>
    <row r="141230" customFormat="1" x14ac:dyDescent="0.25"/>
    <row r="141231" customFormat="1" x14ac:dyDescent="0.25"/>
    <row r="141232" customFormat="1" x14ac:dyDescent="0.25"/>
    <row r="141233" customFormat="1" x14ac:dyDescent="0.25"/>
    <row r="141234" customFormat="1" x14ac:dyDescent="0.25"/>
    <row r="141235" customFormat="1" x14ac:dyDescent="0.25"/>
    <row r="141236" customFormat="1" x14ac:dyDescent="0.25"/>
    <row r="141237" customFormat="1" x14ac:dyDescent="0.25"/>
    <row r="141238" customFormat="1" x14ac:dyDescent="0.25"/>
    <row r="141239" customFormat="1" x14ac:dyDescent="0.25"/>
    <row r="141240" customFormat="1" x14ac:dyDescent="0.25"/>
    <row r="141241" customFormat="1" x14ac:dyDescent="0.25"/>
    <row r="141242" customFormat="1" x14ac:dyDescent="0.25"/>
    <row r="141243" customFormat="1" x14ac:dyDescent="0.25"/>
    <row r="141244" customFormat="1" x14ac:dyDescent="0.25"/>
    <row r="141245" customFormat="1" x14ac:dyDescent="0.25"/>
    <row r="141246" customFormat="1" x14ac:dyDescent="0.25"/>
    <row r="141247" customFormat="1" x14ac:dyDescent="0.25"/>
    <row r="141248" customFormat="1" x14ac:dyDescent="0.25"/>
    <row r="141249" customFormat="1" x14ac:dyDescent="0.25"/>
    <row r="141250" customFormat="1" x14ac:dyDescent="0.25"/>
    <row r="141251" customFormat="1" x14ac:dyDescent="0.25"/>
    <row r="141252" customFormat="1" x14ac:dyDescent="0.25"/>
    <row r="141253" customFormat="1" x14ac:dyDescent="0.25"/>
    <row r="141254" customFormat="1" x14ac:dyDescent="0.25"/>
    <row r="141255" customFormat="1" x14ac:dyDescent="0.25"/>
    <row r="141256" customFormat="1" x14ac:dyDescent="0.25"/>
    <row r="141257" customFormat="1" x14ac:dyDescent="0.25"/>
    <row r="141258" customFormat="1" x14ac:dyDescent="0.25"/>
    <row r="141259" customFormat="1" x14ac:dyDescent="0.25"/>
    <row r="141260" customFormat="1" x14ac:dyDescent="0.25"/>
    <row r="141261" customFormat="1" x14ac:dyDescent="0.25"/>
    <row r="141262" customFormat="1" x14ac:dyDescent="0.25"/>
    <row r="141263" customFormat="1" x14ac:dyDescent="0.25"/>
    <row r="141264" customFormat="1" x14ac:dyDescent="0.25"/>
    <row r="141265" customFormat="1" x14ac:dyDescent="0.25"/>
    <row r="141266" customFormat="1" x14ac:dyDescent="0.25"/>
    <row r="141267" customFormat="1" x14ac:dyDescent="0.25"/>
    <row r="141268" customFormat="1" x14ac:dyDescent="0.25"/>
    <row r="141269" customFormat="1" x14ac:dyDescent="0.25"/>
    <row r="141270" customFormat="1" x14ac:dyDescent="0.25"/>
    <row r="141271" customFormat="1" x14ac:dyDescent="0.25"/>
    <row r="141272" customFormat="1" x14ac:dyDescent="0.25"/>
    <row r="141273" customFormat="1" x14ac:dyDescent="0.25"/>
    <row r="141274" customFormat="1" x14ac:dyDescent="0.25"/>
    <row r="141275" customFormat="1" x14ac:dyDescent="0.25"/>
    <row r="141276" customFormat="1" x14ac:dyDescent="0.25"/>
    <row r="141277" customFormat="1" x14ac:dyDescent="0.25"/>
    <row r="141278" customFormat="1" x14ac:dyDescent="0.25"/>
    <row r="141279" customFormat="1" x14ac:dyDescent="0.25"/>
    <row r="141280" customFormat="1" x14ac:dyDescent="0.25"/>
    <row r="141281" customFormat="1" x14ac:dyDescent="0.25"/>
    <row r="141282" customFormat="1" x14ac:dyDescent="0.25"/>
    <row r="141283" customFormat="1" x14ac:dyDescent="0.25"/>
    <row r="141284" customFormat="1" x14ac:dyDescent="0.25"/>
    <row r="141285" customFormat="1" x14ac:dyDescent="0.25"/>
    <row r="141286" customFormat="1" x14ac:dyDescent="0.25"/>
    <row r="141287" customFormat="1" x14ac:dyDescent="0.25"/>
    <row r="141288" customFormat="1" x14ac:dyDescent="0.25"/>
    <row r="141289" customFormat="1" x14ac:dyDescent="0.25"/>
    <row r="141290" customFormat="1" x14ac:dyDescent="0.25"/>
    <row r="141291" customFormat="1" x14ac:dyDescent="0.25"/>
    <row r="141292" customFormat="1" x14ac:dyDescent="0.25"/>
    <row r="141293" customFormat="1" x14ac:dyDescent="0.25"/>
    <row r="141294" customFormat="1" x14ac:dyDescent="0.25"/>
    <row r="141295" customFormat="1" x14ac:dyDescent="0.25"/>
    <row r="141296" customFormat="1" x14ac:dyDescent="0.25"/>
    <row r="141297" customFormat="1" x14ac:dyDescent="0.25"/>
    <row r="141298" customFormat="1" x14ac:dyDescent="0.25"/>
    <row r="141299" customFormat="1" x14ac:dyDescent="0.25"/>
    <row r="141300" customFormat="1" x14ac:dyDescent="0.25"/>
    <row r="141301" customFormat="1" x14ac:dyDescent="0.25"/>
    <row r="141302" customFormat="1" x14ac:dyDescent="0.25"/>
    <row r="141303" customFormat="1" x14ac:dyDescent="0.25"/>
    <row r="141304" customFormat="1" x14ac:dyDescent="0.25"/>
    <row r="141305" customFormat="1" x14ac:dyDescent="0.25"/>
    <row r="141306" customFormat="1" x14ac:dyDescent="0.25"/>
    <row r="141307" customFormat="1" x14ac:dyDescent="0.25"/>
    <row r="141308" customFormat="1" x14ac:dyDescent="0.25"/>
    <row r="141309" customFormat="1" x14ac:dyDescent="0.25"/>
    <row r="141310" customFormat="1" x14ac:dyDescent="0.25"/>
    <row r="141311" customFormat="1" x14ac:dyDescent="0.25"/>
    <row r="141312" customFormat="1" x14ac:dyDescent="0.25"/>
    <row r="141313" customFormat="1" x14ac:dyDescent="0.25"/>
    <row r="141314" customFormat="1" x14ac:dyDescent="0.25"/>
    <row r="141315" customFormat="1" x14ac:dyDescent="0.25"/>
    <row r="141316" customFormat="1" x14ac:dyDescent="0.25"/>
    <row r="141317" customFormat="1" x14ac:dyDescent="0.25"/>
    <row r="141318" customFormat="1" x14ac:dyDescent="0.25"/>
    <row r="141319" customFormat="1" x14ac:dyDescent="0.25"/>
    <row r="141320" customFormat="1" x14ac:dyDescent="0.25"/>
    <row r="141321" customFormat="1" x14ac:dyDescent="0.25"/>
    <row r="141322" customFormat="1" x14ac:dyDescent="0.25"/>
    <row r="141323" customFormat="1" x14ac:dyDescent="0.25"/>
    <row r="141324" customFormat="1" x14ac:dyDescent="0.25"/>
    <row r="141325" customFormat="1" x14ac:dyDescent="0.25"/>
    <row r="141326" customFormat="1" x14ac:dyDescent="0.25"/>
    <row r="141327" customFormat="1" x14ac:dyDescent="0.25"/>
    <row r="141328" customFormat="1" x14ac:dyDescent="0.25"/>
    <row r="141329" customFormat="1" x14ac:dyDescent="0.25"/>
    <row r="141330" customFormat="1" x14ac:dyDescent="0.25"/>
    <row r="141331" customFormat="1" x14ac:dyDescent="0.25"/>
    <row r="141332" customFormat="1" x14ac:dyDescent="0.25"/>
    <row r="141333" customFormat="1" x14ac:dyDescent="0.25"/>
    <row r="141334" customFormat="1" x14ac:dyDescent="0.25"/>
    <row r="141335" customFormat="1" x14ac:dyDescent="0.25"/>
    <row r="141336" customFormat="1" x14ac:dyDescent="0.25"/>
    <row r="141337" customFormat="1" x14ac:dyDescent="0.25"/>
    <row r="141338" customFormat="1" x14ac:dyDescent="0.25"/>
    <row r="141339" customFormat="1" x14ac:dyDescent="0.25"/>
    <row r="141340" customFormat="1" x14ac:dyDescent="0.25"/>
    <row r="141341" customFormat="1" x14ac:dyDescent="0.25"/>
    <row r="141342" customFormat="1" x14ac:dyDescent="0.25"/>
    <row r="141343" customFormat="1" x14ac:dyDescent="0.25"/>
    <row r="141344" customFormat="1" x14ac:dyDescent="0.25"/>
    <row r="141345" customFormat="1" x14ac:dyDescent="0.25"/>
    <row r="141346" customFormat="1" x14ac:dyDescent="0.25"/>
    <row r="141347" customFormat="1" x14ac:dyDescent="0.25"/>
    <row r="141348" customFormat="1" x14ac:dyDescent="0.25"/>
    <row r="141349" customFormat="1" x14ac:dyDescent="0.25"/>
    <row r="141350" customFormat="1" x14ac:dyDescent="0.25"/>
    <row r="141351" customFormat="1" x14ac:dyDescent="0.25"/>
    <row r="141352" customFormat="1" x14ac:dyDescent="0.25"/>
    <row r="141353" customFormat="1" x14ac:dyDescent="0.25"/>
    <row r="141354" customFormat="1" x14ac:dyDescent="0.25"/>
    <row r="141355" customFormat="1" x14ac:dyDescent="0.25"/>
    <row r="141356" customFormat="1" x14ac:dyDescent="0.25"/>
    <row r="141357" customFormat="1" x14ac:dyDescent="0.25"/>
    <row r="141358" customFormat="1" x14ac:dyDescent="0.25"/>
    <row r="141359" customFormat="1" x14ac:dyDescent="0.25"/>
    <row r="141360" customFormat="1" x14ac:dyDescent="0.25"/>
    <row r="141361" customFormat="1" x14ac:dyDescent="0.25"/>
    <row r="141362" customFormat="1" x14ac:dyDescent="0.25"/>
    <row r="141363" customFormat="1" x14ac:dyDescent="0.25"/>
    <row r="141364" customFormat="1" x14ac:dyDescent="0.25"/>
    <row r="141365" customFormat="1" x14ac:dyDescent="0.25"/>
    <row r="141366" customFormat="1" x14ac:dyDescent="0.25"/>
    <row r="141367" customFormat="1" x14ac:dyDescent="0.25"/>
    <row r="141368" customFormat="1" x14ac:dyDescent="0.25"/>
    <row r="141369" customFormat="1" x14ac:dyDescent="0.25"/>
    <row r="141370" customFormat="1" x14ac:dyDescent="0.25"/>
    <row r="141371" customFormat="1" x14ac:dyDescent="0.25"/>
    <row r="141372" customFormat="1" x14ac:dyDescent="0.25"/>
    <row r="141373" customFormat="1" x14ac:dyDescent="0.25"/>
    <row r="141374" customFormat="1" x14ac:dyDescent="0.25"/>
    <row r="141375" customFormat="1" x14ac:dyDescent="0.25"/>
    <row r="141376" customFormat="1" x14ac:dyDescent="0.25"/>
    <row r="141377" customFormat="1" x14ac:dyDescent="0.25"/>
    <row r="141378" customFormat="1" x14ac:dyDescent="0.25"/>
    <row r="141379" customFormat="1" x14ac:dyDescent="0.25"/>
    <row r="141380" customFormat="1" x14ac:dyDescent="0.25"/>
    <row r="141381" customFormat="1" x14ac:dyDescent="0.25"/>
    <row r="141382" customFormat="1" x14ac:dyDescent="0.25"/>
    <row r="141383" customFormat="1" x14ac:dyDescent="0.25"/>
    <row r="141384" customFormat="1" x14ac:dyDescent="0.25"/>
    <row r="141385" customFormat="1" x14ac:dyDescent="0.25"/>
    <row r="141386" customFormat="1" x14ac:dyDescent="0.25"/>
    <row r="141387" customFormat="1" x14ac:dyDescent="0.25"/>
    <row r="141388" customFormat="1" x14ac:dyDescent="0.25"/>
    <row r="141389" customFormat="1" x14ac:dyDescent="0.25"/>
    <row r="141390" customFormat="1" x14ac:dyDescent="0.25"/>
    <row r="141391" customFormat="1" x14ac:dyDescent="0.25"/>
    <row r="141392" customFormat="1" x14ac:dyDescent="0.25"/>
    <row r="141393" customFormat="1" x14ac:dyDescent="0.25"/>
    <row r="141394" customFormat="1" x14ac:dyDescent="0.25"/>
    <row r="141395" customFormat="1" x14ac:dyDescent="0.25"/>
    <row r="141396" customFormat="1" x14ac:dyDescent="0.25"/>
    <row r="141397" customFormat="1" x14ac:dyDescent="0.25"/>
    <row r="141398" customFormat="1" x14ac:dyDescent="0.25"/>
    <row r="141399" customFormat="1" x14ac:dyDescent="0.25"/>
    <row r="141400" customFormat="1" x14ac:dyDescent="0.25"/>
    <row r="141401" customFormat="1" x14ac:dyDescent="0.25"/>
    <row r="141402" customFormat="1" x14ac:dyDescent="0.25"/>
    <row r="141403" customFormat="1" x14ac:dyDescent="0.25"/>
    <row r="141404" customFormat="1" x14ac:dyDescent="0.25"/>
    <row r="141405" customFormat="1" x14ac:dyDescent="0.25"/>
    <row r="141406" customFormat="1" x14ac:dyDescent="0.25"/>
    <row r="141407" customFormat="1" x14ac:dyDescent="0.25"/>
    <row r="141408" customFormat="1" x14ac:dyDescent="0.25"/>
    <row r="141409" customFormat="1" x14ac:dyDescent="0.25"/>
    <row r="141410" customFormat="1" x14ac:dyDescent="0.25"/>
    <row r="141411" customFormat="1" x14ac:dyDescent="0.25"/>
    <row r="141412" customFormat="1" x14ac:dyDescent="0.25"/>
    <row r="141413" customFormat="1" x14ac:dyDescent="0.25"/>
    <row r="141414" customFormat="1" x14ac:dyDescent="0.25"/>
    <row r="141415" customFormat="1" x14ac:dyDescent="0.25"/>
    <row r="141416" customFormat="1" x14ac:dyDescent="0.25"/>
    <row r="141417" customFormat="1" x14ac:dyDescent="0.25"/>
    <row r="141418" customFormat="1" x14ac:dyDescent="0.25"/>
    <row r="141419" customFormat="1" x14ac:dyDescent="0.25"/>
    <row r="141420" customFormat="1" x14ac:dyDescent="0.25"/>
    <row r="141421" customFormat="1" x14ac:dyDescent="0.25"/>
    <row r="141422" customFormat="1" x14ac:dyDescent="0.25"/>
    <row r="141423" customFormat="1" x14ac:dyDescent="0.25"/>
    <row r="141424" customFormat="1" x14ac:dyDescent="0.25"/>
    <row r="141425" customFormat="1" x14ac:dyDescent="0.25"/>
    <row r="141426" customFormat="1" x14ac:dyDescent="0.25"/>
    <row r="141427" customFormat="1" x14ac:dyDescent="0.25"/>
    <row r="141428" customFormat="1" x14ac:dyDescent="0.25"/>
    <row r="141429" customFormat="1" x14ac:dyDescent="0.25"/>
    <row r="141430" customFormat="1" x14ac:dyDescent="0.25"/>
    <row r="141431" customFormat="1" x14ac:dyDescent="0.25"/>
    <row r="141432" customFormat="1" x14ac:dyDescent="0.25"/>
    <row r="141433" customFormat="1" x14ac:dyDescent="0.25"/>
    <row r="141434" customFormat="1" x14ac:dyDescent="0.25"/>
    <row r="141435" customFormat="1" x14ac:dyDescent="0.25"/>
    <row r="141436" customFormat="1" x14ac:dyDescent="0.25"/>
    <row r="141437" customFormat="1" x14ac:dyDescent="0.25"/>
    <row r="141438" customFormat="1" x14ac:dyDescent="0.25"/>
    <row r="141439" customFormat="1" x14ac:dyDescent="0.25"/>
    <row r="141440" customFormat="1" x14ac:dyDescent="0.25"/>
    <row r="141441" customFormat="1" x14ac:dyDescent="0.25"/>
    <row r="141442" customFormat="1" x14ac:dyDescent="0.25"/>
    <row r="141443" customFormat="1" x14ac:dyDescent="0.25"/>
    <row r="141444" customFormat="1" x14ac:dyDescent="0.25"/>
    <row r="141445" customFormat="1" x14ac:dyDescent="0.25"/>
    <row r="141446" customFormat="1" x14ac:dyDescent="0.25"/>
    <row r="141447" customFormat="1" x14ac:dyDescent="0.25"/>
    <row r="141448" customFormat="1" x14ac:dyDescent="0.25"/>
    <row r="141449" customFormat="1" x14ac:dyDescent="0.25"/>
    <row r="141450" customFormat="1" x14ac:dyDescent="0.25"/>
    <row r="141451" customFormat="1" x14ac:dyDescent="0.25"/>
    <row r="141452" customFormat="1" x14ac:dyDescent="0.25"/>
    <row r="141453" customFormat="1" x14ac:dyDescent="0.25"/>
    <row r="141454" customFormat="1" x14ac:dyDescent="0.25"/>
    <row r="141455" customFormat="1" x14ac:dyDescent="0.25"/>
    <row r="141456" customFormat="1" x14ac:dyDescent="0.25"/>
    <row r="141457" customFormat="1" x14ac:dyDescent="0.25"/>
    <row r="141458" customFormat="1" x14ac:dyDescent="0.25"/>
    <row r="141459" customFormat="1" x14ac:dyDescent="0.25"/>
    <row r="141460" customFormat="1" x14ac:dyDescent="0.25"/>
    <row r="141461" customFormat="1" x14ac:dyDescent="0.25"/>
    <row r="141462" customFormat="1" x14ac:dyDescent="0.25"/>
    <row r="141463" customFormat="1" x14ac:dyDescent="0.25"/>
    <row r="141464" customFormat="1" x14ac:dyDescent="0.25"/>
    <row r="141465" customFormat="1" x14ac:dyDescent="0.25"/>
    <row r="141466" customFormat="1" x14ac:dyDescent="0.25"/>
    <row r="141467" customFormat="1" x14ac:dyDescent="0.25"/>
    <row r="141468" customFormat="1" x14ac:dyDescent="0.25"/>
    <row r="141469" customFormat="1" x14ac:dyDescent="0.25"/>
    <row r="141470" customFormat="1" x14ac:dyDescent="0.25"/>
    <row r="141471" customFormat="1" x14ac:dyDescent="0.25"/>
    <row r="141472" customFormat="1" x14ac:dyDescent="0.25"/>
    <row r="141473" customFormat="1" x14ac:dyDescent="0.25"/>
    <row r="141474" customFormat="1" x14ac:dyDescent="0.25"/>
    <row r="141475" customFormat="1" x14ac:dyDescent="0.25"/>
    <row r="141476" customFormat="1" x14ac:dyDescent="0.25"/>
    <row r="141477" customFormat="1" x14ac:dyDescent="0.25"/>
    <row r="141478" customFormat="1" x14ac:dyDescent="0.25"/>
    <row r="141479" customFormat="1" x14ac:dyDescent="0.25"/>
    <row r="141480" customFormat="1" x14ac:dyDescent="0.25"/>
    <row r="141481" customFormat="1" x14ac:dyDescent="0.25"/>
    <row r="141482" customFormat="1" x14ac:dyDescent="0.25"/>
    <row r="141483" customFormat="1" x14ac:dyDescent="0.25"/>
    <row r="141484" customFormat="1" x14ac:dyDescent="0.25"/>
    <row r="141485" customFormat="1" x14ac:dyDescent="0.25"/>
    <row r="141486" customFormat="1" x14ac:dyDescent="0.25"/>
    <row r="141487" customFormat="1" x14ac:dyDescent="0.25"/>
    <row r="141488" customFormat="1" x14ac:dyDescent="0.25"/>
    <row r="141489" customFormat="1" x14ac:dyDescent="0.25"/>
    <row r="141490" customFormat="1" x14ac:dyDescent="0.25"/>
    <row r="141491" customFormat="1" x14ac:dyDescent="0.25"/>
    <row r="141492" customFormat="1" x14ac:dyDescent="0.25"/>
    <row r="141493" customFormat="1" x14ac:dyDescent="0.25"/>
    <row r="141494" customFormat="1" x14ac:dyDescent="0.25"/>
    <row r="141495" customFormat="1" x14ac:dyDescent="0.25"/>
    <row r="141496" customFormat="1" x14ac:dyDescent="0.25"/>
    <row r="141497" customFormat="1" x14ac:dyDescent="0.25"/>
    <row r="141498" customFormat="1" x14ac:dyDescent="0.25"/>
    <row r="141499" customFormat="1" x14ac:dyDescent="0.25"/>
    <row r="141500" customFormat="1" x14ac:dyDescent="0.25"/>
    <row r="141501" customFormat="1" x14ac:dyDescent="0.25"/>
    <row r="141502" customFormat="1" x14ac:dyDescent="0.25"/>
    <row r="141503" customFormat="1" x14ac:dyDescent="0.25"/>
    <row r="141504" customFormat="1" x14ac:dyDescent="0.25"/>
    <row r="141505" customFormat="1" x14ac:dyDescent="0.25"/>
    <row r="141506" customFormat="1" x14ac:dyDescent="0.25"/>
    <row r="141507" customFormat="1" x14ac:dyDescent="0.25"/>
    <row r="141508" customFormat="1" x14ac:dyDescent="0.25"/>
    <row r="141509" customFormat="1" x14ac:dyDescent="0.25"/>
    <row r="141510" customFormat="1" x14ac:dyDescent="0.25"/>
    <row r="141511" customFormat="1" x14ac:dyDescent="0.25"/>
    <row r="141512" customFormat="1" x14ac:dyDescent="0.25"/>
    <row r="141513" customFormat="1" x14ac:dyDescent="0.25"/>
    <row r="141514" customFormat="1" x14ac:dyDescent="0.25"/>
    <row r="141515" customFormat="1" x14ac:dyDescent="0.25"/>
    <row r="141516" customFormat="1" x14ac:dyDescent="0.25"/>
    <row r="141517" customFormat="1" x14ac:dyDescent="0.25"/>
    <row r="141518" customFormat="1" x14ac:dyDescent="0.25"/>
    <row r="141519" customFormat="1" x14ac:dyDescent="0.25"/>
    <row r="141520" customFormat="1" x14ac:dyDescent="0.25"/>
    <row r="141521" customFormat="1" x14ac:dyDescent="0.25"/>
    <row r="141522" customFormat="1" x14ac:dyDescent="0.25"/>
    <row r="141523" customFormat="1" x14ac:dyDescent="0.25"/>
    <row r="141524" customFormat="1" x14ac:dyDescent="0.25"/>
    <row r="141525" customFormat="1" x14ac:dyDescent="0.25"/>
    <row r="141526" customFormat="1" x14ac:dyDescent="0.25"/>
    <row r="141527" customFormat="1" x14ac:dyDescent="0.25"/>
    <row r="141528" customFormat="1" x14ac:dyDescent="0.25"/>
    <row r="141529" customFormat="1" x14ac:dyDescent="0.25"/>
    <row r="141530" customFormat="1" x14ac:dyDescent="0.25"/>
    <row r="141531" customFormat="1" x14ac:dyDescent="0.25"/>
    <row r="141532" customFormat="1" x14ac:dyDescent="0.25"/>
    <row r="141533" customFormat="1" x14ac:dyDescent="0.25"/>
    <row r="141534" customFormat="1" x14ac:dyDescent="0.25"/>
    <row r="141535" customFormat="1" x14ac:dyDescent="0.25"/>
    <row r="141536" customFormat="1" x14ac:dyDescent="0.25"/>
    <row r="141537" customFormat="1" x14ac:dyDescent="0.25"/>
    <row r="141538" customFormat="1" x14ac:dyDescent="0.25"/>
    <row r="141539" customFormat="1" x14ac:dyDescent="0.25"/>
    <row r="141540" customFormat="1" x14ac:dyDescent="0.25"/>
    <row r="141541" customFormat="1" x14ac:dyDescent="0.25"/>
    <row r="141542" customFormat="1" x14ac:dyDescent="0.25"/>
    <row r="141543" customFormat="1" x14ac:dyDescent="0.25"/>
    <row r="141544" customFormat="1" x14ac:dyDescent="0.25"/>
    <row r="141545" customFormat="1" x14ac:dyDescent="0.25"/>
    <row r="141546" customFormat="1" x14ac:dyDescent="0.25"/>
    <row r="141547" customFormat="1" x14ac:dyDescent="0.25"/>
    <row r="141548" customFormat="1" x14ac:dyDescent="0.25"/>
    <row r="141549" customFormat="1" x14ac:dyDescent="0.25"/>
    <row r="141550" customFormat="1" x14ac:dyDescent="0.25"/>
    <row r="141551" customFormat="1" x14ac:dyDescent="0.25"/>
    <row r="141552" customFormat="1" x14ac:dyDescent="0.25"/>
    <row r="141553" customFormat="1" x14ac:dyDescent="0.25"/>
    <row r="141554" customFormat="1" x14ac:dyDescent="0.25"/>
    <row r="141555" customFormat="1" x14ac:dyDescent="0.25"/>
    <row r="141556" customFormat="1" x14ac:dyDescent="0.25"/>
    <row r="141557" customFormat="1" x14ac:dyDescent="0.25"/>
    <row r="141558" customFormat="1" x14ac:dyDescent="0.25"/>
    <row r="141559" customFormat="1" x14ac:dyDescent="0.25"/>
    <row r="141560" customFormat="1" x14ac:dyDescent="0.25"/>
    <row r="141561" customFormat="1" x14ac:dyDescent="0.25"/>
    <row r="141562" customFormat="1" x14ac:dyDescent="0.25"/>
    <row r="141563" customFormat="1" x14ac:dyDescent="0.25"/>
    <row r="141564" customFormat="1" x14ac:dyDescent="0.25"/>
    <row r="141565" customFormat="1" x14ac:dyDescent="0.25"/>
    <row r="141566" customFormat="1" x14ac:dyDescent="0.25"/>
    <row r="141567" customFormat="1" x14ac:dyDescent="0.25"/>
    <row r="141568" customFormat="1" x14ac:dyDescent="0.25"/>
    <row r="141569" customFormat="1" x14ac:dyDescent="0.25"/>
    <row r="141570" customFormat="1" x14ac:dyDescent="0.25"/>
    <row r="141571" customFormat="1" x14ac:dyDescent="0.25"/>
    <row r="141572" customFormat="1" x14ac:dyDescent="0.25"/>
    <row r="141573" customFormat="1" x14ac:dyDescent="0.25"/>
    <row r="141574" customFormat="1" x14ac:dyDescent="0.25"/>
    <row r="141575" customFormat="1" x14ac:dyDescent="0.25"/>
    <row r="141576" customFormat="1" x14ac:dyDescent="0.25"/>
    <row r="141577" customFormat="1" x14ac:dyDescent="0.25"/>
    <row r="141578" customFormat="1" x14ac:dyDescent="0.25"/>
    <row r="141579" customFormat="1" x14ac:dyDescent="0.25"/>
    <row r="141580" customFormat="1" x14ac:dyDescent="0.25"/>
    <row r="141581" customFormat="1" x14ac:dyDescent="0.25"/>
    <row r="141582" customFormat="1" x14ac:dyDescent="0.25"/>
    <row r="141583" customFormat="1" x14ac:dyDescent="0.25"/>
    <row r="141584" customFormat="1" x14ac:dyDescent="0.25"/>
    <row r="141585" customFormat="1" x14ac:dyDescent="0.25"/>
    <row r="141586" customFormat="1" x14ac:dyDescent="0.25"/>
    <row r="141587" customFormat="1" x14ac:dyDescent="0.25"/>
    <row r="141588" customFormat="1" x14ac:dyDescent="0.25"/>
    <row r="141589" customFormat="1" x14ac:dyDescent="0.25"/>
    <row r="141590" customFormat="1" x14ac:dyDescent="0.25"/>
    <row r="141591" customFormat="1" x14ac:dyDescent="0.25"/>
    <row r="141592" customFormat="1" x14ac:dyDescent="0.25"/>
    <row r="141593" customFormat="1" x14ac:dyDescent="0.25"/>
    <row r="141594" customFormat="1" x14ac:dyDescent="0.25"/>
    <row r="141595" customFormat="1" x14ac:dyDescent="0.25"/>
    <row r="141596" customFormat="1" x14ac:dyDescent="0.25"/>
    <row r="141597" customFormat="1" x14ac:dyDescent="0.25"/>
    <row r="141598" customFormat="1" x14ac:dyDescent="0.25"/>
    <row r="141599" customFormat="1" x14ac:dyDescent="0.25"/>
    <row r="141600" customFormat="1" x14ac:dyDescent="0.25"/>
    <row r="141601" customFormat="1" x14ac:dyDescent="0.25"/>
    <row r="141602" customFormat="1" x14ac:dyDescent="0.25"/>
    <row r="141603" customFormat="1" x14ac:dyDescent="0.25"/>
    <row r="141604" customFormat="1" x14ac:dyDescent="0.25"/>
    <row r="141605" customFormat="1" x14ac:dyDescent="0.25"/>
    <row r="141606" customFormat="1" x14ac:dyDescent="0.25"/>
    <row r="141607" customFormat="1" x14ac:dyDescent="0.25"/>
    <row r="141608" customFormat="1" x14ac:dyDescent="0.25"/>
    <row r="141609" customFormat="1" x14ac:dyDescent="0.25"/>
    <row r="141610" customFormat="1" x14ac:dyDescent="0.25"/>
    <row r="141611" customFormat="1" x14ac:dyDescent="0.25"/>
    <row r="141612" customFormat="1" x14ac:dyDescent="0.25"/>
    <row r="141613" customFormat="1" x14ac:dyDescent="0.25"/>
    <row r="141614" customFormat="1" x14ac:dyDescent="0.25"/>
    <row r="141615" customFormat="1" x14ac:dyDescent="0.25"/>
    <row r="141616" customFormat="1" x14ac:dyDescent="0.25"/>
    <row r="141617" customFormat="1" x14ac:dyDescent="0.25"/>
    <row r="141618" customFormat="1" x14ac:dyDescent="0.25"/>
    <row r="141619" customFormat="1" x14ac:dyDescent="0.25"/>
    <row r="141620" customFormat="1" x14ac:dyDescent="0.25"/>
    <row r="141621" customFormat="1" x14ac:dyDescent="0.25"/>
    <row r="141622" customFormat="1" x14ac:dyDescent="0.25"/>
    <row r="141623" customFormat="1" x14ac:dyDescent="0.25"/>
    <row r="141624" customFormat="1" x14ac:dyDescent="0.25"/>
    <row r="141625" customFormat="1" x14ac:dyDescent="0.25"/>
    <row r="141626" customFormat="1" x14ac:dyDescent="0.25"/>
    <row r="141627" customFormat="1" x14ac:dyDescent="0.25"/>
    <row r="141628" customFormat="1" x14ac:dyDescent="0.25"/>
    <row r="141629" customFormat="1" x14ac:dyDescent="0.25"/>
    <row r="141630" customFormat="1" x14ac:dyDescent="0.25"/>
    <row r="141631" customFormat="1" x14ac:dyDescent="0.25"/>
    <row r="141632" customFormat="1" x14ac:dyDescent="0.25"/>
    <row r="141633" customFormat="1" x14ac:dyDescent="0.25"/>
    <row r="141634" customFormat="1" x14ac:dyDescent="0.25"/>
    <row r="141635" customFormat="1" x14ac:dyDescent="0.25"/>
    <row r="141636" customFormat="1" x14ac:dyDescent="0.25"/>
    <row r="141637" customFormat="1" x14ac:dyDescent="0.25"/>
    <row r="141638" customFormat="1" x14ac:dyDescent="0.25"/>
    <row r="141639" customFormat="1" x14ac:dyDescent="0.25"/>
    <row r="141640" customFormat="1" x14ac:dyDescent="0.25"/>
    <row r="141641" customFormat="1" x14ac:dyDescent="0.25"/>
    <row r="141642" customFormat="1" x14ac:dyDescent="0.25"/>
    <row r="141643" customFormat="1" x14ac:dyDescent="0.25"/>
    <row r="141644" customFormat="1" x14ac:dyDescent="0.25"/>
    <row r="141645" customFormat="1" x14ac:dyDescent="0.25"/>
    <row r="141646" customFormat="1" x14ac:dyDescent="0.25"/>
    <row r="141647" customFormat="1" x14ac:dyDescent="0.25"/>
    <row r="141648" customFormat="1" x14ac:dyDescent="0.25"/>
    <row r="141649" customFormat="1" x14ac:dyDescent="0.25"/>
    <row r="141650" customFormat="1" x14ac:dyDescent="0.25"/>
    <row r="141651" customFormat="1" x14ac:dyDescent="0.25"/>
    <row r="141652" customFormat="1" x14ac:dyDescent="0.25"/>
    <row r="141653" customFormat="1" x14ac:dyDescent="0.25"/>
    <row r="141654" customFormat="1" x14ac:dyDescent="0.25"/>
    <row r="141655" customFormat="1" x14ac:dyDescent="0.25"/>
    <row r="141656" customFormat="1" x14ac:dyDescent="0.25"/>
    <row r="141657" customFormat="1" x14ac:dyDescent="0.25"/>
    <row r="141658" customFormat="1" x14ac:dyDescent="0.25"/>
    <row r="141659" customFormat="1" x14ac:dyDescent="0.25"/>
    <row r="141660" customFormat="1" x14ac:dyDescent="0.25"/>
    <row r="141661" customFormat="1" x14ac:dyDescent="0.25"/>
    <row r="141662" customFormat="1" x14ac:dyDescent="0.25"/>
    <row r="141663" customFormat="1" x14ac:dyDescent="0.25"/>
    <row r="141664" customFormat="1" x14ac:dyDescent="0.25"/>
    <row r="141665" customFormat="1" x14ac:dyDescent="0.25"/>
    <row r="141666" customFormat="1" x14ac:dyDescent="0.25"/>
    <row r="141667" customFormat="1" x14ac:dyDescent="0.25"/>
    <row r="141668" customFormat="1" x14ac:dyDescent="0.25"/>
    <row r="141669" customFormat="1" x14ac:dyDescent="0.25"/>
    <row r="141670" customFormat="1" x14ac:dyDescent="0.25"/>
    <row r="141671" customFormat="1" x14ac:dyDescent="0.25"/>
    <row r="141672" customFormat="1" x14ac:dyDescent="0.25"/>
    <row r="141673" customFormat="1" x14ac:dyDescent="0.25"/>
    <row r="141674" customFormat="1" x14ac:dyDescent="0.25"/>
    <row r="141675" customFormat="1" x14ac:dyDescent="0.25"/>
    <row r="141676" customFormat="1" x14ac:dyDescent="0.25"/>
    <row r="141677" customFormat="1" x14ac:dyDescent="0.25"/>
    <row r="141678" customFormat="1" x14ac:dyDescent="0.25"/>
    <row r="141679" customFormat="1" x14ac:dyDescent="0.25"/>
    <row r="141680" customFormat="1" x14ac:dyDescent="0.25"/>
    <row r="141681" customFormat="1" x14ac:dyDescent="0.25"/>
    <row r="141682" customFormat="1" x14ac:dyDescent="0.25"/>
    <row r="141683" customFormat="1" x14ac:dyDescent="0.25"/>
    <row r="141684" customFormat="1" x14ac:dyDescent="0.25"/>
    <row r="141685" customFormat="1" x14ac:dyDescent="0.25"/>
    <row r="141686" customFormat="1" x14ac:dyDescent="0.25"/>
    <row r="141687" customFormat="1" x14ac:dyDescent="0.25"/>
    <row r="141688" customFormat="1" x14ac:dyDescent="0.25"/>
    <row r="141689" customFormat="1" x14ac:dyDescent="0.25"/>
    <row r="141690" customFormat="1" x14ac:dyDescent="0.25"/>
    <row r="141691" customFormat="1" x14ac:dyDescent="0.25"/>
    <row r="141692" customFormat="1" x14ac:dyDescent="0.25"/>
    <row r="141693" customFormat="1" x14ac:dyDescent="0.25"/>
    <row r="141694" customFormat="1" x14ac:dyDescent="0.25"/>
    <row r="141695" customFormat="1" x14ac:dyDescent="0.25"/>
    <row r="141696" customFormat="1" x14ac:dyDescent="0.25"/>
    <row r="141697" customFormat="1" x14ac:dyDescent="0.25"/>
    <row r="141698" customFormat="1" x14ac:dyDescent="0.25"/>
    <row r="141699" customFormat="1" x14ac:dyDescent="0.25"/>
    <row r="141700" customFormat="1" x14ac:dyDescent="0.25"/>
    <row r="141701" customFormat="1" x14ac:dyDescent="0.25"/>
    <row r="141702" customFormat="1" x14ac:dyDescent="0.25"/>
    <row r="141703" customFormat="1" x14ac:dyDescent="0.25"/>
    <row r="141704" customFormat="1" x14ac:dyDescent="0.25"/>
    <row r="141705" customFormat="1" x14ac:dyDescent="0.25"/>
    <row r="141706" customFormat="1" x14ac:dyDescent="0.25"/>
    <row r="141707" customFormat="1" x14ac:dyDescent="0.25"/>
    <row r="141708" customFormat="1" x14ac:dyDescent="0.25"/>
    <row r="141709" customFormat="1" x14ac:dyDescent="0.25"/>
    <row r="141710" customFormat="1" x14ac:dyDescent="0.25"/>
    <row r="141711" customFormat="1" x14ac:dyDescent="0.25"/>
    <row r="141712" customFormat="1" x14ac:dyDescent="0.25"/>
    <row r="141713" customFormat="1" x14ac:dyDescent="0.25"/>
    <row r="141714" customFormat="1" x14ac:dyDescent="0.25"/>
    <row r="141715" customFormat="1" x14ac:dyDescent="0.25"/>
    <row r="141716" customFormat="1" x14ac:dyDescent="0.25"/>
    <row r="141717" customFormat="1" x14ac:dyDescent="0.25"/>
    <row r="141718" customFormat="1" x14ac:dyDescent="0.25"/>
    <row r="141719" customFormat="1" x14ac:dyDescent="0.25"/>
    <row r="141720" customFormat="1" x14ac:dyDescent="0.25"/>
    <row r="141721" customFormat="1" x14ac:dyDescent="0.25"/>
    <row r="141722" customFormat="1" x14ac:dyDescent="0.25"/>
    <row r="141723" customFormat="1" x14ac:dyDescent="0.25"/>
    <row r="141724" customFormat="1" x14ac:dyDescent="0.25"/>
    <row r="141725" customFormat="1" x14ac:dyDescent="0.25"/>
    <row r="141726" customFormat="1" x14ac:dyDescent="0.25"/>
    <row r="141727" customFormat="1" x14ac:dyDescent="0.25"/>
    <row r="141728" customFormat="1" x14ac:dyDescent="0.25"/>
    <row r="141729" customFormat="1" x14ac:dyDescent="0.25"/>
    <row r="141730" customFormat="1" x14ac:dyDescent="0.25"/>
    <row r="141731" customFormat="1" x14ac:dyDescent="0.25"/>
    <row r="141732" customFormat="1" x14ac:dyDescent="0.25"/>
    <row r="141733" customFormat="1" x14ac:dyDescent="0.25"/>
    <row r="141734" customFormat="1" x14ac:dyDescent="0.25"/>
    <row r="141735" customFormat="1" x14ac:dyDescent="0.25"/>
    <row r="141736" customFormat="1" x14ac:dyDescent="0.25"/>
    <row r="141737" customFormat="1" x14ac:dyDescent="0.25"/>
    <row r="141738" customFormat="1" x14ac:dyDescent="0.25"/>
    <row r="141739" customFormat="1" x14ac:dyDescent="0.25"/>
    <row r="141740" customFormat="1" x14ac:dyDescent="0.25"/>
    <row r="141741" customFormat="1" x14ac:dyDescent="0.25"/>
    <row r="141742" customFormat="1" x14ac:dyDescent="0.25"/>
    <row r="141743" customFormat="1" x14ac:dyDescent="0.25"/>
    <row r="141744" customFormat="1" x14ac:dyDescent="0.25"/>
    <row r="141745" customFormat="1" x14ac:dyDescent="0.25"/>
    <row r="141746" customFormat="1" x14ac:dyDescent="0.25"/>
    <row r="141747" customFormat="1" x14ac:dyDescent="0.25"/>
    <row r="141748" customFormat="1" x14ac:dyDescent="0.25"/>
    <row r="141749" customFormat="1" x14ac:dyDescent="0.25"/>
    <row r="141750" customFormat="1" x14ac:dyDescent="0.25"/>
    <row r="141751" customFormat="1" x14ac:dyDescent="0.25"/>
    <row r="141752" customFormat="1" x14ac:dyDescent="0.25"/>
    <row r="141753" customFormat="1" x14ac:dyDescent="0.25"/>
    <row r="141754" customFormat="1" x14ac:dyDescent="0.25"/>
    <row r="141755" customFormat="1" x14ac:dyDescent="0.25"/>
    <row r="141756" customFormat="1" x14ac:dyDescent="0.25"/>
    <row r="141757" customFormat="1" x14ac:dyDescent="0.25"/>
    <row r="141758" customFormat="1" x14ac:dyDescent="0.25"/>
    <row r="141759" customFormat="1" x14ac:dyDescent="0.25"/>
    <row r="141760" customFormat="1" x14ac:dyDescent="0.25"/>
    <row r="141761" customFormat="1" x14ac:dyDescent="0.25"/>
    <row r="141762" customFormat="1" x14ac:dyDescent="0.25"/>
    <row r="141763" customFormat="1" x14ac:dyDescent="0.25"/>
    <row r="141764" customFormat="1" x14ac:dyDescent="0.25"/>
    <row r="141765" customFormat="1" x14ac:dyDescent="0.25"/>
    <row r="141766" customFormat="1" x14ac:dyDescent="0.25"/>
    <row r="141767" customFormat="1" x14ac:dyDescent="0.25"/>
    <row r="141768" customFormat="1" x14ac:dyDescent="0.25"/>
    <row r="141769" customFormat="1" x14ac:dyDescent="0.25"/>
    <row r="141770" customFormat="1" x14ac:dyDescent="0.25"/>
    <row r="141771" customFormat="1" x14ac:dyDescent="0.25"/>
    <row r="141772" customFormat="1" x14ac:dyDescent="0.25"/>
    <row r="141773" customFormat="1" x14ac:dyDescent="0.25"/>
    <row r="141774" customFormat="1" x14ac:dyDescent="0.25"/>
    <row r="141775" customFormat="1" x14ac:dyDescent="0.25"/>
    <row r="141776" customFormat="1" x14ac:dyDescent="0.25"/>
    <row r="141777" customFormat="1" x14ac:dyDescent="0.25"/>
    <row r="141778" customFormat="1" x14ac:dyDescent="0.25"/>
    <row r="141779" customFormat="1" x14ac:dyDescent="0.25"/>
    <row r="141780" customFormat="1" x14ac:dyDescent="0.25"/>
    <row r="141781" customFormat="1" x14ac:dyDescent="0.25"/>
    <row r="141782" customFormat="1" x14ac:dyDescent="0.25"/>
    <row r="141783" customFormat="1" x14ac:dyDescent="0.25"/>
    <row r="141784" customFormat="1" x14ac:dyDescent="0.25"/>
    <row r="141785" customFormat="1" x14ac:dyDescent="0.25"/>
    <row r="141786" customFormat="1" x14ac:dyDescent="0.25"/>
    <row r="141787" customFormat="1" x14ac:dyDescent="0.25"/>
    <row r="141788" customFormat="1" x14ac:dyDescent="0.25"/>
    <row r="141789" customFormat="1" x14ac:dyDescent="0.25"/>
    <row r="141790" customFormat="1" x14ac:dyDescent="0.25"/>
    <row r="141791" customFormat="1" x14ac:dyDescent="0.25"/>
    <row r="141792" customFormat="1" x14ac:dyDescent="0.25"/>
    <row r="141793" customFormat="1" x14ac:dyDescent="0.25"/>
    <row r="141794" customFormat="1" x14ac:dyDescent="0.25"/>
    <row r="141795" customFormat="1" x14ac:dyDescent="0.25"/>
    <row r="141796" customFormat="1" x14ac:dyDescent="0.25"/>
    <row r="141797" customFormat="1" x14ac:dyDescent="0.25"/>
    <row r="141798" customFormat="1" x14ac:dyDescent="0.25"/>
    <row r="141799" customFormat="1" x14ac:dyDescent="0.25"/>
    <row r="141800" customFormat="1" x14ac:dyDescent="0.25"/>
    <row r="141801" customFormat="1" x14ac:dyDescent="0.25"/>
    <row r="141802" customFormat="1" x14ac:dyDescent="0.25"/>
    <row r="141803" customFormat="1" x14ac:dyDescent="0.25"/>
    <row r="141804" customFormat="1" x14ac:dyDescent="0.25"/>
    <row r="141805" customFormat="1" x14ac:dyDescent="0.25"/>
    <row r="141806" customFormat="1" x14ac:dyDescent="0.25"/>
    <row r="141807" customFormat="1" x14ac:dyDescent="0.25"/>
    <row r="141808" customFormat="1" x14ac:dyDescent="0.25"/>
    <row r="141809" customFormat="1" x14ac:dyDescent="0.25"/>
    <row r="141810" customFormat="1" x14ac:dyDescent="0.25"/>
    <row r="141811" customFormat="1" x14ac:dyDescent="0.25"/>
    <row r="141812" customFormat="1" x14ac:dyDescent="0.25"/>
    <row r="141813" customFormat="1" x14ac:dyDescent="0.25"/>
    <row r="141814" customFormat="1" x14ac:dyDescent="0.25"/>
    <row r="141815" customFormat="1" x14ac:dyDescent="0.25"/>
    <row r="141816" customFormat="1" x14ac:dyDescent="0.25"/>
    <row r="141817" customFormat="1" x14ac:dyDescent="0.25"/>
    <row r="141818" customFormat="1" x14ac:dyDescent="0.25"/>
    <row r="141819" customFormat="1" x14ac:dyDescent="0.25"/>
    <row r="141820" customFormat="1" x14ac:dyDescent="0.25"/>
    <row r="141821" customFormat="1" x14ac:dyDescent="0.25"/>
    <row r="141822" customFormat="1" x14ac:dyDescent="0.25"/>
    <row r="141823" customFormat="1" x14ac:dyDescent="0.25"/>
    <row r="141824" customFormat="1" x14ac:dyDescent="0.25"/>
    <row r="141825" customFormat="1" x14ac:dyDescent="0.25"/>
    <row r="141826" customFormat="1" x14ac:dyDescent="0.25"/>
    <row r="141827" customFormat="1" x14ac:dyDescent="0.25"/>
    <row r="141828" customFormat="1" x14ac:dyDescent="0.25"/>
    <row r="141829" customFormat="1" x14ac:dyDescent="0.25"/>
    <row r="141830" customFormat="1" x14ac:dyDescent="0.25"/>
    <row r="141831" customFormat="1" x14ac:dyDescent="0.25"/>
    <row r="141832" customFormat="1" x14ac:dyDescent="0.25"/>
    <row r="141833" customFormat="1" x14ac:dyDescent="0.25"/>
    <row r="141834" customFormat="1" x14ac:dyDescent="0.25"/>
    <row r="141835" customFormat="1" x14ac:dyDescent="0.25"/>
    <row r="141836" customFormat="1" x14ac:dyDescent="0.25"/>
    <row r="141837" customFormat="1" x14ac:dyDescent="0.25"/>
    <row r="141838" customFormat="1" x14ac:dyDescent="0.25"/>
    <row r="141839" customFormat="1" x14ac:dyDescent="0.25"/>
    <row r="141840" customFormat="1" x14ac:dyDescent="0.25"/>
    <row r="141841" customFormat="1" x14ac:dyDescent="0.25"/>
    <row r="141842" customFormat="1" x14ac:dyDescent="0.25"/>
    <row r="141843" customFormat="1" x14ac:dyDescent="0.25"/>
    <row r="141844" customFormat="1" x14ac:dyDescent="0.25"/>
    <row r="141845" customFormat="1" x14ac:dyDescent="0.25"/>
    <row r="141846" customFormat="1" x14ac:dyDescent="0.25"/>
    <row r="141847" customFormat="1" x14ac:dyDescent="0.25"/>
    <row r="141848" customFormat="1" x14ac:dyDescent="0.25"/>
    <row r="141849" customFormat="1" x14ac:dyDescent="0.25"/>
    <row r="141850" customFormat="1" x14ac:dyDescent="0.25"/>
    <row r="141851" customFormat="1" x14ac:dyDescent="0.25"/>
    <row r="141852" customFormat="1" x14ac:dyDescent="0.25"/>
    <row r="141853" customFormat="1" x14ac:dyDescent="0.25"/>
    <row r="141854" customFormat="1" x14ac:dyDescent="0.25"/>
    <row r="141855" customFormat="1" x14ac:dyDescent="0.25"/>
    <row r="141856" customFormat="1" x14ac:dyDescent="0.25"/>
    <row r="141857" customFormat="1" x14ac:dyDescent="0.25"/>
    <row r="141858" customFormat="1" x14ac:dyDescent="0.25"/>
    <row r="141859" customFormat="1" x14ac:dyDescent="0.25"/>
    <row r="141860" customFormat="1" x14ac:dyDescent="0.25"/>
    <row r="141861" customFormat="1" x14ac:dyDescent="0.25"/>
    <row r="141862" customFormat="1" x14ac:dyDescent="0.25"/>
    <row r="141863" customFormat="1" x14ac:dyDescent="0.25"/>
    <row r="141864" customFormat="1" x14ac:dyDescent="0.25"/>
    <row r="141865" customFormat="1" x14ac:dyDescent="0.25"/>
    <row r="141866" customFormat="1" x14ac:dyDescent="0.25"/>
    <row r="141867" customFormat="1" x14ac:dyDescent="0.25"/>
    <row r="141868" customFormat="1" x14ac:dyDescent="0.25"/>
    <row r="141869" customFormat="1" x14ac:dyDescent="0.25"/>
    <row r="141870" customFormat="1" x14ac:dyDescent="0.25"/>
    <row r="141871" customFormat="1" x14ac:dyDescent="0.25"/>
    <row r="141872" customFormat="1" x14ac:dyDescent="0.25"/>
    <row r="141873" customFormat="1" x14ac:dyDescent="0.25"/>
    <row r="141874" customFormat="1" x14ac:dyDescent="0.25"/>
    <row r="141875" customFormat="1" x14ac:dyDescent="0.25"/>
    <row r="141876" customFormat="1" x14ac:dyDescent="0.25"/>
    <row r="141877" customFormat="1" x14ac:dyDescent="0.25"/>
    <row r="141878" customFormat="1" x14ac:dyDescent="0.25"/>
    <row r="141879" customFormat="1" x14ac:dyDescent="0.25"/>
    <row r="141880" customFormat="1" x14ac:dyDescent="0.25"/>
    <row r="141881" customFormat="1" x14ac:dyDescent="0.25"/>
    <row r="141882" customFormat="1" x14ac:dyDescent="0.25"/>
    <row r="141883" customFormat="1" x14ac:dyDescent="0.25"/>
    <row r="141884" customFormat="1" x14ac:dyDescent="0.25"/>
    <row r="141885" customFormat="1" x14ac:dyDescent="0.25"/>
    <row r="141886" customFormat="1" x14ac:dyDescent="0.25"/>
    <row r="141887" customFormat="1" x14ac:dyDescent="0.25"/>
    <row r="141888" customFormat="1" x14ac:dyDescent="0.25"/>
    <row r="141889" customFormat="1" x14ac:dyDescent="0.25"/>
    <row r="141890" customFormat="1" x14ac:dyDescent="0.25"/>
    <row r="141891" customFormat="1" x14ac:dyDescent="0.25"/>
    <row r="141892" customFormat="1" x14ac:dyDescent="0.25"/>
    <row r="141893" customFormat="1" x14ac:dyDescent="0.25"/>
    <row r="141894" customFormat="1" x14ac:dyDescent="0.25"/>
    <row r="141895" customFormat="1" x14ac:dyDescent="0.25"/>
    <row r="141896" customFormat="1" x14ac:dyDescent="0.25"/>
    <row r="141897" customFormat="1" x14ac:dyDescent="0.25"/>
    <row r="141898" customFormat="1" x14ac:dyDescent="0.25"/>
    <row r="141899" customFormat="1" x14ac:dyDescent="0.25"/>
    <row r="141900" customFormat="1" x14ac:dyDescent="0.25"/>
    <row r="141901" customFormat="1" x14ac:dyDescent="0.25"/>
    <row r="141902" customFormat="1" x14ac:dyDescent="0.25"/>
    <row r="141903" customFormat="1" x14ac:dyDescent="0.25"/>
    <row r="141904" customFormat="1" x14ac:dyDescent="0.25"/>
    <row r="141905" customFormat="1" x14ac:dyDescent="0.25"/>
    <row r="141906" customFormat="1" x14ac:dyDescent="0.25"/>
    <row r="141907" customFormat="1" x14ac:dyDescent="0.25"/>
    <row r="141908" customFormat="1" x14ac:dyDescent="0.25"/>
    <row r="141909" customFormat="1" x14ac:dyDescent="0.25"/>
    <row r="141910" customFormat="1" x14ac:dyDescent="0.25"/>
    <row r="141911" customFormat="1" x14ac:dyDescent="0.25"/>
    <row r="141912" customFormat="1" x14ac:dyDescent="0.25"/>
    <row r="141913" customFormat="1" x14ac:dyDescent="0.25"/>
    <row r="141914" customFormat="1" x14ac:dyDescent="0.25"/>
    <row r="141915" customFormat="1" x14ac:dyDescent="0.25"/>
    <row r="141916" customFormat="1" x14ac:dyDescent="0.25"/>
    <row r="141917" customFormat="1" x14ac:dyDescent="0.25"/>
    <row r="141918" customFormat="1" x14ac:dyDescent="0.25"/>
    <row r="141919" customFormat="1" x14ac:dyDescent="0.25"/>
    <row r="141920" customFormat="1" x14ac:dyDescent="0.25"/>
    <row r="141921" customFormat="1" x14ac:dyDescent="0.25"/>
    <row r="141922" customFormat="1" x14ac:dyDescent="0.25"/>
    <row r="141923" customFormat="1" x14ac:dyDescent="0.25"/>
    <row r="141924" customFormat="1" x14ac:dyDescent="0.25"/>
    <row r="141925" customFormat="1" x14ac:dyDescent="0.25"/>
    <row r="141926" customFormat="1" x14ac:dyDescent="0.25"/>
    <row r="141927" customFormat="1" x14ac:dyDescent="0.25"/>
    <row r="141928" customFormat="1" x14ac:dyDescent="0.25"/>
    <row r="141929" customFormat="1" x14ac:dyDescent="0.25"/>
    <row r="141930" customFormat="1" x14ac:dyDescent="0.25"/>
    <row r="141931" customFormat="1" x14ac:dyDescent="0.25"/>
    <row r="141932" customFormat="1" x14ac:dyDescent="0.25"/>
    <row r="141933" customFormat="1" x14ac:dyDescent="0.25"/>
    <row r="141934" customFormat="1" x14ac:dyDescent="0.25"/>
    <row r="141935" customFormat="1" x14ac:dyDescent="0.25"/>
    <row r="141936" customFormat="1" x14ac:dyDescent="0.25"/>
    <row r="141937" customFormat="1" x14ac:dyDescent="0.25"/>
    <row r="141938" customFormat="1" x14ac:dyDescent="0.25"/>
    <row r="141939" customFormat="1" x14ac:dyDescent="0.25"/>
    <row r="141940" customFormat="1" x14ac:dyDescent="0.25"/>
    <row r="141941" customFormat="1" x14ac:dyDescent="0.25"/>
    <row r="141942" customFormat="1" x14ac:dyDescent="0.25"/>
    <row r="141943" customFormat="1" x14ac:dyDescent="0.25"/>
    <row r="141944" customFormat="1" x14ac:dyDescent="0.25"/>
    <row r="141945" customFormat="1" x14ac:dyDescent="0.25"/>
    <row r="141946" customFormat="1" x14ac:dyDescent="0.25"/>
    <row r="141947" customFormat="1" x14ac:dyDescent="0.25"/>
    <row r="141948" customFormat="1" x14ac:dyDescent="0.25"/>
    <row r="141949" customFormat="1" x14ac:dyDescent="0.25"/>
    <row r="141950" customFormat="1" x14ac:dyDescent="0.25"/>
    <row r="141951" customFormat="1" x14ac:dyDescent="0.25"/>
    <row r="141952" customFormat="1" x14ac:dyDescent="0.25"/>
    <row r="141953" customFormat="1" x14ac:dyDescent="0.25"/>
    <row r="141954" customFormat="1" x14ac:dyDescent="0.25"/>
    <row r="141955" customFormat="1" x14ac:dyDescent="0.25"/>
    <row r="141956" customFormat="1" x14ac:dyDescent="0.25"/>
    <row r="141957" customFormat="1" x14ac:dyDescent="0.25"/>
    <row r="141958" customFormat="1" x14ac:dyDescent="0.25"/>
    <row r="141959" customFormat="1" x14ac:dyDescent="0.25"/>
    <row r="141960" customFormat="1" x14ac:dyDescent="0.25"/>
    <row r="141961" customFormat="1" x14ac:dyDescent="0.25"/>
    <row r="141962" customFormat="1" x14ac:dyDescent="0.25"/>
    <row r="141963" customFormat="1" x14ac:dyDescent="0.25"/>
    <row r="141964" customFormat="1" x14ac:dyDescent="0.25"/>
    <row r="141965" customFormat="1" x14ac:dyDescent="0.25"/>
    <row r="141966" customFormat="1" x14ac:dyDescent="0.25"/>
    <row r="141967" customFormat="1" x14ac:dyDescent="0.25"/>
    <row r="141968" customFormat="1" x14ac:dyDescent="0.25"/>
    <row r="141969" customFormat="1" x14ac:dyDescent="0.25"/>
    <row r="141970" customFormat="1" x14ac:dyDescent="0.25"/>
    <row r="141971" customFormat="1" x14ac:dyDescent="0.25"/>
    <row r="141972" customFormat="1" x14ac:dyDescent="0.25"/>
    <row r="141973" customFormat="1" x14ac:dyDescent="0.25"/>
    <row r="141974" customFormat="1" x14ac:dyDescent="0.25"/>
    <row r="141975" customFormat="1" x14ac:dyDescent="0.25"/>
    <row r="141976" customFormat="1" x14ac:dyDescent="0.25"/>
    <row r="141977" customFormat="1" x14ac:dyDescent="0.25"/>
    <row r="141978" customFormat="1" x14ac:dyDescent="0.25"/>
    <row r="141979" customFormat="1" x14ac:dyDescent="0.25"/>
    <row r="141980" customFormat="1" x14ac:dyDescent="0.25"/>
    <row r="141981" customFormat="1" x14ac:dyDescent="0.25"/>
    <row r="141982" customFormat="1" x14ac:dyDescent="0.25"/>
    <row r="141983" customFormat="1" x14ac:dyDescent="0.25"/>
    <row r="141984" customFormat="1" x14ac:dyDescent="0.25"/>
    <row r="141985" customFormat="1" x14ac:dyDescent="0.25"/>
    <row r="141986" customFormat="1" x14ac:dyDescent="0.25"/>
    <row r="141987" customFormat="1" x14ac:dyDescent="0.25"/>
    <row r="141988" customFormat="1" x14ac:dyDescent="0.25"/>
    <row r="141989" customFormat="1" x14ac:dyDescent="0.25"/>
    <row r="141990" customFormat="1" x14ac:dyDescent="0.25"/>
    <row r="141991" customFormat="1" x14ac:dyDescent="0.25"/>
    <row r="141992" customFormat="1" x14ac:dyDescent="0.25"/>
    <row r="141993" customFormat="1" x14ac:dyDescent="0.25"/>
    <row r="141994" customFormat="1" x14ac:dyDescent="0.25"/>
    <row r="141995" customFormat="1" x14ac:dyDescent="0.25"/>
    <row r="141996" customFormat="1" x14ac:dyDescent="0.25"/>
    <row r="141997" customFormat="1" x14ac:dyDescent="0.25"/>
    <row r="141998" customFormat="1" x14ac:dyDescent="0.25"/>
    <row r="141999" customFormat="1" x14ac:dyDescent="0.25"/>
    <row r="142000" customFormat="1" x14ac:dyDescent="0.25"/>
    <row r="142001" customFormat="1" x14ac:dyDescent="0.25"/>
    <row r="142002" customFormat="1" x14ac:dyDescent="0.25"/>
    <row r="142003" customFormat="1" x14ac:dyDescent="0.25"/>
    <row r="142004" customFormat="1" x14ac:dyDescent="0.25"/>
    <row r="142005" customFormat="1" x14ac:dyDescent="0.25"/>
    <row r="142006" customFormat="1" x14ac:dyDescent="0.25"/>
    <row r="142007" customFormat="1" x14ac:dyDescent="0.25"/>
    <row r="142008" customFormat="1" x14ac:dyDescent="0.25"/>
    <row r="142009" customFormat="1" x14ac:dyDescent="0.25"/>
    <row r="142010" customFormat="1" x14ac:dyDescent="0.25"/>
    <row r="142011" customFormat="1" x14ac:dyDescent="0.25"/>
    <row r="142012" customFormat="1" x14ac:dyDescent="0.25"/>
    <row r="142013" customFormat="1" x14ac:dyDescent="0.25"/>
    <row r="142014" customFormat="1" x14ac:dyDescent="0.25"/>
    <row r="142015" customFormat="1" x14ac:dyDescent="0.25"/>
    <row r="142016" customFormat="1" x14ac:dyDescent="0.25"/>
    <row r="142017" customFormat="1" x14ac:dyDescent="0.25"/>
    <row r="142018" customFormat="1" x14ac:dyDescent="0.25"/>
    <row r="142019" customFormat="1" x14ac:dyDescent="0.25"/>
    <row r="142020" customFormat="1" x14ac:dyDescent="0.25"/>
    <row r="142021" customFormat="1" x14ac:dyDescent="0.25"/>
    <row r="142022" customFormat="1" x14ac:dyDescent="0.25"/>
    <row r="142023" customFormat="1" x14ac:dyDescent="0.25"/>
    <row r="142024" customFormat="1" x14ac:dyDescent="0.25"/>
    <row r="142025" customFormat="1" x14ac:dyDescent="0.25"/>
    <row r="142026" customFormat="1" x14ac:dyDescent="0.25"/>
    <row r="142027" customFormat="1" x14ac:dyDescent="0.25"/>
    <row r="142028" customFormat="1" x14ac:dyDescent="0.25"/>
    <row r="142029" customFormat="1" x14ac:dyDescent="0.25"/>
    <row r="142030" customFormat="1" x14ac:dyDescent="0.25"/>
    <row r="142031" customFormat="1" x14ac:dyDescent="0.25"/>
    <row r="142032" customFormat="1" x14ac:dyDescent="0.25"/>
    <row r="142033" customFormat="1" x14ac:dyDescent="0.25"/>
    <row r="142034" customFormat="1" x14ac:dyDescent="0.25"/>
    <row r="142035" customFormat="1" x14ac:dyDescent="0.25"/>
    <row r="142036" customFormat="1" x14ac:dyDescent="0.25"/>
    <row r="142037" customFormat="1" x14ac:dyDescent="0.25"/>
    <row r="142038" customFormat="1" x14ac:dyDescent="0.25"/>
    <row r="142039" customFormat="1" x14ac:dyDescent="0.25"/>
    <row r="142040" customFormat="1" x14ac:dyDescent="0.25"/>
    <row r="142041" customFormat="1" x14ac:dyDescent="0.25"/>
    <row r="142042" customFormat="1" x14ac:dyDescent="0.25"/>
    <row r="142043" customFormat="1" x14ac:dyDescent="0.25"/>
    <row r="142044" customFormat="1" x14ac:dyDescent="0.25"/>
    <row r="142045" customFormat="1" x14ac:dyDescent="0.25"/>
    <row r="142046" customFormat="1" x14ac:dyDescent="0.25"/>
    <row r="142047" customFormat="1" x14ac:dyDescent="0.25"/>
    <row r="142048" customFormat="1" x14ac:dyDescent="0.25"/>
    <row r="142049" customFormat="1" x14ac:dyDescent="0.25"/>
    <row r="142050" customFormat="1" x14ac:dyDescent="0.25"/>
    <row r="142051" customFormat="1" x14ac:dyDescent="0.25"/>
    <row r="142052" customFormat="1" x14ac:dyDescent="0.25"/>
    <row r="142053" customFormat="1" x14ac:dyDescent="0.25"/>
    <row r="142054" customFormat="1" x14ac:dyDescent="0.25"/>
    <row r="142055" customFormat="1" x14ac:dyDescent="0.25"/>
    <row r="142056" customFormat="1" x14ac:dyDescent="0.25"/>
    <row r="142057" customFormat="1" x14ac:dyDescent="0.25"/>
    <row r="142058" customFormat="1" x14ac:dyDescent="0.25"/>
    <row r="142059" customFormat="1" x14ac:dyDescent="0.25"/>
    <row r="142060" customFormat="1" x14ac:dyDescent="0.25"/>
    <row r="142061" customFormat="1" x14ac:dyDescent="0.25"/>
    <row r="142062" customFormat="1" x14ac:dyDescent="0.25"/>
    <row r="142063" customFormat="1" x14ac:dyDescent="0.25"/>
    <row r="142064" customFormat="1" x14ac:dyDescent="0.25"/>
    <row r="142065" customFormat="1" x14ac:dyDescent="0.25"/>
    <row r="142066" customFormat="1" x14ac:dyDescent="0.25"/>
    <row r="142067" customFormat="1" x14ac:dyDescent="0.25"/>
    <row r="142068" customFormat="1" x14ac:dyDescent="0.25"/>
    <row r="142069" customFormat="1" x14ac:dyDescent="0.25"/>
    <row r="142070" customFormat="1" x14ac:dyDescent="0.25"/>
    <row r="142071" customFormat="1" x14ac:dyDescent="0.25"/>
    <row r="142072" customFormat="1" x14ac:dyDescent="0.25"/>
    <row r="142073" customFormat="1" x14ac:dyDescent="0.25"/>
    <row r="142074" customFormat="1" x14ac:dyDescent="0.25"/>
    <row r="142075" customFormat="1" x14ac:dyDescent="0.25"/>
    <row r="142076" customFormat="1" x14ac:dyDescent="0.25"/>
    <row r="142077" customFormat="1" x14ac:dyDescent="0.25"/>
    <row r="142078" customFormat="1" x14ac:dyDescent="0.25"/>
    <row r="142079" customFormat="1" x14ac:dyDescent="0.25"/>
    <row r="142080" customFormat="1" x14ac:dyDescent="0.25"/>
    <row r="142081" customFormat="1" x14ac:dyDescent="0.25"/>
    <row r="142082" customFormat="1" x14ac:dyDescent="0.25"/>
    <row r="142083" customFormat="1" x14ac:dyDescent="0.25"/>
    <row r="142084" customFormat="1" x14ac:dyDescent="0.25"/>
    <row r="142085" customFormat="1" x14ac:dyDescent="0.25"/>
    <row r="142086" customFormat="1" x14ac:dyDescent="0.25"/>
    <row r="142087" customFormat="1" x14ac:dyDescent="0.25"/>
    <row r="142088" customFormat="1" x14ac:dyDescent="0.25"/>
    <row r="142089" customFormat="1" x14ac:dyDescent="0.25"/>
    <row r="142090" customFormat="1" x14ac:dyDescent="0.25"/>
    <row r="142091" customFormat="1" x14ac:dyDescent="0.25"/>
    <row r="142092" customFormat="1" x14ac:dyDescent="0.25"/>
    <row r="142093" customFormat="1" x14ac:dyDescent="0.25"/>
    <row r="142094" customFormat="1" x14ac:dyDescent="0.25"/>
    <row r="142095" customFormat="1" x14ac:dyDescent="0.25"/>
    <row r="142096" customFormat="1" x14ac:dyDescent="0.25"/>
    <row r="142097" customFormat="1" x14ac:dyDescent="0.25"/>
    <row r="142098" customFormat="1" x14ac:dyDescent="0.25"/>
    <row r="142099" customFormat="1" x14ac:dyDescent="0.25"/>
    <row r="142100" customFormat="1" x14ac:dyDescent="0.25"/>
    <row r="142101" customFormat="1" x14ac:dyDescent="0.25"/>
    <row r="142102" customFormat="1" x14ac:dyDescent="0.25"/>
    <row r="142103" customFormat="1" x14ac:dyDescent="0.25"/>
    <row r="142104" customFormat="1" x14ac:dyDescent="0.25"/>
    <row r="142105" customFormat="1" x14ac:dyDescent="0.25"/>
    <row r="142106" customFormat="1" x14ac:dyDescent="0.25"/>
    <row r="142107" customFormat="1" x14ac:dyDescent="0.25"/>
    <row r="142108" customFormat="1" x14ac:dyDescent="0.25"/>
    <row r="142109" customFormat="1" x14ac:dyDescent="0.25"/>
    <row r="142110" customFormat="1" x14ac:dyDescent="0.25"/>
    <row r="142111" customFormat="1" x14ac:dyDescent="0.25"/>
    <row r="142112" customFormat="1" x14ac:dyDescent="0.25"/>
    <row r="142113" customFormat="1" x14ac:dyDescent="0.25"/>
    <row r="142114" customFormat="1" x14ac:dyDescent="0.25"/>
    <row r="142115" customFormat="1" x14ac:dyDescent="0.25"/>
    <row r="142116" customFormat="1" x14ac:dyDescent="0.25"/>
    <row r="142117" customFormat="1" x14ac:dyDescent="0.25"/>
    <row r="142118" customFormat="1" x14ac:dyDescent="0.25"/>
    <row r="142119" customFormat="1" x14ac:dyDescent="0.25"/>
    <row r="142120" customFormat="1" x14ac:dyDescent="0.25"/>
    <row r="142121" customFormat="1" x14ac:dyDescent="0.25"/>
    <row r="142122" customFormat="1" x14ac:dyDescent="0.25"/>
    <row r="142123" customFormat="1" x14ac:dyDescent="0.25"/>
    <row r="142124" customFormat="1" x14ac:dyDescent="0.25"/>
    <row r="142125" customFormat="1" x14ac:dyDescent="0.25"/>
    <row r="142126" customFormat="1" x14ac:dyDescent="0.25"/>
    <row r="142127" customFormat="1" x14ac:dyDescent="0.25"/>
    <row r="142128" customFormat="1" x14ac:dyDescent="0.25"/>
    <row r="142129" customFormat="1" x14ac:dyDescent="0.25"/>
    <row r="142130" customFormat="1" x14ac:dyDescent="0.25"/>
    <row r="142131" customFormat="1" x14ac:dyDescent="0.25"/>
    <row r="142132" customFormat="1" x14ac:dyDescent="0.25"/>
    <row r="142133" customFormat="1" x14ac:dyDescent="0.25"/>
    <row r="142134" customFormat="1" x14ac:dyDescent="0.25"/>
    <row r="142135" customFormat="1" x14ac:dyDescent="0.25"/>
    <row r="142136" customFormat="1" x14ac:dyDescent="0.25"/>
    <row r="142137" customFormat="1" x14ac:dyDescent="0.25"/>
    <row r="142138" customFormat="1" x14ac:dyDescent="0.25"/>
    <row r="142139" customFormat="1" x14ac:dyDescent="0.25"/>
    <row r="142140" customFormat="1" x14ac:dyDescent="0.25"/>
    <row r="142141" customFormat="1" x14ac:dyDescent="0.25"/>
    <row r="142142" customFormat="1" x14ac:dyDescent="0.25"/>
    <row r="142143" customFormat="1" x14ac:dyDescent="0.25"/>
    <row r="142144" customFormat="1" x14ac:dyDescent="0.25"/>
    <row r="142145" customFormat="1" x14ac:dyDescent="0.25"/>
    <row r="142146" customFormat="1" x14ac:dyDescent="0.25"/>
    <row r="142147" customFormat="1" x14ac:dyDescent="0.25"/>
    <row r="142148" customFormat="1" x14ac:dyDescent="0.25"/>
    <row r="142149" customFormat="1" x14ac:dyDescent="0.25"/>
    <row r="142150" customFormat="1" x14ac:dyDescent="0.25"/>
    <row r="142151" customFormat="1" x14ac:dyDescent="0.25"/>
    <row r="142152" customFormat="1" x14ac:dyDescent="0.25"/>
    <row r="142153" customFormat="1" x14ac:dyDescent="0.25"/>
    <row r="142154" customFormat="1" x14ac:dyDescent="0.25"/>
    <row r="142155" customFormat="1" x14ac:dyDescent="0.25"/>
    <row r="142156" customFormat="1" x14ac:dyDescent="0.25"/>
    <row r="142157" customFormat="1" x14ac:dyDescent="0.25"/>
    <row r="142158" customFormat="1" x14ac:dyDescent="0.25"/>
    <row r="142159" customFormat="1" x14ac:dyDescent="0.25"/>
    <row r="142160" customFormat="1" x14ac:dyDescent="0.25"/>
    <row r="142161" customFormat="1" x14ac:dyDescent="0.25"/>
    <row r="142162" customFormat="1" x14ac:dyDescent="0.25"/>
    <row r="142163" customFormat="1" x14ac:dyDescent="0.25"/>
    <row r="142164" customFormat="1" x14ac:dyDescent="0.25"/>
    <row r="142165" customFormat="1" x14ac:dyDescent="0.25"/>
    <row r="142166" customFormat="1" x14ac:dyDescent="0.25"/>
    <row r="142167" customFormat="1" x14ac:dyDescent="0.25"/>
    <row r="142168" customFormat="1" x14ac:dyDescent="0.25"/>
    <row r="142169" customFormat="1" x14ac:dyDescent="0.25"/>
    <row r="142170" customFormat="1" x14ac:dyDescent="0.25"/>
    <row r="142171" customFormat="1" x14ac:dyDescent="0.25"/>
    <row r="142172" customFormat="1" x14ac:dyDescent="0.25"/>
    <row r="142173" customFormat="1" x14ac:dyDescent="0.25"/>
    <row r="142174" customFormat="1" x14ac:dyDescent="0.25"/>
    <row r="142175" customFormat="1" x14ac:dyDescent="0.25"/>
    <row r="142176" customFormat="1" x14ac:dyDescent="0.25"/>
    <row r="142177" customFormat="1" x14ac:dyDescent="0.25"/>
    <row r="142178" customFormat="1" x14ac:dyDescent="0.25"/>
    <row r="142179" customFormat="1" x14ac:dyDescent="0.25"/>
    <row r="142180" customFormat="1" x14ac:dyDescent="0.25"/>
    <row r="142181" customFormat="1" x14ac:dyDescent="0.25"/>
    <row r="142182" customFormat="1" x14ac:dyDescent="0.25"/>
    <row r="142183" customFormat="1" x14ac:dyDescent="0.25"/>
    <row r="142184" customFormat="1" x14ac:dyDescent="0.25"/>
    <row r="142185" customFormat="1" x14ac:dyDescent="0.25"/>
    <row r="142186" customFormat="1" x14ac:dyDescent="0.25"/>
    <row r="142187" customFormat="1" x14ac:dyDescent="0.25"/>
    <row r="142188" customFormat="1" x14ac:dyDescent="0.25"/>
    <row r="142189" customFormat="1" x14ac:dyDescent="0.25"/>
    <row r="142190" customFormat="1" x14ac:dyDescent="0.25"/>
    <row r="142191" customFormat="1" x14ac:dyDescent="0.25"/>
    <row r="142192" customFormat="1" x14ac:dyDescent="0.25"/>
    <row r="142193" customFormat="1" x14ac:dyDescent="0.25"/>
    <row r="142194" customFormat="1" x14ac:dyDescent="0.25"/>
    <row r="142195" customFormat="1" x14ac:dyDescent="0.25"/>
    <row r="142196" customFormat="1" x14ac:dyDescent="0.25"/>
    <row r="142197" customFormat="1" x14ac:dyDescent="0.25"/>
    <row r="142198" customFormat="1" x14ac:dyDescent="0.25"/>
    <row r="142199" customFormat="1" x14ac:dyDescent="0.25"/>
    <row r="142200" customFormat="1" x14ac:dyDescent="0.25"/>
    <row r="142201" customFormat="1" x14ac:dyDescent="0.25"/>
    <row r="142202" customFormat="1" x14ac:dyDescent="0.25"/>
    <row r="142203" customFormat="1" x14ac:dyDescent="0.25"/>
    <row r="142204" customFormat="1" x14ac:dyDescent="0.25"/>
    <row r="142205" customFormat="1" x14ac:dyDescent="0.25"/>
    <row r="142206" customFormat="1" x14ac:dyDescent="0.25"/>
    <row r="142207" customFormat="1" x14ac:dyDescent="0.25"/>
    <row r="142208" customFormat="1" x14ac:dyDescent="0.25"/>
    <row r="142209" customFormat="1" x14ac:dyDescent="0.25"/>
    <row r="142210" customFormat="1" x14ac:dyDescent="0.25"/>
    <row r="142211" customFormat="1" x14ac:dyDescent="0.25"/>
    <row r="142212" customFormat="1" x14ac:dyDescent="0.25"/>
    <row r="142213" customFormat="1" x14ac:dyDescent="0.25"/>
    <row r="142214" customFormat="1" x14ac:dyDescent="0.25"/>
    <row r="142215" customFormat="1" x14ac:dyDescent="0.25"/>
    <row r="142216" customFormat="1" x14ac:dyDescent="0.25"/>
    <row r="142217" customFormat="1" x14ac:dyDescent="0.25"/>
    <row r="142218" customFormat="1" x14ac:dyDescent="0.25"/>
    <row r="142219" customFormat="1" x14ac:dyDescent="0.25"/>
    <row r="142220" customFormat="1" x14ac:dyDescent="0.25"/>
    <row r="142221" customFormat="1" x14ac:dyDescent="0.25"/>
    <row r="142222" customFormat="1" x14ac:dyDescent="0.25"/>
    <row r="142223" customFormat="1" x14ac:dyDescent="0.25"/>
    <row r="142224" customFormat="1" x14ac:dyDescent="0.25"/>
    <row r="142225" customFormat="1" x14ac:dyDescent="0.25"/>
    <row r="142226" customFormat="1" x14ac:dyDescent="0.25"/>
    <row r="142227" customFormat="1" x14ac:dyDescent="0.25"/>
    <row r="142228" customFormat="1" x14ac:dyDescent="0.25"/>
    <row r="142229" customFormat="1" x14ac:dyDescent="0.25"/>
    <row r="142230" customFormat="1" x14ac:dyDescent="0.25"/>
    <row r="142231" customFormat="1" x14ac:dyDescent="0.25"/>
    <row r="142232" customFormat="1" x14ac:dyDescent="0.25"/>
    <row r="142233" customFormat="1" x14ac:dyDescent="0.25"/>
    <row r="142234" customFormat="1" x14ac:dyDescent="0.25"/>
    <row r="142235" customFormat="1" x14ac:dyDescent="0.25"/>
    <row r="142236" customFormat="1" x14ac:dyDescent="0.25"/>
    <row r="142237" customFormat="1" x14ac:dyDescent="0.25"/>
    <row r="142238" customFormat="1" x14ac:dyDescent="0.25"/>
    <row r="142239" customFormat="1" x14ac:dyDescent="0.25"/>
    <row r="142240" customFormat="1" x14ac:dyDescent="0.25"/>
    <row r="142241" customFormat="1" x14ac:dyDescent="0.25"/>
    <row r="142242" customFormat="1" x14ac:dyDescent="0.25"/>
    <row r="142243" customFormat="1" x14ac:dyDescent="0.25"/>
    <row r="142244" customFormat="1" x14ac:dyDescent="0.25"/>
    <row r="142245" customFormat="1" x14ac:dyDescent="0.25"/>
    <row r="142246" customFormat="1" x14ac:dyDescent="0.25"/>
    <row r="142247" customFormat="1" x14ac:dyDescent="0.25"/>
    <row r="142248" customFormat="1" x14ac:dyDescent="0.25"/>
    <row r="142249" customFormat="1" x14ac:dyDescent="0.25"/>
    <row r="142250" customFormat="1" x14ac:dyDescent="0.25"/>
    <row r="142251" customFormat="1" x14ac:dyDescent="0.25"/>
    <row r="142252" customFormat="1" x14ac:dyDescent="0.25"/>
    <row r="142253" customFormat="1" x14ac:dyDescent="0.25"/>
    <row r="142254" customFormat="1" x14ac:dyDescent="0.25"/>
    <row r="142255" customFormat="1" x14ac:dyDescent="0.25"/>
    <row r="142256" customFormat="1" x14ac:dyDescent="0.25"/>
    <row r="142257" customFormat="1" x14ac:dyDescent="0.25"/>
    <row r="142258" customFormat="1" x14ac:dyDescent="0.25"/>
    <row r="142259" customFormat="1" x14ac:dyDescent="0.25"/>
    <row r="142260" customFormat="1" x14ac:dyDescent="0.25"/>
    <row r="142261" customFormat="1" x14ac:dyDescent="0.25"/>
    <row r="142262" customFormat="1" x14ac:dyDescent="0.25"/>
    <row r="142263" customFormat="1" x14ac:dyDescent="0.25"/>
    <row r="142264" customFormat="1" x14ac:dyDescent="0.25"/>
    <row r="142265" customFormat="1" x14ac:dyDescent="0.25"/>
    <row r="142266" customFormat="1" x14ac:dyDescent="0.25"/>
    <row r="142267" customFormat="1" x14ac:dyDescent="0.25"/>
    <row r="142268" customFormat="1" x14ac:dyDescent="0.25"/>
    <row r="142269" customFormat="1" x14ac:dyDescent="0.25"/>
    <row r="142270" customFormat="1" x14ac:dyDescent="0.25"/>
    <row r="142271" customFormat="1" x14ac:dyDescent="0.25"/>
    <row r="142272" customFormat="1" x14ac:dyDescent="0.25"/>
    <row r="142273" customFormat="1" x14ac:dyDescent="0.25"/>
    <row r="142274" customFormat="1" x14ac:dyDescent="0.25"/>
    <row r="142275" customFormat="1" x14ac:dyDescent="0.25"/>
    <row r="142276" customFormat="1" x14ac:dyDescent="0.25"/>
    <row r="142277" customFormat="1" x14ac:dyDescent="0.25"/>
    <row r="142278" customFormat="1" x14ac:dyDescent="0.25"/>
    <row r="142279" customFormat="1" x14ac:dyDescent="0.25"/>
    <row r="142280" customFormat="1" x14ac:dyDescent="0.25"/>
    <row r="142281" customFormat="1" x14ac:dyDescent="0.25"/>
    <row r="142282" customFormat="1" x14ac:dyDescent="0.25"/>
    <row r="142283" customFormat="1" x14ac:dyDescent="0.25"/>
    <row r="142284" customFormat="1" x14ac:dyDescent="0.25"/>
    <row r="142285" customFormat="1" x14ac:dyDescent="0.25"/>
    <row r="142286" customFormat="1" x14ac:dyDescent="0.25"/>
    <row r="142287" customFormat="1" x14ac:dyDescent="0.25"/>
    <row r="142288" customFormat="1" x14ac:dyDescent="0.25"/>
    <row r="142289" customFormat="1" x14ac:dyDescent="0.25"/>
    <row r="142290" customFormat="1" x14ac:dyDescent="0.25"/>
    <row r="142291" customFormat="1" x14ac:dyDescent="0.25"/>
    <row r="142292" customFormat="1" x14ac:dyDescent="0.25"/>
    <row r="142293" customFormat="1" x14ac:dyDescent="0.25"/>
    <row r="142294" customFormat="1" x14ac:dyDescent="0.25"/>
    <row r="142295" customFormat="1" x14ac:dyDescent="0.25"/>
    <row r="142296" customFormat="1" x14ac:dyDescent="0.25"/>
    <row r="142297" customFormat="1" x14ac:dyDescent="0.25"/>
    <row r="142298" customFormat="1" x14ac:dyDescent="0.25"/>
    <row r="142299" customFormat="1" x14ac:dyDescent="0.25"/>
    <row r="142300" customFormat="1" x14ac:dyDescent="0.25"/>
    <row r="142301" customFormat="1" x14ac:dyDescent="0.25"/>
    <row r="142302" customFormat="1" x14ac:dyDescent="0.25"/>
    <row r="142303" customFormat="1" x14ac:dyDescent="0.25"/>
    <row r="142304" customFormat="1" x14ac:dyDescent="0.25"/>
    <row r="142305" customFormat="1" x14ac:dyDescent="0.25"/>
    <row r="142306" customFormat="1" x14ac:dyDescent="0.25"/>
    <row r="142307" customFormat="1" x14ac:dyDescent="0.25"/>
    <row r="142308" customFormat="1" x14ac:dyDescent="0.25"/>
    <row r="142309" customFormat="1" x14ac:dyDescent="0.25"/>
    <row r="142310" customFormat="1" x14ac:dyDescent="0.25"/>
    <row r="142311" customFormat="1" x14ac:dyDescent="0.25"/>
    <row r="142312" customFormat="1" x14ac:dyDescent="0.25"/>
    <row r="142313" customFormat="1" x14ac:dyDescent="0.25"/>
    <row r="142314" customFormat="1" x14ac:dyDescent="0.25"/>
    <row r="142315" customFormat="1" x14ac:dyDescent="0.25"/>
    <row r="142316" customFormat="1" x14ac:dyDescent="0.25"/>
    <row r="142317" customFormat="1" x14ac:dyDescent="0.25"/>
    <row r="142318" customFormat="1" x14ac:dyDescent="0.25"/>
    <row r="142319" customFormat="1" x14ac:dyDescent="0.25"/>
    <row r="142320" customFormat="1" x14ac:dyDescent="0.25"/>
    <row r="142321" customFormat="1" x14ac:dyDescent="0.25"/>
    <row r="142322" customFormat="1" x14ac:dyDescent="0.25"/>
    <row r="142323" customFormat="1" x14ac:dyDescent="0.25"/>
    <row r="142324" customFormat="1" x14ac:dyDescent="0.25"/>
    <row r="142325" customFormat="1" x14ac:dyDescent="0.25"/>
    <row r="142326" customFormat="1" x14ac:dyDescent="0.25"/>
    <row r="142327" customFormat="1" x14ac:dyDescent="0.25"/>
    <row r="142328" customFormat="1" x14ac:dyDescent="0.25"/>
    <row r="142329" customFormat="1" x14ac:dyDescent="0.25"/>
    <row r="142330" customFormat="1" x14ac:dyDescent="0.25"/>
    <row r="142331" customFormat="1" x14ac:dyDescent="0.25"/>
    <row r="142332" customFormat="1" x14ac:dyDescent="0.25"/>
    <row r="142333" customFormat="1" x14ac:dyDescent="0.25"/>
    <row r="142334" customFormat="1" x14ac:dyDescent="0.25"/>
    <row r="142335" customFormat="1" x14ac:dyDescent="0.25"/>
    <row r="142336" customFormat="1" x14ac:dyDescent="0.25"/>
    <row r="142337" customFormat="1" x14ac:dyDescent="0.25"/>
    <row r="142338" customFormat="1" x14ac:dyDescent="0.25"/>
    <row r="142339" customFormat="1" x14ac:dyDescent="0.25"/>
    <row r="142340" customFormat="1" x14ac:dyDescent="0.25"/>
    <row r="142341" customFormat="1" x14ac:dyDescent="0.25"/>
    <row r="142342" customFormat="1" x14ac:dyDescent="0.25"/>
    <row r="142343" customFormat="1" x14ac:dyDescent="0.25"/>
    <row r="142344" customFormat="1" x14ac:dyDescent="0.25"/>
    <row r="142345" customFormat="1" x14ac:dyDescent="0.25"/>
    <row r="142346" customFormat="1" x14ac:dyDescent="0.25"/>
    <row r="142347" customFormat="1" x14ac:dyDescent="0.25"/>
    <row r="142348" customFormat="1" x14ac:dyDescent="0.25"/>
    <row r="142349" customFormat="1" x14ac:dyDescent="0.25"/>
    <row r="142350" customFormat="1" x14ac:dyDescent="0.25"/>
    <row r="142351" customFormat="1" x14ac:dyDescent="0.25"/>
    <row r="142352" customFormat="1" x14ac:dyDescent="0.25"/>
    <row r="142353" customFormat="1" x14ac:dyDescent="0.25"/>
    <row r="142354" customFormat="1" x14ac:dyDescent="0.25"/>
    <row r="142355" customFormat="1" x14ac:dyDescent="0.25"/>
    <row r="142356" customFormat="1" x14ac:dyDescent="0.25"/>
    <row r="142357" customFormat="1" x14ac:dyDescent="0.25"/>
    <row r="142358" customFormat="1" x14ac:dyDescent="0.25"/>
    <row r="142359" customFormat="1" x14ac:dyDescent="0.25"/>
    <row r="142360" customFormat="1" x14ac:dyDescent="0.25"/>
    <row r="142361" customFormat="1" x14ac:dyDescent="0.25"/>
    <row r="142362" customFormat="1" x14ac:dyDescent="0.25"/>
    <row r="142363" customFormat="1" x14ac:dyDescent="0.25"/>
    <row r="142364" customFormat="1" x14ac:dyDescent="0.25"/>
    <row r="142365" customFormat="1" x14ac:dyDescent="0.25"/>
    <row r="142366" customFormat="1" x14ac:dyDescent="0.25"/>
    <row r="142367" customFormat="1" x14ac:dyDescent="0.25"/>
    <row r="142368" customFormat="1" x14ac:dyDescent="0.25"/>
    <row r="142369" customFormat="1" x14ac:dyDescent="0.25"/>
    <row r="142370" customFormat="1" x14ac:dyDescent="0.25"/>
    <row r="142371" customFormat="1" x14ac:dyDescent="0.25"/>
    <row r="142372" customFormat="1" x14ac:dyDescent="0.25"/>
    <row r="142373" customFormat="1" x14ac:dyDescent="0.25"/>
    <row r="142374" customFormat="1" x14ac:dyDescent="0.25"/>
    <row r="142375" customFormat="1" x14ac:dyDescent="0.25"/>
    <row r="142376" customFormat="1" x14ac:dyDescent="0.25"/>
    <row r="142377" customFormat="1" x14ac:dyDescent="0.25"/>
    <row r="142378" customFormat="1" x14ac:dyDescent="0.25"/>
    <row r="142379" customFormat="1" x14ac:dyDescent="0.25"/>
    <row r="142380" customFormat="1" x14ac:dyDescent="0.25"/>
    <row r="142381" customFormat="1" x14ac:dyDescent="0.25"/>
    <row r="142382" customFormat="1" x14ac:dyDescent="0.25"/>
    <row r="142383" customFormat="1" x14ac:dyDescent="0.25"/>
    <row r="142384" customFormat="1" x14ac:dyDescent="0.25"/>
    <row r="142385" customFormat="1" x14ac:dyDescent="0.25"/>
    <row r="142386" customFormat="1" x14ac:dyDescent="0.25"/>
    <row r="142387" customFormat="1" x14ac:dyDescent="0.25"/>
    <row r="142388" customFormat="1" x14ac:dyDescent="0.25"/>
    <row r="142389" customFormat="1" x14ac:dyDescent="0.25"/>
    <row r="142390" customFormat="1" x14ac:dyDescent="0.25"/>
    <row r="142391" customFormat="1" x14ac:dyDescent="0.25"/>
    <row r="142392" customFormat="1" x14ac:dyDescent="0.25"/>
    <row r="142393" customFormat="1" x14ac:dyDescent="0.25"/>
    <row r="142394" customFormat="1" x14ac:dyDescent="0.25"/>
    <row r="142395" customFormat="1" x14ac:dyDescent="0.25"/>
    <row r="142396" customFormat="1" x14ac:dyDescent="0.25"/>
    <row r="142397" customFormat="1" x14ac:dyDescent="0.25"/>
    <row r="142398" customFormat="1" x14ac:dyDescent="0.25"/>
    <row r="142399" customFormat="1" x14ac:dyDescent="0.25"/>
    <row r="142400" customFormat="1" x14ac:dyDescent="0.25"/>
    <row r="142401" customFormat="1" x14ac:dyDescent="0.25"/>
    <row r="142402" customFormat="1" x14ac:dyDescent="0.25"/>
    <row r="142403" customFormat="1" x14ac:dyDescent="0.25"/>
    <row r="142404" customFormat="1" x14ac:dyDescent="0.25"/>
    <row r="142405" customFormat="1" x14ac:dyDescent="0.25"/>
    <row r="142406" customFormat="1" x14ac:dyDescent="0.25"/>
    <row r="142407" customFormat="1" x14ac:dyDescent="0.25"/>
    <row r="142408" customFormat="1" x14ac:dyDescent="0.25"/>
    <row r="142409" customFormat="1" x14ac:dyDescent="0.25"/>
    <row r="142410" customFormat="1" x14ac:dyDescent="0.25"/>
    <row r="142411" customFormat="1" x14ac:dyDescent="0.25"/>
    <row r="142412" customFormat="1" x14ac:dyDescent="0.25"/>
    <row r="142413" customFormat="1" x14ac:dyDescent="0.25"/>
    <row r="142414" customFormat="1" x14ac:dyDescent="0.25"/>
    <row r="142415" customFormat="1" x14ac:dyDescent="0.25"/>
    <row r="142416" customFormat="1" x14ac:dyDescent="0.25"/>
    <row r="142417" customFormat="1" x14ac:dyDescent="0.25"/>
    <row r="142418" customFormat="1" x14ac:dyDescent="0.25"/>
    <row r="142419" customFormat="1" x14ac:dyDescent="0.25"/>
    <row r="142420" customFormat="1" x14ac:dyDescent="0.25"/>
    <row r="142421" customFormat="1" x14ac:dyDescent="0.25"/>
    <row r="142422" customFormat="1" x14ac:dyDescent="0.25"/>
    <row r="142423" customFormat="1" x14ac:dyDescent="0.25"/>
    <row r="142424" customFormat="1" x14ac:dyDescent="0.25"/>
    <row r="142425" customFormat="1" x14ac:dyDescent="0.25"/>
    <row r="142426" customFormat="1" x14ac:dyDescent="0.25"/>
    <row r="142427" customFormat="1" x14ac:dyDescent="0.25"/>
    <row r="142428" customFormat="1" x14ac:dyDescent="0.25"/>
    <row r="142429" customFormat="1" x14ac:dyDescent="0.25"/>
    <row r="142430" customFormat="1" x14ac:dyDescent="0.25"/>
    <row r="142431" customFormat="1" x14ac:dyDescent="0.25"/>
    <row r="142432" customFormat="1" x14ac:dyDescent="0.25"/>
    <row r="142433" customFormat="1" x14ac:dyDescent="0.25"/>
    <row r="142434" customFormat="1" x14ac:dyDescent="0.25"/>
    <row r="142435" customFormat="1" x14ac:dyDescent="0.25"/>
    <row r="142436" customFormat="1" x14ac:dyDescent="0.25"/>
    <row r="142437" customFormat="1" x14ac:dyDescent="0.25"/>
    <row r="142438" customFormat="1" x14ac:dyDescent="0.25"/>
    <row r="142439" customFormat="1" x14ac:dyDescent="0.25"/>
    <row r="142440" customFormat="1" x14ac:dyDescent="0.25"/>
    <row r="142441" customFormat="1" x14ac:dyDescent="0.25"/>
    <row r="142442" customFormat="1" x14ac:dyDescent="0.25"/>
    <row r="142443" customFormat="1" x14ac:dyDescent="0.25"/>
    <row r="142444" customFormat="1" x14ac:dyDescent="0.25"/>
    <row r="142445" customFormat="1" x14ac:dyDescent="0.25"/>
    <row r="142446" customFormat="1" x14ac:dyDescent="0.25"/>
    <row r="142447" customFormat="1" x14ac:dyDescent="0.25"/>
    <row r="142448" customFormat="1" x14ac:dyDescent="0.25"/>
    <row r="142449" customFormat="1" x14ac:dyDescent="0.25"/>
    <row r="142450" customFormat="1" x14ac:dyDescent="0.25"/>
    <row r="142451" customFormat="1" x14ac:dyDescent="0.25"/>
    <row r="142452" customFormat="1" x14ac:dyDescent="0.25"/>
    <row r="142453" customFormat="1" x14ac:dyDescent="0.25"/>
    <row r="142454" customFormat="1" x14ac:dyDescent="0.25"/>
    <row r="142455" customFormat="1" x14ac:dyDescent="0.25"/>
    <row r="142456" customFormat="1" x14ac:dyDescent="0.25"/>
    <row r="142457" customFormat="1" x14ac:dyDescent="0.25"/>
    <row r="142458" customFormat="1" x14ac:dyDescent="0.25"/>
    <row r="142459" customFormat="1" x14ac:dyDescent="0.25"/>
    <row r="142460" customFormat="1" x14ac:dyDescent="0.25"/>
    <row r="142461" customFormat="1" x14ac:dyDescent="0.25"/>
    <row r="142462" customFormat="1" x14ac:dyDescent="0.25"/>
    <row r="142463" customFormat="1" x14ac:dyDescent="0.25"/>
    <row r="142464" customFormat="1" x14ac:dyDescent="0.25"/>
    <row r="142465" customFormat="1" x14ac:dyDescent="0.25"/>
    <row r="142466" customFormat="1" x14ac:dyDescent="0.25"/>
    <row r="142467" customFormat="1" x14ac:dyDescent="0.25"/>
    <row r="142468" customFormat="1" x14ac:dyDescent="0.25"/>
    <row r="142469" customFormat="1" x14ac:dyDescent="0.25"/>
    <row r="142470" customFormat="1" x14ac:dyDescent="0.25"/>
    <row r="142471" customFormat="1" x14ac:dyDescent="0.25"/>
    <row r="142472" customFormat="1" x14ac:dyDescent="0.25"/>
    <row r="142473" customFormat="1" x14ac:dyDescent="0.25"/>
    <row r="142474" customFormat="1" x14ac:dyDescent="0.25"/>
    <row r="142475" customFormat="1" x14ac:dyDescent="0.25"/>
    <row r="142476" customFormat="1" x14ac:dyDescent="0.25"/>
    <row r="142477" customFormat="1" x14ac:dyDescent="0.25"/>
    <row r="142478" customFormat="1" x14ac:dyDescent="0.25"/>
    <row r="142479" customFormat="1" x14ac:dyDescent="0.25"/>
    <row r="142480" customFormat="1" x14ac:dyDescent="0.25"/>
    <row r="142481" customFormat="1" x14ac:dyDescent="0.25"/>
    <row r="142482" customFormat="1" x14ac:dyDescent="0.25"/>
    <row r="142483" customFormat="1" x14ac:dyDescent="0.25"/>
    <row r="142484" customFormat="1" x14ac:dyDescent="0.25"/>
    <row r="142485" customFormat="1" x14ac:dyDescent="0.25"/>
    <row r="142486" customFormat="1" x14ac:dyDescent="0.25"/>
    <row r="142487" customFormat="1" x14ac:dyDescent="0.25"/>
    <row r="142488" customFormat="1" x14ac:dyDescent="0.25"/>
    <row r="142489" customFormat="1" x14ac:dyDescent="0.25"/>
    <row r="142490" customFormat="1" x14ac:dyDescent="0.25"/>
    <row r="142491" customFormat="1" x14ac:dyDescent="0.25"/>
    <row r="142492" customFormat="1" x14ac:dyDescent="0.25"/>
    <row r="142493" customFormat="1" x14ac:dyDescent="0.25"/>
    <row r="142494" customFormat="1" x14ac:dyDescent="0.25"/>
    <row r="142495" customFormat="1" x14ac:dyDescent="0.25"/>
    <row r="142496" customFormat="1" x14ac:dyDescent="0.25"/>
    <row r="142497" customFormat="1" x14ac:dyDescent="0.25"/>
    <row r="142498" customFormat="1" x14ac:dyDescent="0.25"/>
    <row r="142499" customFormat="1" x14ac:dyDescent="0.25"/>
    <row r="142500" customFormat="1" x14ac:dyDescent="0.25"/>
    <row r="142501" customFormat="1" x14ac:dyDescent="0.25"/>
    <row r="142502" customFormat="1" x14ac:dyDescent="0.25"/>
    <row r="142503" customFormat="1" x14ac:dyDescent="0.25"/>
    <row r="142504" customFormat="1" x14ac:dyDescent="0.25"/>
    <row r="142505" customFormat="1" x14ac:dyDescent="0.25"/>
    <row r="142506" customFormat="1" x14ac:dyDescent="0.25"/>
    <row r="142507" customFormat="1" x14ac:dyDescent="0.25"/>
    <row r="142508" customFormat="1" x14ac:dyDescent="0.25"/>
    <row r="142509" customFormat="1" x14ac:dyDescent="0.25"/>
    <row r="142510" customFormat="1" x14ac:dyDescent="0.25"/>
    <row r="142511" customFormat="1" x14ac:dyDescent="0.25"/>
    <row r="142512" customFormat="1" x14ac:dyDescent="0.25"/>
    <row r="142513" customFormat="1" x14ac:dyDescent="0.25"/>
    <row r="142514" customFormat="1" x14ac:dyDescent="0.25"/>
    <row r="142515" customFormat="1" x14ac:dyDescent="0.25"/>
    <row r="142516" customFormat="1" x14ac:dyDescent="0.25"/>
    <row r="142517" customFormat="1" x14ac:dyDescent="0.25"/>
    <row r="142518" customFormat="1" x14ac:dyDescent="0.25"/>
    <row r="142519" customFormat="1" x14ac:dyDescent="0.25"/>
    <row r="142520" customFormat="1" x14ac:dyDescent="0.25"/>
    <row r="142521" customFormat="1" x14ac:dyDescent="0.25"/>
    <row r="142522" customFormat="1" x14ac:dyDescent="0.25"/>
    <row r="142523" customFormat="1" x14ac:dyDescent="0.25"/>
    <row r="142524" customFormat="1" x14ac:dyDescent="0.25"/>
    <row r="142525" customFormat="1" x14ac:dyDescent="0.25"/>
    <row r="142526" customFormat="1" x14ac:dyDescent="0.25"/>
    <row r="142527" customFormat="1" x14ac:dyDescent="0.25"/>
    <row r="142528" customFormat="1" x14ac:dyDescent="0.25"/>
    <row r="142529" customFormat="1" x14ac:dyDescent="0.25"/>
    <row r="142530" customFormat="1" x14ac:dyDescent="0.25"/>
    <row r="142531" customFormat="1" x14ac:dyDescent="0.25"/>
    <row r="142532" customFormat="1" x14ac:dyDescent="0.25"/>
    <row r="142533" customFormat="1" x14ac:dyDescent="0.25"/>
    <row r="142534" customFormat="1" x14ac:dyDescent="0.25"/>
    <row r="142535" customFormat="1" x14ac:dyDescent="0.25"/>
    <row r="142536" customFormat="1" x14ac:dyDescent="0.25"/>
    <row r="142537" customFormat="1" x14ac:dyDescent="0.25"/>
    <row r="142538" customFormat="1" x14ac:dyDescent="0.25"/>
    <row r="142539" customFormat="1" x14ac:dyDescent="0.25"/>
    <row r="142540" customFormat="1" x14ac:dyDescent="0.25"/>
    <row r="142541" customFormat="1" x14ac:dyDescent="0.25"/>
    <row r="142542" customFormat="1" x14ac:dyDescent="0.25"/>
    <row r="142543" customFormat="1" x14ac:dyDescent="0.25"/>
    <row r="142544" customFormat="1" x14ac:dyDescent="0.25"/>
    <row r="142545" customFormat="1" x14ac:dyDescent="0.25"/>
    <row r="142546" customFormat="1" x14ac:dyDescent="0.25"/>
    <row r="142547" customFormat="1" x14ac:dyDescent="0.25"/>
    <row r="142548" customFormat="1" x14ac:dyDescent="0.25"/>
    <row r="142549" customFormat="1" x14ac:dyDescent="0.25"/>
    <row r="142550" customFormat="1" x14ac:dyDescent="0.25"/>
    <row r="142551" customFormat="1" x14ac:dyDescent="0.25"/>
    <row r="142552" customFormat="1" x14ac:dyDescent="0.25"/>
    <row r="142553" customFormat="1" x14ac:dyDescent="0.25"/>
    <row r="142554" customFormat="1" x14ac:dyDescent="0.25"/>
    <row r="142555" customFormat="1" x14ac:dyDescent="0.25"/>
    <row r="142556" customFormat="1" x14ac:dyDescent="0.25"/>
    <row r="142557" customFormat="1" x14ac:dyDescent="0.25"/>
    <row r="142558" customFormat="1" x14ac:dyDescent="0.25"/>
    <row r="142559" customFormat="1" x14ac:dyDescent="0.25"/>
    <row r="142560" customFormat="1" x14ac:dyDescent="0.25"/>
    <row r="142561" customFormat="1" x14ac:dyDescent="0.25"/>
    <row r="142562" customFormat="1" x14ac:dyDescent="0.25"/>
    <row r="142563" customFormat="1" x14ac:dyDescent="0.25"/>
    <row r="142564" customFormat="1" x14ac:dyDescent="0.25"/>
    <row r="142565" customFormat="1" x14ac:dyDescent="0.25"/>
    <row r="142566" customFormat="1" x14ac:dyDescent="0.25"/>
    <row r="142567" customFormat="1" x14ac:dyDescent="0.25"/>
    <row r="142568" customFormat="1" x14ac:dyDescent="0.25"/>
    <row r="142569" customFormat="1" x14ac:dyDescent="0.25"/>
    <row r="142570" customFormat="1" x14ac:dyDescent="0.25"/>
    <row r="142571" customFormat="1" x14ac:dyDescent="0.25"/>
    <row r="142572" customFormat="1" x14ac:dyDescent="0.25"/>
    <row r="142573" customFormat="1" x14ac:dyDescent="0.25"/>
    <row r="142574" customFormat="1" x14ac:dyDescent="0.25"/>
    <row r="142575" customFormat="1" x14ac:dyDescent="0.25"/>
    <row r="142576" customFormat="1" x14ac:dyDescent="0.25"/>
    <row r="142577" customFormat="1" x14ac:dyDescent="0.25"/>
    <row r="142578" customFormat="1" x14ac:dyDescent="0.25"/>
    <row r="142579" customFormat="1" x14ac:dyDescent="0.25"/>
    <row r="142580" customFormat="1" x14ac:dyDescent="0.25"/>
    <row r="142581" customFormat="1" x14ac:dyDescent="0.25"/>
    <row r="142582" customFormat="1" x14ac:dyDescent="0.25"/>
    <row r="142583" customFormat="1" x14ac:dyDescent="0.25"/>
    <row r="142584" customFormat="1" x14ac:dyDescent="0.25"/>
    <row r="142585" customFormat="1" x14ac:dyDescent="0.25"/>
    <row r="142586" customFormat="1" x14ac:dyDescent="0.25"/>
    <row r="142587" customFormat="1" x14ac:dyDescent="0.25"/>
    <row r="142588" customFormat="1" x14ac:dyDescent="0.25"/>
    <row r="142589" customFormat="1" x14ac:dyDescent="0.25"/>
    <row r="142590" customFormat="1" x14ac:dyDescent="0.25"/>
    <row r="142591" customFormat="1" x14ac:dyDescent="0.25"/>
    <row r="142592" customFormat="1" x14ac:dyDescent="0.25"/>
    <row r="142593" customFormat="1" x14ac:dyDescent="0.25"/>
    <row r="142594" customFormat="1" x14ac:dyDescent="0.25"/>
    <row r="142595" customFormat="1" x14ac:dyDescent="0.25"/>
    <row r="142596" customFormat="1" x14ac:dyDescent="0.25"/>
    <row r="142597" customFormat="1" x14ac:dyDescent="0.25"/>
    <row r="142598" customFormat="1" x14ac:dyDescent="0.25"/>
    <row r="142599" customFormat="1" x14ac:dyDescent="0.25"/>
    <row r="142600" customFormat="1" x14ac:dyDescent="0.25"/>
    <row r="142601" customFormat="1" x14ac:dyDescent="0.25"/>
    <row r="142602" customFormat="1" x14ac:dyDescent="0.25"/>
    <row r="142603" customFormat="1" x14ac:dyDescent="0.25"/>
    <row r="142604" customFormat="1" x14ac:dyDescent="0.25"/>
    <row r="142605" customFormat="1" x14ac:dyDescent="0.25"/>
    <row r="142606" customFormat="1" x14ac:dyDescent="0.25"/>
    <row r="142607" customFormat="1" x14ac:dyDescent="0.25"/>
    <row r="142608" customFormat="1" x14ac:dyDescent="0.25"/>
    <row r="142609" customFormat="1" x14ac:dyDescent="0.25"/>
    <row r="142610" customFormat="1" x14ac:dyDescent="0.25"/>
    <row r="142611" customFormat="1" x14ac:dyDescent="0.25"/>
    <row r="142612" customFormat="1" x14ac:dyDescent="0.25"/>
    <row r="142613" customFormat="1" x14ac:dyDescent="0.25"/>
    <row r="142614" customFormat="1" x14ac:dyDescent="0.25"/>
    <row r="142615" customFormat="1" x14ac:dyDescent="0.25"/>
    <row r="142616" customFormat="1" x14ac:dyDescent="0.25"/>
    <row r="142617" customFormat="1" x14ac:dyDescent="0.25"/>
    <row r="142618" customFormat="1" x14ac:dyDescent="0.25"/>
    <row r="142619" customFormat="1" x14ac:dyDescent="0.25"/>
    <row r="142620" customFormat="1" x14ac:dyDescent="0.25"/>
    <row r="142621" customFormat="1" x14ac:dyDescent="0.25"/>
    <row r="142622" customFormat="1" x14ac:dyDescent="0.25"/>
    <row r="142623" customFormat="1" x14ac:dyDescent="0.25"/>
    <row r="142624" customFormat="1" x14ac:dyDescent="0.25"/>
    <row r="142625" customFormat="1" x14ac:dyDescent="0.25"/>
    <row r="142626" customFormat="1" x14ac:dyDescent="0.25"/>
    <row r="142627" customFormat="1" x14ac:dyDescent="0.25"/>
    <row r="142628" customFormat="1" x14ac:dyDescent="0.25"/>
    <row r="142629" customFormat="1" x14ac:dyDescent="0.25"/>
    <row r="142630" customFormat="1" x14ac:dyDescent="0.25"/>
    <row r="142631" customFormat="1" x14ac:dyDescent="0.25"/>
    <row r="142632" customFormat="1" x14ac:dyDescent="0.25"/>
    <row r="142633" customFormat="1" x14ac:dyDescent="0.25"/>
    <row r="142634" customFormat="1" x14ac:dyDescent="0.25"/>
    <row r="142635" customFormat="1" x14ac:dyDescent="0.25"/>
    <row r="142636" customFormat="1" x14ac:dyDescent="0.25"/>
    <row r="142637" customFormat="1" x14ac:dyDescent="0.25"/>
    <row r="142638" customFormat="1" x14ac:dyDescent="0.25"/>
    <row r="142639" customFormat="1" x14ac:dyDescent="0.25"/>
    <row r="142640" customFormat="1" x14ac:dyDescent="0.25"/>
    <row r="142641" customFormat="1" x14ac:dyDescent="0.25"/>
    <row r="142642" customFormat="1" x14ac:dyDescent="0.25"/>
    <row r="142643" customFormat="1" x14ac:dyDescent="0.25"/>
    <row r="142644" customFormat="1" x14ac:dyDescent="0.25"/>
    <row r="142645" customFormat="1" x14ac:dyDescent="0.25"/>
    <row r="142646" customFormat="1" x14ac:dyDescent="0.25"/>
    <row r="142647" customFormat="1" x14ac:dyDescent="0.25"/>
    <row r="142648" customFormat="1" x14ac:dyDescent="0.25"/>
    <row r="142649" customFormat="1" x14ac:dyDescent="0.25"/>
    <row r="142650" customFormat="1" x14ac:dyDescent="0.25"/>
    <row r="142651" customFormat="1" x14ac:dyDescent="0.25"/>
    <row r="142652" customFormat="1" x14ac:dyDescent="0.25"/>
    <row r="142653" customFormat="1" x14ac:dyDescent="0.25"/>
    <row r="142654" customFormat="1" x14ac:dyDescent="0.25"/>
    <row r="142655" customFormat="1" x14ac:dyDescent="0.25"/>
    <row r="142656" customFormat="1" x14ac:dyDescent="0.25"/>
    <row r="142657" customFormat="1" x14ac:dyDescent="0.25"/>
    <row r="142658" customFormat="1" x14ac:dyDescent="0.25"/>
    <row r="142659" customFormat="1" x14ac:dyDescent="0.25"/>
    <row r="142660" customFormat="1" x14ac:dyDescent="0.25"/>
    <row r="142661" customFormat="1" x14ac:dyDescent="0.25"/>
    <row r="142662" customFormat="1" x14ac:dyDescent="0.25"/>
    <row r="142663" customFormat="1" x14ac:dyDescent="0.25"/>
    <row r="142664" customFormat="1" x14ac:dyDescent="0.25"/>
    <row r="142665" customFormat="1" x14ac:dyDescent="0.25"/>
    <row r="142666" customFormat="1" x14ac:dyDescent="0.25"/>
    <row r="142667" customFormat="1" x14ac:dyDescent="0.25"/>
    <row r="142668" customFormat="1" x14ac:dyDescent="0.25"/>
    <row r="142669" customFormat="1" x14ac:dyDescent="0.25"/>
    <row r="142670" customFormat="1" x14ac:dyDescent="0.25"/>
    <row r="142671" customFormat="1" x14ac:dyDescent="0.25"/>
    <row r="142672" customFormat="1" x14ac:dyDescent="0.25"/>
    <row r="142673" customFormat="1" x14ac:dyDescent="0.25"/>
    <row r="142674" customFormat="1" x14ac:dyDescent="0.25"/>
    <row r="142675" customFormat="1" x14ac:dyDescent="0.25"/>
    <row r="142676" customFormat="1" x14ac:dyDescent="0.25"/>
    <row r="142677" customFormat="1" x14ac:dyDescent="0.25"/>
    <row r="142678" customFormat="1" x14ac:dyDescent="0.25"/>
    <row r="142679" customFormat="1" x14ac:dyDescent="0.25"/>
    <row r="142680" customFormat="1" x14ac:dyDescent="0.25"/>
    <row r="142681" customFormat="1" x14ac:dyDescent="0.25"/>
    <row r="142682" customFormat="1" x14ac:dyDescent="0.25"/>
    <row r="142683" customFormat="1" x14ac:dyDescent="0.25"/>
    <row r="142684" customFormat="1" x14ac:dyDescent="0.25"/>
    <row r="142685" customFormat="1" x14ac:dyDescent="0.25"/>
    <row r="142686" customFormat="1" x14ac:dyDescent="0.25"/>
    <row r="142687" customFormat="1" x14ac:dyDescent="0.25"/>
    <row r="142688" customFormat="1" x14ac:dyDescent="0.25"/>
    <row r="142689" customFormat="1" x14ac:dyDescent="0.25"/>
    <row r="142690" customFormat="1" x14ac:dyDescent="0.25"/>
    <row r="142691" customFormat="1" x14ac:dyDescent="0.25"/>
    <row r="142692" customFormat="1" x14ac:dyDescent="0.25"/>
    <row r="142693" customFormat="1" x14ac:dyDescent="0.25"/>
    <row r="142694" customFormat="1" x14ac:dyDescent="0.25"/>
    <row r="142695" customFormat="1" x14ac:dyDescent="0.25"/>
    <row r="142696" customFormat="1" x14ac:dyDescent="0.25"/>
    <row r="142697" customFormat="1" x14ac:dyDescent="0.25"/>
    <row r="142698" customFormat="1" x14ac:dyDescent="0.25"/>
    <row r="142699" customFormat="1" x14ac:dyDescent="0.25"/>
    <row r="142700" customFormat="1" x14ac:dyDescent="0.25"/>
    <row r="142701" customFormat="1" x14ac:dyDescent="0.25"/>
    <row r="142702" customFormat="1" x14ac:dyDescent="0.25"/>
    <row r="142703" customFormat="1" x14ac:dyDescent="0.25"/>
    <row r="142704" customFormat="1" x14ac:dyDescent="0.25"/>
    <row r="142705" customFormat="1" x14ac:dyDescent="0.25"/>
    <row r="142706" customFormat="1" x14ac:dyDescent="0.25"/>
    <row r="142707" customFormat="1" x14ac:dyDescent="0.25"/>
    <row r="142708" customFormat="1" x14ac:dyDescent="0.25"/>
    <row r="142709" customFormat="1" x14ac:dyDescent="0.25"/>
    <row r="142710" customFormat="1" x14ac:dyDescent="0.25"/>
    <row r="142711" customFormat="1" x14ac:dyDescent="0.25"/>
    <row r="142712" customFormat="1" x14ac:dyDescent="0.25"/>
    <row r="142713" customFormat="1" x14ac:dyDescent="0.25"/>
    <row r="142714" customFormat="1" x14ac:dyDescent="0.25"/>
    <row r="142715" customFormat="1" x14ac:dyDescent="0.25"/>
    <row r="142716" customFormat="1" x14ac:dyDescent="0.25"/>
    <row r="142717" customFormat="1" x14ac:dyDescent="0.25"/>
    <row r="142718" customFormat="1" x14ac:dyDescent="0.25"/>
    <row r="142719" customFormat="1" x14ac:dyDescent="0.25"/>
    <row r="142720" customFormat="1" x14ac:dyDescent="0.25"/>
    <row r="142721" customFormat="1" x14ac:dyDescent="0.25"/>
    <row r="142722" customFormat="1" x14ac:dyDescent="0.25"/>
    <row r="142723" customFormat="1" x14ac:dyDescent="0.25"/>
    <row r="142724" customFormat="1" x14ac:dyDescent="0.25"/>
    <row r="142725" customFormat="1" x14ac:dyDescent="0.25"/>
    <row r="142726" customFormat="1" x14ac:dyDescent="0.25"/>
    <row r="142727" customFormat="1" x14ac:dyDescent="0.25"/>
    <row r="142728" customFormat="1" x14ac:dyDescent="0.25"/>
    <row r="142729" customFormat="1" x14ac:dyDescent="0.25"/>
    <row r="142730" customFormat="1" x14ac:dyDescent="0.25"/>
    <row r="142731" customFormat="1" x14ac:dyDescent="0.25"/>
    <row r="142732" customFormat="1" x14ac:dyDescent="0.25"/>
    <row r="142733" customFormat="1" x14ac:dyDescent="0.25"/>
    <row r="142734" customFormat="1" x14ac:dyDescent="0.25"/>
    <row r="142735" customFormat="1" x14ac:dyDescent="0.25"/>
    <row r="142736" customFormat="1" x14ac:dyDescent="0.25"/>
    <row r="142737" customFormat="1" x14ac:dyDescent="0.25"/>
    <row r="142738" customFormat="1" x14ac:dyDescent="0.25"/>
    <row r="142739" customFormat="1" x14ac:dyDescent="0.25"/>
    <row r="142740" customFormat="1" x14ac:dyDescent="0.25"/>
    <row r="142741" customFormat="1" x14ac:dyDescent="0.25"/>
    <row r="142742" customFormat="1" x14ac:dyDescent="0.25"/>
    <row r="142743" customFormat="1" x14ac:dyDescent="0.25"/>
    <row r="142744" customFormat="1" x14ac:dyDescent="0.25"/>
    <row r="142745" customFormat="1" x14ac:dyDescent="0.25"/>
    <row r="142746" customFormat="1" x14ac:dyDescent="0.25"/>
    <row r="142747" customFormat="1" x14ac:dyDescent="0.25"/>
    <row r="142748" customFormat="1" x14ac:dyDescent="0.25"/>
    <row r="142749" customFormat="1" x14ac:dyDescent="0.25"/>
    <row r="142750" customFormat="1" x14ac:dyDescent="0.25"/>
    <row r="142751" customFormat="1" x14ac:dyDescent="0.25"/>
    <row r="142752" customFormat="1" x14ac:dyDescent="0.25"/>
    <row r="142753" customFormat="1" x14ac:dyDescent="0.25"/>
    <row r="142754" customFormat="1" x14ac:dyDescent="0.25"/>
    <row r="142755" customFormat="1" x14ac:dyDescent="0.25"/>
    <row r="142756" customFormat="1" x14ac:dyDescent="0.25"/>
    <row r="142757" customFormat="1" x14ac:dyDescent="0.25"/>
    <row r="142758" customFormat="1" x14ac:dyDescent="0.25"/>
    <row r="142759" customFormat="1" x14ac:dyDescent="0.25"/>
    <row r="142760" customFormat="1" x14ac:dyDescent="0.25"/>
    <row r="142761" customFormat="1" x14ac:dyDescent="0.25"/>
    <row r="142762" customFormat="1" x14ac:dyDescent="0.25"/>
    <row r="142763" customFormat="1" x14ac:dyDescent="0.25"/>
    <row r="142764" customFormat="1" x14ac:dyDescent="0.25"/>
    <row r="142765" customFormat="1" x14ac:dyDescent="0.25"/>
    <row r="142766" customFormat="1" x14ac:dyDescent="0.25"/>
    <row r="142767" customFormat="1" x14ac:dyDescent="0.25"/>
    <row r="142768" customFormat="1" x14ac:dyDescent="0.25"/>
    <row r="142769" customFormat="1" x14ac:dyDescent="0.25"/>
    <row r="142770" customFormat="1" x14ac:dyDescent="0.25"/>
    <row r="142771" customFormat="1" x14ac:dyDescent="0.25"/>
    <row r="142772" customFormat="1" x14ac:dyDescent="0.25"/>
    <row r="142773" customFormat="1" x14ac:dyDescent="0.25"/>
    <row r="142774" customFormat="1" x14ac:dyDescent="0.25"/>
    <row r="142775" customFormat="1" x14ac:dyDescent="0.25"/>
    <row r="142776" customFormat="1" x14ac:dyDescent="0.25"/>
    <row r="142777" customFormat="1" x14ac:dyDescent="0.25"/>
    <row r="142778" customFormat="1" x14ac:dyDescent="0.25"/>
    <row r="142779" customFormat="1" x14ac:dyDescent="0.25"/>
    <row r="142780" customFormat="1" x14ac:dyDescent="0.25"/>
    <row r="142781" customFormat="1" x14ac:dyDescent="0.25"/>
    <row r="142782" customFormat="1" x14ac:dyDescent="0.25"/>
    <row r="142783" customFormat="1" x14ac:dyDescent="0.25"/>
    <row r="142784" customFormat="1" x14ac:dyDescent="0.25"/>
    <row r="142785" customFormat="1" x14ac:dyDescent="0.25"/>
    <row r="142786" customFormat="1" x14ac:dyDescent="0.25"/>
    <row r="142787" customFormat="1" x14ac:dyDescent="0.25"/>
    <row r="142788" customFormat="1" x14ac:dyDescent="0.25"/>
    <row r="142789" customFormat="1" x14ac:dyDescent="0.25"/>
    <row r="142790" customFormat="1" x14ac:dyDescent="0.25"/>
    <row r="142791" customFormat="1" x14ac:dyDescent="0.25"/>
    <row r="142792" customFormat="1" x14ac:dyDescent="0.25"/>
    <row r="142793" customFormat="1" x14ac:dyDescent="0.25"/>
    <row r="142794" customFormat="1" x14ac:dyDescent="0.25"/>
    <row r="142795" customFormat="1" x14ac:dyDescent="0.25"/>
    <row r="142796" customFormat="1" x14ac:dyDescent="0.25"/>
    <row r="142797" customFormat="1" x14ac:dyDescent="0.25"/>
    <row r="142798" customFormat="1" x14ac:dyDescent="0.25"/>
    <row r="142799" customFormat="1" x14ac:dyDescent="0.25"/>
    <row r="142800" customFormat="1" x14ac:dyDescent="0.25"/>
    <row r="142801" customFormat="1" x14ac:dyDescent="0.25"/>
    <row r="142802" customFormat="1" x14ac:dyDescent="0.25"/>
    <row r="142803" customFormat="1" x14ac:dyDescent="0.25"/>
    <row r="142804" customFormat="1" x14ac:dyDescent="0.25"/>
    <row r="142805" customFormat="1" x14ac:dyDescent="0.25"/>
    <row r="142806" customFormat="1" x14ac:dyDescent="0.25"/>
    <row r="142807" customFormat="1" x14ac:dyDescent="0.25"/>
    <row r="142808" customFormat="1" x14ac:dyDescent="0.25"/>
    <row r="142809" customFormat="1" x14ac:dyDescent="0.25"/>
    <row r="142810" customFormat="1" x14ac:dyDescent="0.25"/>
    <row r="142811" customFormat="1" x14ac:dyDescent="0.25"/>
    <row r="142812" customFormat="1" x14ac:dyDescent="0.25"/>
    <row r="142813" customFormat="1" x14ac:dyDescent="0.25"/>
    <row r="142814" customFormat="1" x14ac:dyDescent="0.25"/>
    <row r="142815" customFormat="1" x14ac:dyDescent="0.25"/>
    <row r="142816" customFormat="1" x14ac:dyDescent="0.25"/>
    <row r="142817" customFormat="1" x14ac:dyDescent="0.25"/>
    <row r="142818" customFormat="1" x14ac:dyDescent="0.25"/>
    <row r="142819" customFormat="1" x14ac:dyDescent="0.25"/>
    <row r="142820" customFormat="1" x14ac:dyDescent="0.25"/>
    <row r="142821" customFormat="1" x14ac:dyDescent="0.25"/>
    <row r="142822" customFormat="1" x14ac:dyDescent="0.25"/>
    <row r="142823" customFormat="1" x14ac:dyDescent="0.25"/>
    <row r="142824" customFormat="1" x14ac:dyDescent="0.25"/>
    <row r="142825" customFormat="1" x14ac:dyDescent="0.25"/>
    <row r="142826" customFormat="1" x14ac:dyDescent="0.25"/>
    <row r="142827" customFormat="1" x14ac:dyDescent="0.25"/>
    <row r="142828" customFormat="1" x14ac:dyDescent="0.25"/>
    <row r="142829" customFormat="1" x14ac:dyDescent="0.25"/>
    <row r="142830" customFormat="1" x14ac:dyDescent="0.25"/>
    <row r="142831" customFormat="1" x14ac:dyDescent="0.25"/>
    <row r="142832" customFormat="1" x14ac:dyDescent="0.25"/>
    <row r="142833" customFormat="1" x14ac:dyDescent="0.25"/>
    <row r="142834" customFormat="1" x14ac:dyDescent="0.25"/>
    <row r="142835" customFormat="1" x14ac:dyDescent="0.25"/>
    <row r="142836" customFormat="1" x14ac:dyDescent="0.25"/>
    <row r="142837" customFormat="1" x14ac:dyDescent="0.25"/>
    <row r="142838" customFormat="1" x14ac:dyDescent="0.25"/>
    <row r="142839" customFormat="1" x14ac:dyDescent="0.25"/>
    <row r="142840" customFormat="1" x14ac:dyDescent="0.25"/>
    <row r="142841" customFormat="1" x14ac:dyDescent="0.25"/>
    <row r="142842" customFormat="1" x14ac:dyDescent="0.25"/>
    <row r="142843" customFormat="1" x14ac:dyDescent="0.25"/>
    <row r="142844" customFormat="1" x14ac:dyDescent="0.25"/>
    <row r="142845" customFormat="1" x14ac:dyDescent="0.25"/>
    <row r="142846" customFormat="1" x14ac:dyDescent="0.25"/>
    <row r="142847" customFormat="1" x14ac:dyDescent="0.25"/>
    <row r="142848" customFormat="1" x14ac:dyDescent="0.25"/>
    <row r="142849" customFormat="1" x14ac:dyDescent="0.25"/>
    <row r="142850" customFormat="1" x14ac:dyDescent="0.25"/>
    <row r="142851" customFormat="1" x14ac:dyDescent="0.25"/>
    <row r="142852" customFormat="1" x14ac:dyDescent="0.25"/>
    <row r="142853" customFormat="1" x14ac:dyDescent="0.25"/>
    <row r="142854" customFormat="1" x14ac:dyDescent="0.25"/>
    <row r="142855" customFormat="1" x14ac:dyDescent="0.25"/>
    <row r="142856" customFormat="1" x14ac:dyDescent="0.25"/>
    <row r="142857" customFormat="1" x14ac:dyDescent="0.25"/>
    <row r="142858" customFormat="1" x14ac:dyDescent="0.25"/>
    <row r="142859" customFormat="1" x14ac:dyDescent="0.25"/>
    <row r="142860" customFormat="1" x14ac:dyDescent="0.25"/>
    <row r="142861" customFormat="1" x14ac:dyDescent="0.25"/>
    <row r="142862" customFormat="1" x14ac:dyDescent="0.25"/>
    <row r="142863" customFormat="1" x14ac:dyDescent="0.25"/>
    <row r="142864" customFormat="1" x14ac:dyDescent="0.25"/>
    <row r="142865" customFormat="1" x14ac:dyDescent="0.25"/>
    <row r="142866" customFormat="1" x14ac:dyDescent="0.25"/>
    <row r="142867" customFormat="1" x14ac:dyDescent="0.25"/>
    <row r="142868" customFormat="1" x14ac:dyDescent="0.25"/>
    <row r="142869" customFormat="1" x14ac:dyDescent="0.25"/>
    <row r="142870" customFormat="1" x14ac:dyDescent="0.25"/>
    <row r="142871" customFormat="1" x14ac:dyDescent="0.25"/>
    <row r="142872" customFormat="1" x14ac:dyDescent="0.25"/>
    <row r="142873" customFormat="1" x14ac:dyDescent="0.25"/>
    <row r="142874" customFormat="1" x14ac:dyDescent="0.25"/>
    <row r="142875" customFormat="1" x14ac:dyDescent="0.25"/>
    <row r="142876" customFormat="1" x14ac:dyDescent="0.25"/>
    <row r="142877" customFormat="1" x14ac:dyDescent="0.25"/>
    <row r="142878" customFormat="1" x14ac:dyDescent="0.25"/>
    <row r="142879" customFormat="1" x14ac:dyDescent="0.25"/>
    <row r="142880" customFormat="1" x14ac:dyDescent="0.25"/>
    <row r="142881" customFormat="1" x14ac:dyDescent="0.25"/>
    <row r="142882" customFormat="1" x14ac:dyDescent="0.25"/>
    <row r="142883" customFormat="1" x14ac:dyDescent="0.25"/>
    <row r="142884" customFormat="1" x14ac:dyDescent="0.25"/>
    <row r="142885" customFormat="1" x14ac:dyDescent="0.25"/>
    <row r="142886" customFormat="1" x14ac:dyDescent="0.25"/>
    <row r="142887" customFormat="1" x14ac:dyDescent="0.25"/>
    <row r="142888" customFormat="1" x14ac:dyDescent="0.25"/>
    <row r="142889" customFormat="1" x14ac:dyDescent="0.25"/>
    <row r="142890" customFormat="1" x14ac:dyDescent="0.25"/>
    <row r="142891" customFormat="1" x14ac:dyDescent="0.25"/>
    <row r="142892" customFormat="1" x14ac:dyDescent="0.25"/>
    <row r="142893" customFormat="1" x14ac:dyDescent="0.25"/>
    <row r="142894" customFormat="1" x14ac:dyDescent="0.25"/>
    <row r="142895" customFormat="1" x14ac:dyDescent="0.25"/>
    <row r="142896" customFormat="1" x14ac:dyDescent="0.25"/>
    <row r="142897" customFormat="1" x14ac:dyDescent="0.25"/>
    <row r="142898" customFormat="1" x14ac:dyDescent="0.25"/>
    <row r="142899" customFormat="1" x14ac:dyDescent="0.25"/>
    <row r="142900" customFormat="1" x14ac:dyDescent="0.25"/>
    <row r="142901" customFormat="1" x14ac:dyDescent="0.25"/>
    <row r="142902" customFormat="1" x14ac:dyDescent="0.25"/>
    <row r="142903" customFormat="1" x14ac:dyDescent="0.25"/>
    <row r="142904" customFormat="1" x14ac:dyDescent="0.25"/>
    <row r="142905" customFormat="1" x14ac:dyDescent="0.25"/>
    <row r="142906" customFormat="1" x14ac:dyDescent="0.25"/>
    <row r="142907" customFormat="1" x14ac:dyDescent="0.25"/>
    <row r="142908" customFormat="1" x14ac:dyDescent="0.25"/>
    <row r="142909" customFormat="1" x14ac:dyDescent="0.25"/>
    <row r="142910" customFormat="1" x14ac:dyDescent="0.25"/>
    <row r="142911" customFormat="1" x14ac:dyDescent="0.25"/>
    <row r="142912" customFormat="1" x14ac:dyDescent="0.25"/>
    <row r="142913" customFormat="1" x14ac:dyDescent="0.25"/>
    <row r="142914" customFormat="1" x14ac:dyDescent="0.25"/>
    <row r="142915" customFormat="1" x14ac:dyDescent="0.25"/>
    <row r="142916" customFormat="1" x14ac:dyDescent="0.25"/>
    <row r="142917" customFormat="1" x14ac:dyDescent="0.25"/>
    <row r="142918" customFormat="1" x14ac:dyDescent="0.25"/>
    <row r="142919" customFormat="1" x14ac:dyDescent="0.25"/>
    <row r="142920" customFormat="1" x14ac:dyDescent="0.25"/>
    <row r="142921" customFormat="1" x14ac:dyDescent="0.25"/>
    <row r="142922" customFormat="1" x14ac:dyDescent="0.25"/>
    <row r="142923" customFormat="1" x14ac:dyDescent="0.25"/>
    <row r="142924" customFormat="1" x14ac:dyDescent="0.25"/>
    <row r="142925" customFormat="1" x14ac:dyDescent="0.25"/>
    <row r="142926" customFormat="1" x14ac:dyDescent="0.25"/>
    <row r="142927" customFormat="1" x14ac:dyDescent="0.25"/>
    <row r="142928" customFormat="1" x14ac:dyDescent="0.25"/>
    <row r="142929" customFormat="1" x14ac:dyDescent="0.25"/>
    <row r="142930" customFormat="1" x14ac:dyDescent="0.25"/>
    <row r="142931" customFormat="1" x14ac:dyDescent="0.25"/>
    <row r="142932" customFormat="1" x14ac:dyDescent="0.25"/>
    <row r="142933" customFormat="1" x14ac:dyDescent="0.25"/>
    <row r="142934" customFormat="1" x14ac:dyDescent="0.25"/>
    <row r="142935" customFormat="1" x14ac:dyDescent="0.25"/>
    <row r="142936" customFormat="1" x14ac:dyDescent="0.25"/>
    <row r="142937" customFormat="1" x14ac:dyDescent="0.25"/>
    <row r="142938" customFormat="1" x14ac:dyDescent="0.25"/>
    <row r="142939" customFormat="1" x14ac:dyDescent="0.25"/>
    <row r="142940" customFormat="1" x14ac:dyDescent="0.25"/>
    <row r="142941" customFormat="1" x14ac:dyDescent="0.25"/>
    <row r="142942" customFormat="1" x14ac:dyDescent="0.25"/>
    <row r="142943" customFormat="1" x14ac:dyDescent="0.25"/>
    <row r="142944" customFormat="1" x14ac:dyDescent="0.25"/>
    <row r="142945" customFormat="1" x14ac:dyDescent="0.25"/>
    <row r="142946" customFormat="1" x14ac:dyDescent="0.25"/>
    <row r="142947" customFormat="1" x14ac:dyDescent="0.25"/>
    <row r="142948" customFormat="1" x14ac:dyDescent="0.25"/>
    <row r="142949" customFormat="1" x14ac:dyDescent="0.25"/>
    <row r="142950" customFormat="1" x14ac:dyDescent="0.25"/>
    <row r="142951" customFormat="1" x14ac:dyDescent="0.25"/>
    <row r="142952" customFormat="1" x14ac:dyDescent="0.25"/>
    <row r="142953" customFormat="1" x14ac:dyDescent="0.25"/>
    <row r="142954" customFormat="1" x14ac:dyDescent="0.25"/>
    <row r="142955" customFormat="1" x14ac:dyDescent="0.25"/>
    <row r="142956" customFormat="1" x14ac:dyDescent="0.25"/>
    <row r="142957" customFormat="1" x14ac:dyDescent="0.25"/>
    <row r="142958" customFormat="1" x14ac:dyDescent="0.25"/>
    <row r="142959" customFormat="1" x14ac:dyDescent="0.25"/>
    <row r="142960" customFormat="1" x14ac:dyDescent="0.25"/>
    <row r="142961" customFormat="1" x14ac:dyDescent="0.25"/>
    <row r="142962" customFormat="1" x14ac:dyDescent="0.25"/>
    <row r="142963" customFormat="1" x14ac:dyDescent="0.25"/>
    <row r="142964" customFormat="1" x14ac:dyDescent="0.25"/>
    <row r="142965" customFormat="1" x14ac:dyDescent="0.25"/>
    <row r="142966" customFormat="1" x14ac:dyDescent="0.25"/>
    <row r="142967" customFormat="1" x14ac:dyDescent="0.25"/>
    <row r="142968" customFormat="1" x14ac:dyDescent="0.25"/>
    <row r="142969" customFormat="1" x14ac:dyDescent="0.25"/>
    <row r="142970" customFormat="1" x14ac:dyDescent="0.25"/>
    <row r="142971" customFormat="1" x14ac:dyDescent="0.25"/>
    <row r="142972" customFormat="1" x14ac:dyDescent="0.25"/>
    <row r="142973" customFormat="1" x14ac:dyDescent="0.25"/>
    <row r="142974" customFormat="1" x14ac:dyDescent="0.25"/>
    <row r="142975" customFormat="1" x14ac:dyDescent="0.25"/>
    <row r="142976" customFormat="1" x14ac:dyDescent="0.25"/>
    <row r="142977" customFormat="1" x14ac:dyDescent="0.25"/>
    <row r="142978" customFormat="1" x14ac:dyDescent="0.25"/>
    <row r="142979" customFormat="1" x14ac:dyDescent="0.25"/>
    <row r="142980" customFormat="1" x14ac:dyDescent="0.25"/>
    <row r="142981" customFormat="1" x14ac:dyDescent="0.25"/>
    <row r="142982" customFormat="1" x14ac:dyDescent="0.25"/>
    <row r="142983" customFormat="1" x14ac:dyDescent="0.25"/>
    <row r="142984" customFormat="1" x14ac:dyDescent="0.25"/>
    <row r="142985" customFormat="1" x14ac:dyDescent="0.25"/>
    <row r="142986" customFormat="1" x14ac:dyDescent="0.25"/>
    <row r="142987" customFormat="1" x14ac:dyDescent="0.25"/>
    <row r="142988" customFormat="1" x14ac:dyDescent="0.25"/>
    <row r="142989" customFormat="1" x14ac:dyDescent="0.25"/>
    <row r="142990" customFormat="1" x14ac:dyDescent="0.25"/>
    <row r="142991" customFormat="1" x14ac:dyDescent="0.25"/>
    <row r="142992" customFormat="1" x14ac:dyDescent="0.25"/>
    <row r="142993" customFormat="1" x14ac:dyDescent="0.25"/>
    <row r="142994" customFormat="1" x14ac:dyDescent="0.25"/>
    <row r="142995" customFormat="1" x14ac:dyDescent="0.25"/>
    <row r="142996" customFormat="1" x14ac:dyDescent="0.25"/>
    <row r="142997" customFormat="1" x14ac:dyDescent="0.25"/>
    <row r="142998" customFormat="1" x14ac:dyDescent="0.25"/>
    <row r="142999" customFormat="1" x14ac:dyDescent="0.25"/>
    <row r="143000" customFormat="1" x14ac:dyDescent="0.25"/>
    <row r="143001" customFormat="1" x14ac:dyDescent="0.25"/>
    <row r="143002" customFormat="1" x14ac:dyDescent="0.25"/>
    <row r="143003" customFormat="1" x14ac:dyDescent="0.25"/>
    <row r="143004" customFormat="1" x14ac:dyDescent="0.25"/>
    <row r="143005" customFormat="1" x14ac:dyDescent="0.25"/>
    <row r="143006" customFormat="1" x14ac:dyDescent="0.25"/>
    <row r="143007" customFormat="1" x14ac:dyDescent="0.25"/>
    <row r="143008" customFormat="1" x14ac:dyDescent="0.25"/>
    <row r="143009" customFormat="1" x14ac:dyDescent="0.25"/>
    <row r="143010" customFormat="1" x14ac:dyDescent="0.25"/>
    <row r="143011" customFormat="1" x14ac:dyDescent="0.25"/>
    <row r="143012" customFormat="1" x14ac:dyDescent="0.25"/>
    <row r="143013" customFormat="1" x14ac:dyDescent="0.25"/>
    <row r="143014" customFormat="1" x14ac:dyDescent="0.25"/>
    <row r="143015" customFormat="1" x14ac:dyDescent="0.25"/>
    <row r="143016" customFormat="1" x14ac:dyDescent="0.25"/>
    <row r="143017" customFormat="1" x14ac:dyDescent="0.25"/>
    <row r="143018" customFormat="1" x14ac:dyDescent="0.25"/>
    <row r="143019" customFormat="1" x14ac:dyDescent="0.25"/>
    <row r="143020" customFormat="1" x14ac:dyDescent="0.25"/>
    <row r="143021" customFormat="1" x14ac:dyDescent="0.25"/>
    <row r="143022" customFormat="1" x14ac:dyDescent="0.25"/>
    <row r="143023" customFormat="1" x14ac:dyDescent="0.25"/>
    <row r="143024" customFormat="1" x14ac:dyDescent="0.25"/>
    <row r="143025" customFormat="1" x14ac:dyDescent="0.25"/>
    <row r="143026" customFormat="1" x14ac:dyDescent="0.25"/>
    <row r="143027" customFormat="1" x14ac:dyDescent="0.25"/>
    <row r="143028" customFormat="1" x14ac:dyDescent="0.25"/>
    <row r="143029" customFormat="1" x14ac:dyDescent="0.25"/>
    <row r="143030" customFormat="1" x14ac:dyDescent="0.25"/>
    <row r="143031" customFormat="1" x14ac:dyDescent="0.25"/>
    <row r="143032" customFormat="1" x14ac:dyDescent="0.25"/>
    <row r="143033" customFormat="1" x14ac:dyDescent="0.25"/>
    <row r="143034" customFormat="1" x14ac:dyDescent="0.25"/>
    <row r="143035" customFormat="1" x14ac:dyDescent="0.25"/>
    <row r="143036" customFormat="1" x14ac:dyDescent="0.25"/>
    <row r="143037" customFormat="1" x14ac:dyDescent="0.25"/>
    <row r="143038" customFormat="1" x14ac:dyDescent="0.25"/>
    <row r="143039" customFormat="1" x14ac:dyDescent="0.25"/>
    <row r="143040" customFormat="1" x14ac:dyDescent="0.25"/>
    <row r="143041" customFormat="1" x14ac:dyDescent="0.25"/>
    <row r="143042" customFormat="1" x14ac:dyDescent="0.25"/>
    <row r="143043" customFormat="1" x14ac:dyDescent="0.25"/>
    <row r="143044" customFormat="1" x14ac:dyDescent="0.25"/>
    <row r="143045" customFormat="1" x14ac:dyDescent="0.25"/>
    <row r="143046" customFormat="1" x14ac:dyDescent="0.25"/>
    <row r="143047" customFormat="1" x14ac:dyDescent="0.25"/>
    <row r="143048" customFormat="1" x14ac:dyDescent="0.25"/>
    <row r="143049" customFormat="1" x14ac:dyDescent="0.25"/>
    <row r="143050" customFormat="1" x14ac:dyDescent="0.25"/>
    <row r="143051" customFormat="1" x14ac:dyDescent="0.25"/>
    <row r="143052" customFormat="1" x14ac:dyDescent="0.25"/>
    <row r="143053" customFormat="1" x14ac:dyDescent="0.25"/>
    <row r="143054" customFormat="1" x14ac:dyDescent="0.25"/>
    <row r="143055" customFormat="1" x14ac:dyDescent="0.25"/>
    <row r="143056" customFormat="1" x14ac:dyDescent="0.25"/>
    <row r="143057" customFormat="1" x14ac:dyDescent="0.25"/>
    <row r="143058" customFormat="1" x14ac:dyDescent="0.25"/>
    <row r="143059" customFormat="1" x14ac:dyDescent="0.25"/>
    <row r="143060" customFormat="1" x14ac:dyDescent="0.25"/>
    <row r="143061" customFormat="1" x14ac:dyDescent="0.25"/>
    <row r="143062" customFormat="1" x14ac:dyDescent="0.25"/>
    <row r="143063" customFormat="1" x14ac:dyDescent="0.25"/>
    <row r="143064" customFormat="1" x14ac:dyDescent="0.25"/>
    <row r="143065" customFormat="1" x14ac:dyDescent="0.25"/>
    <row r="143066" customFormat="1" x14ac:dyDescent="0.25"/>
    <row r="143067" customFormat="1" x14ac:dyDescent="0.25"/>
    <row r="143068" customFormat="1" x14ac:dyDescent="0.25"/>
    <row r="143069" customFormat="1" x14ac:dyDescent="0.25"/>
    <row r="143070" customFormat="1" x14ac:dyDescent="0.25"/>
    <row r="143071" customFormat="1" x14ac:dyDescent="0.25"/>
    <row r="143072" customFormat="1" x14ac:dyDescent="0.25"/>
    <row r="143073" customFormat="1" x14ac:dyDescent="0.25"/>
    <row r="143074" customFormat="1" x14ac:dyDescent="0.25"/>
    <row r="143075" customFormat="1" x14ac:dyDescent="0.25"/>
    <row r="143076" customFormat="1" x14ac:dyDescent="0.25"/>
    <row r="143077" customFormat="1" x14ac:dyDescent="0.25"/>
    <row r="143078" customFormat="1" x14ac:dyDescent="0.25"/>
    <row r="143079" customFormat="1" x14ac:dyDescent="0.25"/>
    <row r="143080" customFormat="1" x14ac:dyDescent="0.25"/>
    <row r="143081" customFormat="1" x14ac:dyDescent="0.25"/>
    <row r="143082" customFormat="1" x14ac:dyDescent="0.25"/>
    <row r="143083" customFormat="1" x14ac:dyDescent="0.25"/>
    <row r="143084" customFormat="1" x14ac:dyDescent="0.25"/>
    <row r="143085" customFormat="1" x14ac:dyDescent="0.25"/>
    <row r="143086" customFormat="1" x14ac:dyDescent="0.25"/>
    <row r="143087" customFormat="1" x14ac:dyDescent="0.25"/>
    <row r="143088" customFormat="1" x14ac:dyDescent="0.25"/>
    <row r="143089" customFormat="1" x14ac:dyDescent="0.25"/>
    <row r="143090" customFormat="1" x14ac:dyDescent="0.25"/>
    <row r="143091" customFormat="1" x14ac:dyDescent="0.25"/>
    <row r="143092" customFormat="1" x14ac:dyDescent="0.25"/>
    <row r="143093" customFormat="1" x14ac:dyDescent="0.25"/>
    <row r="143094" customFormat="1" x14ac:dyDescent="0.25"/>
    <row r="143095" customFormat="1" x14ac:dyDescent="0.25"/>
    <row r="143096" customFormat="1" x14ac:dyDescent="0.25"/>
    <row r="143097" customFormat="1" x14ac:dyDescent="0.25"/>
    <row r="143098" customFormat="1" x14ac:dyDescent="0.25"/>
    <row r="143099" customFormat="1" x14ac:dyDescent="0.25"/>
    <row r="143100" customFormat="1" x14ac:dyDescent="0.25"/>
    <row r="143101" customFormat="1" x14ac:dyDescent="0.25"/>
    <row r="143102" customFormat="1" x14ac:dyDescent="0.25"/>
    <row r="143103" customFormat="1" x14ac:dyDescent="0.25"/>
    <row r="143104" customFormat="1" x14ac:dyDescent="0.25"/>
    <row r="143105" customFormat="1" x14ac:dyDescent="0.25"/>
    <row r="143106" customFormat="1" x14ac:dyDescent="0.25"/>
    <row r="143107" customFormat="1" x14ac:dyDescent="0.25"/>
    <row r="143108" customFormat="1" x14ac:dyDescent="0.25"/>
    <row r="143109" customFormat="1" x14ac:dyDescent="0.25"/>
    <row r="143110" customFormat="1" x14ac:dyDescent="0.25"/>
    <row r="143111" customFormat="1" x14ac:dyDescent="0.25"/>
    <row r="143112" customFormat="1" x14ac:dyDescent="0.25"/>
    <row r="143113" customFormat="1" x14ac:dyDescent="0.25"/>
    <row r="143114" customFormat="1" x14ac:dyDescent="0.25"/>
    <row r="143115" customFormat="1" x14ac:dyDescent="0.25"/>
    <row r="143116" customFormat="1" x14ac:dyDescent="0.25"/>
    <row r="143117" customFormat="1" x14ac:dyDescent="0.25"/>
    <row r="143118" customFormat="1" x14ac:dyDescent="0.25"/>
    <row r="143119" customFormat="1" x14ac:dyDescent="0.25"/>
    <row r="143120" customFormat="1" x14ac:dyDescent="0.25"/>
    <row r="143121" customFormat="1" x14ac:dyDescent="0.25"/>
    <row r="143122" customFormat="1" x14ac:dyDescent="0.25"/>
    <row r="143123" customFormat="1" x14ac:dyDescent="0.25"/>
    <row r="143124" customFormat="1" x14ac:dyDescent="0.25"/>
    <row r="143125" customFormat="1" x14ac:dyDescent="0.25"/>
    <row r="143126" customFormat="1" x14ac:dyDescent="0.25"/>
    <row r="143127" customFormat="1" x14ac:dyDescent="0.25"/>
    <row r="143128" customFormat="1" x14ac:dyDescent="0.25"/>
    <row r="143129" customFormat="1" x14ac:dyDescent="0.25"/>
    <row r="143130" customFormat="1" x14ac:dyDescent="0.25"/>
    <row r="143131" customFormat="1" x14ac:dyDescent="0.25"/>
    <row r="143132" customFormat="1" x14ac:dyDescent="0.25"/>
    <row r="143133" customFormat="1" x14ac:dyDescent="0.25"/>
    <row r="143134" customFormat="1" x14ac:dyDescent="0.25"/>
    <row r="143135" customFormat="1" x14ac:dyDescent="0.25"/>
    <row r="143136" customFormat="1" x14ac:dyDescent="0.25"/>
    <row r="143137" customFormat="1" x14ac:dyDescent="0.25"/>
    <row r="143138" customFormat="1" x14ac:dyDescent="0.25"/>
    <row r="143139" customFormat="1" x14ac:dyDescent="0.25"/>
    <row r="143140" customFormat="1" x14ac:dyDescent="0.25"/>
    <row r="143141" customFormat="1" x14ac:dyDescent="0.25"/>
    <row r="143142" customFormat="1" x14ac:dyDescent="0.25"/>
    <row r="143143" customFormat="1" x14ac:dyDescent="0.25"/>
    <row r="143144" customFormat="1" x14ac:dyDescent="0.25"/>
    <row r="143145" customFormat="1" x14ac:dyDescent="0.25"/>
    <row r="143146" customFormat="1" x14ac:dyDescent="0.25"/>
    <row r="143147" customFormat="1" x14ac:dyDescent="0.25"/>
    <row r="143148" customFormat="1" x14ac:dyDescent="0.25"/>
    <row r="143149" customFormat="1" x14ac:dyDescent="0.25"/>
    <row r="143150" customFormat="1" x14ac:dyDescent="0.25"/>
    <row r="143151" customFormat="1" x14ac:dyDescent="0.25"/>
    <row r="143152" customFormat="1" x14ac:dyDescent="0.25"/>
    <row r="143153" customFormat="1" x14ac:dyDescent="0.25"/>
    <row r="143154" customFormat="1" x14ac:dyDescent="0.25"/>
    <row r="143155" customFormat="1" x14ac:dyDescent="0.25"/>
    <row r="143156" customFormat="1" x14ac:dyDescent="0.25"/>
    <row r="143157" customFormat="1" x14ac:dyDescent="0.25"/>
    <row r="143158" customFormat="1" x14ac:dyDescent="0.25"/>
    <row r="143159" customFormat="1" x14ac:dyDescent="0.25"/>
    <row r="143160" customFormat="1" x14ac:dyDescent="0.25"/>
    <row r="143161" customFormat="1" x14ac:dyDescent="0.25"/>
    <row r="143162" customFormat="1" x14ac:dyDescent="0.25"/>
    <row r="143163" customFormat="1" x14ac:dyDescent="0.25"/>
    <row r="143164" customFormat="1" x14ac:dyDescent="0.25"/>
    <row r="143165" customFormat="1" x14ac:dyDescent="0.25"/>
    <row r="143166" customFormat="1" x14ac:dyDescent="0.25"/>
    <row r="143167" customFormat="1" x14ac:dyDescent="0.25"/>
    <row r="143168" customFormat="1" x14ac:dyDescent="0.25"/>
    <row r="143169" customFormat="1" x14ac:dyDescent="0.25"/>
    <row r="143170" customFormat="1" x14ac:dyDescent="0.25"/>
    <row r="143171" customFormat="1" x14ac:dyDescent="0.25"/>
    <row r="143172" customFormat="1" x14ac:dyDescent="0.25"/>
    <row r="143173" customFormat="1" x14ac:dyDescent="0.25"/>
    <row r="143174" customFormat="1" x14ac:dyDescent="0.25"/>
    <row r="143175" customFormat="1" x14ac:dyDescent="0.25"/>
    <row r="143176" customFormat="1" x14ac:dyDescent="0.25"/>
    <row r="143177" customFormat="1" x14ac:dyDescent="0.25"/>
    <row r="143178" customFormat="1" x14ac:dyDescent="0.25"/>
    <row r="143179" customFormat="1" x14ac:dyDescent="0.25"/>
    <row r="143180" customFormat="1" x14ac:dyDescent="0.25"/>
    <row r="143181" customFormat="1" x14ac:dyDescent="0.25"/>
    <row r="143182" customFormat="1" x14ac:dyDescent="0.25"/>
    <row r="143183" customFormat="1" x14ac:dyDescent="0.25"/>
    <row r="143184" customFormat="1" x14ac:dyDescent="0.25"/>
    <row r="143185" customFormat="1" x14ac:dyDescent="0.25"/>
    <row r="143186" customFormat="1" x14ac:dyDescent="0.25"/>
    <row r="143187" customFormat="1" x14ac:dyDescent="0.25"/>
    <row r="143188" customFormat="1" x14ac:dyDescent="0.25"/>
    <row r="143189" customFormat="1" x14ac:dyDescent="0.25"/>
    <row r="143190" customFormat="1" x14ac:dyDescent="0.25"/>
    <row r="143191" customFormat="1" x14ac:dyDescent="0.25"/>
    <row r="143192" customFormat="1" x14ac:dyDescent="0.25"/>
    <row r="143193" customFormat="1" x14ac:dyDescent="0.25"/>
    <row r="143194" customFormat="1" x14ac:dyDescent="0.25"/>
    <row r="143195" customFormat="1" x14ac:dyDescent="0.25"/>
    <row r="143196" customFormat="1" x14ac:dyDescent="0.25"/>
    <row r="143197" customFormat="1" x14ac:dyDescent="0.25"/>
    <row r="143198" customFormat="1" x14ac:dyDescent="0.25"/>
    <row r="143199" customFormat="1" x14ac:dyDescent="0.25"/>
    <row r="143200" customFormat="1" x14ac:dyDescent="0.25"/>
    <row r="143201" customFormat="1" x14ac:dyDescent="0.25"/>
    <row r="143202" customFormat="1" x14ac:dyDescent="0.25"/>
    <row r="143203" customFormat="1" x14ac:dyDescent="0.25"/>
    <row r="143204" customFormat="1" x14ac:dyDescent="0.25"/>
    <row r="143205" customFormat="1" x14ac:dyDescent="0.25"/>
    <row r="143206" customFormat="1" x14ac:dyDescent="0.25"/>
    <row r="143207" customFormat="1" x14ac:dyDescent="0.25"/>
    <row r="143208" customFormat="1" x14ac:dyDescent="0.25"/>
    <row r="143209" customFormat="1" x14ac:dyDescent="0.25"/>
    <row r="143210" customFormat="1" x14ac:dyDescent="0.25"/>
    <row r="143211" customFormat="1" x14ac:dyDescent="0.25"/>
    <row r="143212" customFormat="1" x14ac:dyDescent="0.25"/>
    <row r="143213" customFormat="1" x14ac:dyDescent="0.25"/>
    <row r="143214" customFormat="1" x14ac:dyDescent="0.25"/>
    <row r="143215" customFormat="1" x14ac:dyDescent="0.25"/>
    <row r="143216" customFormat="1" x14ac:dyDescent="0.25"/>
    <row r="143217" customFormat="1" x14ac:dyDescent="0.25"/>
    <row r="143218" customFormat="1" x14ac:dyDescent="0.25"/>
    <row r="143219" customFormat="1" x14ac:dyDescent="0.25"/>
    <row r="143220" customFormat="1" x14ac:dyDescent="0.25"/>
    <row r="143221" customFormat="1" x14ac:dyDescent="0.25"/>
    <row r="143222" customFormat="1" x14ac:dyDescent="0.25"/>
    <row r="143223" customFormat="1" x14ac:dyDescent="0.25"/>
    <row r="143224" customFormat="1" x14ac:dyDescent="0.25"/>
    <row r="143225" customFormat="1" x14ac:dyDescent="0.25"/>
    <row r="143226" customFormat="1" x14ac:dyDescent="0.25"/>
    <row r="143227" customFormat="1" x14ac:dyDescent="0.25"/>
    <row r="143228" customFormat="1" x14ac:dyDescent="0.25"/>
    <row r="143229" customFormat="1" x14ac:dyDescent="0.25"/>
    <row r="143230" customFormat="1" x14ac:dyDescent="0.25"/>
    <row r="143231" customFormat="1" x14ac:dyDescent="0.25"/>
    <row r="143232" customFormat="1" x14ac:dyDescent="0.25"/>
    <row r="143233" customFormat="1" x14ac:dyDescent="0.25"/>
    <row r="143234" customFormat="1" x14ac:dyDescent="0.25"/>
    <row r="143235" customFormat="1" x14ac:dyDescent="0.25"/>
    <row r="143236" customFormat="1" x14ac:dyDescent="0.25"/>
    <row r="143237" customFormat="1" x14ac:dyDescent="0.25"/>
    <row r="143238" customFormat="1" x14ac:dyDescent="0.25"/>
    <row r="143239" customFormat="1" x14ac:dyDescent="0.25"/>
    <row r="143240" customFormat="1" x14ac:dyDescent="0.25"/>
    <row r="143241" customFormat="1" x14ac:dyDescent="0.25"/>
    <row r="143242" customFormat="1" x14ac:dyDescent="0.25"/>
    <row r="143243" customFormat="1" x14ac:dyDescent="0.25"/>
    <row r="143244" customFormat="1" x14ac:dyDescent="0.25"/>
    <row r="143245" customFormat="1" x14ac:dyDescent="0.25"/>
    <row r="143246" customFormat="1" x14ac:dyDescent="0.25"/>
    <row r="143247" customFormat="1" x14ac:dyDescent="0.25"/>
    <row r="143248" customFormat="1" x14ac:dyDescent="0.25"/>
    <row r="143249" customFormat="1" x14ac:dyDescent="0.25"/>
    <row r="143250" customFormat="1" x14ac:dyDescent="0.25"/>
    <row r="143251" customFormat="1" x14ac:dyDescent="0.25"/>
    <row r="143252" customFormat="1" x14ac:dyDescent="0.25"/>
    <row r="143253" customFormat="1" x14ac:dyDescent="0.25"/>
    <row r="143254" customFormat="1" x14ac:dyDescent="0.25"/>
    <row r="143255" customFormat="1" x14ac:dyDescent="0.25"/>
    <row r="143256" customFormat="1" x14ac:dyDescent="0.25"/>
    <row r="143257" customFormat="1" x14ac:dyDescent="0.25"/>
    <row r="143258" customFormat="1" x14ac:dyDescent="0.25"/>
    <row r="143259" customFormat="1" x14ac:dyDescent="0.25"/>
    <row r="143260" customFormat="1" x14ac:dyDescent="0.25"/>
    <row r="143261" customFormat="1" x14ac:dyDescent="0.25"/>
    <row r="143262" customFormat="1" x14ac:dyDescent="0.25"/>
    <row r="143263" customFormat="1" x14ac:dyDescent="0.25"/>
    <row r="143264" customFormat="1" x14ac:dyDescent="0.25"/>
    <row r="143265" customFormat="1" x14ac:dyDescent="0.25"/>
    <row r="143266" customFormat="1" x14ac:dyDescent="0.25"/>
    <row r="143267" customFormat="1" x14ac:dyDescent="0.25"/>
    <row r="143268" customFormat="1" x14ac:dyDescent="0.25"/>
    <row r="143269" customFormat="1" x14ac:dyDescent="0.25"/>
    <row r="143270" customFormat="1" x14ac:dyDescent="0.25"/>
    <row r="143271" customFormat="1" x14ac:dyDescent="0.25"/>
    <row r="143272" customFormat="1" x14ac:dyDescent="0.25"/>
    <row r="143273" customFormat="1" x14ac:dyDescent="0.25"/>
    <row r="143274" customFormat="1" x14ac:dyDescent="0.25"/>
    <row r="143275" customFormat="1" x14ac:dyDescent="0.25"/>
    <row r="143276" customFormat="1" x14ac:dyDescent="0.25"/>
    <row r="143277" customFormat="1" x14ac:dyDescent="0.25"/>
    <row r="143278" customFormat="1" x14ac:dyDescent="0.25"/>
    <row r="143279" customFormat="1" x14ac:dyDescent="0.25"/>
    <row r="143280" customFormat="1" x14ac:dyDescent="0.25"/>
    <row r="143281" customFormat="1" x14ac:dyDescent="0.25"/>
    <row r="143282" customFormat="1" x14ac:dyDescent="0.25"/>
    <row r="143283" customFormat="1" x14ac:dyDescent="0.25"/>
    <row r="143284" customFormat="1" x14ac:dyDescent="0.25"/>
    <row r="143285" customFormat="1" x14ac:dyDescent="0.25"/>
    <row r="143286" customFormat="1" x14ac:dyDescent="0.25"/>
    <row r="143287" customFormat="1" x14ac:dyDescent="0.25"/>
    <row r="143288" customFormat="1" x14ac:dyDescent="0.25"/>
    <row r="143289" customFormat="1" x14ac:dyDescent="0.25"/>
    <row r="143290" customFormat="1" x14ac:dyDescent="0.25"/>
    <row r="143291" customFormat="1" x14ac:dyDescent="0.25"/>
    <row r="143292" customFormat="1" x14ac:dyDescent="0.25"/>
    <row r="143293" customFormat="1" x14ac:dyDescent="0.25"/>
    <row r="143294" customFormat="1" x14ac:dyDescent="0.25"/>
    <row r="143295" customFormat="1" x14ac:dyDescent="0.25"/>
    <row r="143296" customFormat="1" x14ac:dyDescent="0.25"/>
    <row r="143297" customFormat="1" x14ac:dyDescent="0.25"/>
    <row r="143298" customFormat="1" x14ac:dyDescent="0.25"/>
    <row r="143299" customFormat="1" x14ac:dyDescent="0.25"/>
    <row r="143300" customFormat="1" x14ac:dyDescent="0.25"/>
    <row r="143301" customFormat="1" x14ac:dyDescent="0.25"/>
    <row r="143302" customFormat="1" x14ac:dyDescent="0.25"/>
    <row r="143303" customFormat="1" x14ac:dyDescent="0.25"/>
    <row r="143304" customFormat="1" x14ac:dyDescent="0.25"/>
    <row r="143305" customFormat="1" x14ac:dyDescent="0.25"/>
    <row r="143306" customFormat="1" x14ac:dyDescent="0.25"/>
    <row r="143307" customFormat="1" x14ac:dyDescent="0.25"/>
    <row r="143308" customFormat="1" x14ac:dyDescent="0.25"/>
    <row r="143309" customFormat="1" x14ac:dyDescent="0.25"/>
    <row r="143310" customFormat="1" x14ac:dyDescent="0.25"/>
    <row r="143311" customFormat="1" x14ac:dyDescent="0.25"/>
    <row r="143312" customFormat="1" x14ac:dyDescent="0.25"/>
    <row r="143313" customFormat="1" x14ac:dyDescent="0.25"/>
    <row r="143314" customFormat="1" x14ac:dyDescent="0.25"/>
    <row r="143315" customFormat="1" x14ac:dyDescent="0.25"/>
    <row r="143316" customFormat="1" x14ac:dyDescent="0.25"/>
    <row r="143317" customFormat="1" x14ac:dyDescent="0.25"/>
    <row r="143318" customFormat="1" x14ac:dyDescent="0.25"/>
    <row r="143319" customFormat="1" x14ac:dyDescent="0.25"/>
    <row r="143320" customFormat="1" x14ac:dyDescent="0.25"/>
    <row r="143321" customFormat="1" x14ac:dyDescent="0.25"/>
    <row r="143322" customFormat="1" x14ac:dyDescent="0.25"/>
    <row r="143323" customFormat="1" x14ac:dyDescent="0.25"/>
    <row r="143324" customFormat="1" x14ac:dyDescent="0.25"/>
    <row r="143325" customFormat="1" x14ac:dyDescent="0.25"/>
    <row r="143326" customFormat="1" x14ac:dyDescent="0.25"/>
    <row r="143327" customFormat="1" x14ac:dyDescent="0.25"/>
    <row r="143328" customFormat="1" x14ac:dyDescent="0.25"/>
    <row r="143329" customFormat="1" x14ac:dyDescent="0.25"/>
    <row r="143330" customFormat="1" x14ac:dyDescent="0.25"/>
    <row r="143331" customFormat="1" x14ac:dyDescent="0.25"/>
    <row r="143332" customFormat="1" x14ac:dyDescent="0.25"/>
    <row r="143333" customFormat="1" x14ac:dyDescent="0.25"/>
    <row r="143334" customFormat="1" x14ac:dyDescent="0.25"/>
    <row r="143335" customFormat="1" x14ac:dyDescent="0.25"/>
    <row r="143336" customFormat="1" x14ac:dyDescent="0.25"/>
    <row r="143337" customFormat="1" x14ac:dyDescent="0.25"/>
    <row r="143338" customFormat="1" x14ac:dyDescent="0.25"/>
    <row r="143339" customFormat="1" x14ac:dyDescent="0.25"/>
    <row r="143340" customFormat="1" x14ac:dyDescent="0.25"/>
    <row r="143341" customFormat="1" x14ac:dyDescent="0.25"/>
    <row r="143342" customFormat="1" x14ac:dyDescent="0.25"/>
    <row r="143343" customFormat="1" x14ac:dyDescent="0.25"/>
    <row r="143344" customFormat="1" x14ac:dyDescent="0.25"/>
    <row r="143345" customFormat="1" x14ac:dyDescent="0.25"/>
    <row r="143346" customFormat="1" x14ac:dyDescent="0.25"/>
    <row r="143347" customFormat="1" x14ac:dyDescent="0.25"/>
    <row r="143348" customFormat="1" x14ac:dyDescent="0.25"/>
    <row r="143349" customFormat="1" x14ac:dyDescent="0.25"/>
    <row r="143350" customFormat="1" x14ac:dyDescent="0.25"/>
    <row r="143351" customFormat="1" x14ac:dyDescent="0.25"/>
    <row r="143352" customFormat="1" x14ac:dyDescent="0.25"/>
    <row r="143353" customFormat="1" x14ac:dyDescent="0.25"/>
    <row r="143354" customFormat="1" x14ac:dyDescent="0.25"/>
    <row r="143355" customFormat="1" x14ac:dyDescent="0.25"/>
    <row r="143356" customFormat="1" x14ac:dyDescent="0.25"/>
    <row r="143357" customFormat="1" x14ac:dyDescent="0.25"/>
    <row r="143358" customFormat="1" x14ac:dyDescent="0.25"/>
    <row r="143359" customFormat="1" x14ac:dyDescent="0.25"/>
    <row r="143360" customFormat="1" x14ac:dyDescent="0.25"/>
    <row r="143361" customFormat="1" x14ac:dyDescent="0.25"/>
    <row r="143362" customFormat="1" x14ac:dyDescent="0.25"/>
    <row r="143363" customFormat="1" x14ac:dyDescent="0.25"/>
    <row r="143364" customFormat="1" x14ac:dyDescent="0.25"/>
    <row r="143365" customFormat="1" x14ac:dyDescent="0.25"/>
    <row r="143366" customFormat="1" x14ac:dyDescent="0.25"/>
    <row r="143367" customFormat="1" x14ac:dyDescent="0.25"/>
    <row r="143368" customFormat="1" x14ac:dyDescent="0.25"/>
    <row r="143369" customFormat="1" x14ac:dyDescent="0.25"/>
    <row r="143370" customFormat="1" x14ac:dyDescent="0.25"/>
    <row r="143371" customFormat="1" x14ac:dyDescent="0.25"/>
    <row r="143372" customFormat="1" x14ac:dyDescent="0.25"/>
    <row r="143373" customFormat="1" x14ac:dyDescent="0.25"/>
    <row r="143374" customFormat="1" x14ac:dyDescent="0.25"/>
    <row r="143375" customFormat="1" x14ac:dyDescent="0.25"/>
    <row r="143376" customFormat="1" x14ac:dyDescent="0.25"/>
    <row r="143377" customFormat="1" x14ac:dyDescent="0.25"/>
    <row r="143378" customFormat="1" x14ac:dyDescent="0.25"/>
    <row r="143379" customFormat="1" x14ac:dyDescent="0.25"/>
    <row r="143380" customFormat="1" x14ac:dyDescent="0.25"/>
    <row r="143381" customFormat="1" x14ac:dyDescent="0.25"/>
    <row r="143382" customFormat="1" x14ac:dyDescent="0.25"/>
    <row r="143383" customFormat="1" x14ac:dyDescent="0.25"/>
    <row r="143384" customFormat="1" x14ac:dyDescent="0.25"/>
    <row r="143385" customFormat="1" x14ac:dyDescent="0.25"/>
    <row r="143386" customFormat="1" x14ac:dyDescent="0.25"/>
    <row r="143387" customFormat="1" x14ac:dyDescent="0.25"/>
    <row r="143388" customFormat="1" x14ac:dyDescent="0.25"/>
    <row r="143389" customFormat="1" x14ac:dyDescent="0.25"/>
    <row r="143390" customFormat="1" x14ac:dyDescent="0.25"/>
    <row r="143391" customFormat="1" x14ac:dyDescent="0.25"/>
    <row r="143392" customFormat="1" x14ac:dyDescent="0.25"/>
    <row r="143393" customFormat="1" x14ac:dyDescent="0.25"/>
    <row r="143394" customFormat="1" x14ac:dyDescent="0.25"/>
    <row r="143395" customFormat="1" x14ac:dyDescent="0.25"/>
    <row r="143396" customFormat="1" x14ac:dyDescent="0.25"/>
    <row r="143397" customFormat="1" x14ac:dyDescent="0.25"/>
    <row r="143398" customFormat="1" x14ac:dyDescent="0.25"/>
    <row r="143399" customFormat="1" x14ac:dyDescent="0.25"/>
    <row r="143400" customFormat="1" x14ac:dyDescent="0.25"/>
    <row r="143401" customFormat="1" x14ac:dyDescent="0.25"/>
    <row r="143402" customFormat="1" x14ac:dyDescent="0.25"/>
    <row r="143403" customFormat="1" x14ac:dyDescent="0.25"/>
    <row r="143404" customFormat="1" x14ac:dyDescent="0.25"/>
    <row r="143405" customFormat="1" x14ac:dyDescent="0.25"/>
    <row r="143406" customFormat="1" x14ac:dyDescent="0.25"/>
    <row r="143407" customFormat="1" x14ac:dyDescent="0.25"/>
    <row r="143408" customFormat="1" x14ac:dyDescent="0.25"/>
    <row r="143409" customFormat="1" x14ac:dyDescent="0.25"/>
    <row r="143410" customFormat="1" x14ac:dyDescent="0.25"/>
    <row r="143411" customFormat="1" x14ac:dyDescent="0.25"/>
    <row r="143412" customFormat="1" x14ac:dyDescent="0.25"/>
    <row r="143413" customFormat="1" x14ac:dyDescent="0.25"/>
    <row r="143414" customFormat="1" x14ac:dyDescent="0.25"/>
    <row r="143415" customFormat="1" x14ac:dyDescent="0.25"/>
    <row r="143416" customFormat="1" x14ac:dyDescent="0.25"/>
    <row r="143417" customFormat="1" x14ac:dyDescent="0.25"/>
    <row r="143418" customFormat="1" x14ac:dyDescent="0.25"/>
    <row r="143419" customFormat="1" x14ac:dyDescent="0.25"/>
    <row r="143420" customFormat="1" x14ac:dyDescent="0.25"/>
    <row r="143421" customFormat="1" x14ac:dyDescent="0.25"/>
    <row r="143422" customFormat="1" x14ac:dyDescent="0.25"/>
    <row r="143423" customFormat="1" x14ac:dyDescent="0.25"/>
    <row r="143424" customFormat="1" x14ac:dyDescent="0.25"/>
    <row r="143425" customFormat="1" x14ac:dyDescent="0.25"/>
    <row r="143426" customFormat="1" x14ac:dyDescent="0.25"/>
    <row r="143427" customFormat="1" x14ac:dyDescent="0.25"/>
    <row r="143428" customFormat="1" x14ac:dyDescent="0.25"/>
    <row r="143429" customFormat="1" x14ac:dyDescent="0.25"/>
    <row r="143430" customFormat="1" x14ac:dyDescent="0.25"/>
    <row r="143431" customFormat="1" x14ac:dyDescent="0.25"/>
    <row r="143432" customFormat="1" x14ac:dyDescent="0.25"/>
    <row r="143433" customFormat="1" x14ac:dyDescent="0.25"/>
    <row r="143434" customFormat="1" x14ac:dyDescent="0.25"/>
    <row r="143435" customFormat="1" x14ac:dyDescent="0.25"/>
    <row r="143436" customFormat="1" x14ac:dyDescent="0.25"/>
    <row r="143437" customFormat="1" x14ac:dyDescent="0.25"/>
    <row r="143438" customFormat="1" x14ac:dyDescent="0.25"/>
    <row r="143439" customFormat="1" x14ac:dyDescent="0.25"/>
    <row r="143440" customFormat="1" x14ac:dyDescent="0.25"/>
    <row r="143441" customFormat="1" x14ac:dyDescent="0.25"/>
    <row r="143442" customFormat="1" x14ac:dyDescent="0.25"/>
    <row r="143443" customFormat="1" x14ac:dyDescent="0.25"/>
    <row r="143444" customFormat="1" x14ac:dyDescent="0.25"/>
    <row r="143445" customFormat="1" x14ac:dyDescent="0.25"/>
    <row r="143446" customFormat="1" x14ac:dyDescent="0.25"/>
    <row r="143447" customFormat="1" x14ac:dyDescent="0.25"/>
    <row r="143448" customFormat="1" x14ac:dyDescent="0.25"/>
    <row r="143449" customFormat="1" x14ac:dyDescent="0.25"/>
    <row r="143450" customFormat="1" x14ac:dyDescent="0.25"/>
    <row r="143451" customFormat="1" x14ac:dyDescent="0.25"/>
    <row r="143452" customFormat="1" x14ac:dyDescent="0.25"/>
    <row r="143453" customFormat="1" x14ac:dyDescent="0.25"/>
    <row r="143454" customFormat="1" x14ac:dyDescent="0.25"/>
    <row r="143455" customFormat="1" x14ac:dyDescent="0.25"/>
    <row r="143456" customFormat="1" x14ac:dyDescent="0.25"/>
    <row r="143457" customFormat="1" x14ac:dyDescent="0.25"/>
    <row r="143458" customFormat="1" x14ac:dyDescent="0.25"/>
    <row r="143459" customFormat="1" x14ac:dyDescent="0.25"/>
    <row r="143460" customFormat="1" x14ac:dyDescent="0.25"/>
    <row r="143461" customFormat="1" x14ac:dyDescent="0.25"/>
    <row r="143462" customFormat="1" x14ac:dyDescent="0.25"/>
    <row r="143463" customFormat="1" x14ac:dyDescent="0.25"/>
    <row r="143464" customFormat="1" x14ac:dyDescent="0.25"/>
    <row r="143465" customFormat="1" x14ac:dyDescent="0.25"/>
    <row r="143466" customFormat="1" x14ac:dyDescent="0.25"/>
    <row r="143467" customFormat="1" x14ac:dyDescent="0.25"/>
    <row r="143468" customFormat="1" x14ac:dyDescent="0.25"/>
    <row r="143469" customFormat="1" x14ac:dyDescent="0.25"/>
    <row r="143470" customFormat="1" x14ac:dyDescent="0.25"/>
    <row r="143471" customFormat="1" x14ac:dyDescent="0.25"/>
    <row r="143472" customFormat="1" x14ac:dyDescent="0.25"/>
    <row r="143473" customFormat="1" x14ac:dyDescent="0.25"/>
    <row r="143474" customFormat="1" x14ac:dyDescent="0.25"/>
    <row r="143475" customFormat="1" x14ac:dyDescent="0.25"/>
    <row r="143476" customFormat="1" x14ac:dyDescent="0.25"/>
    <row r="143477" customFormat="1" x14ac:dyDescent="0.25"/>
    <row r="143478" customFormat="1" x14ac:dyDescent="0.25"/>
    <row r="143479" customFormat="1" x14ac:dyDescent="0.25"/>
    <row r="143480" customFormat="1" x14ac:dyDescent="0.25"/>
    <row r="143481" customFormat="1" x14ac:dyDescent="0.25"/>
    <row r="143482" customFormat="1" x14ac:dyDescent="0.25"/>
    <row r="143483" customFormat="1" x14ac:dyDescent="0.25"/>
    <row r="143484" customFormat="1" x14ac:dyDescent="0.25"/>
    <row r="143485" customFormat="1" x14ac:dyDescent="0.25"/>
    <row r="143486" customFormat="1" x14ac:dyDescent="0.25"/>
    <row r="143487" customFormat="1" x14ac:dyDescent="0.25"/>
    <row r="143488" customFormat="1" x14ac:dyDescent="0.25"/>
    <row r="143489" customFormat="1" x14ac:dyDescent="0.25"/>
    <row r="143490" customFormat="1" x14ac:dyDescent="0.25"/>
    <row r="143491" customFormat="1" x14ac:dyDescent="0.25"/>
    <row r="143492" customFormat="1" x14ac:dyDescent="0.25"/>
    <row r="143493" customFormat="1" x14ac:dyDescent="0.25"/>
    <row r="143494" customFormat="1" x14ac:dyDescent="0.25"/>
    <row r="143495" customFormat="1" x14ac:dyDescent="0.25"/>
    <row r="143496" customFormat="1" x14ac:dyDescent="0.25"/>
    <row r="143497" customFormat="1" x14ac:dyDescent="0.25"/>
    <row r="143498" customFormat="1" x14ac:dyDescent="0.25"/>
    <row r="143499" customFormat="1" x14ac:dyDescent="0.25"/>
    <row r="143500" customFormat="1" x14ac:dyDescent="0.25"/>
    <row r="143501" customFormat="1" x14ac:dyDescent="0.25"/>
    <row r="143502" customFormat="1" x14ac:dyDescent="0.25"/>
    <row r="143503" customFormat="1" x14ac:dyDescent="0.25"/>
    <row r="143504" customFormat="1" x14ac:dyDescent="0.25"/>
    <row r="143505" customFormat="1" x14ac:dyDescent="0.25"/>
    <row r="143506" customFormat="1" x14ac:dyDescent="0.25"/>
    <row r="143507" customFormat="1" x14ac:dyDescent="0.25"/>
    <row r="143508" customFormat="1" x14ac:dyDescent="0.25"/>
    <row r="143509" customFormat="1" x14ac:dyDescent="0.25"/>
    <row r="143510" customFormat="1" x14ac:dyDescent="0.25"/>
    <row r="143511" customFormat="1" x14ac:dyDescent="0.25"/>
    <row r="143512" customFormat="1" x14ac:dyDescent="0.25"/>
    <row r="143513" customFormat="1" x14ac:dyDescent="0.25"/>
    <row r="143514" customFormat="1" x14ac:dyDescent="0.25"/>
    <row r="143515" customFormat="1" x14ac:dyDescent="0.25"/>
    <row r="143516" customFormat="1" x14ac:dyDescent="0.25"/>
    <row r="143517" customFormat="1" x14ac:dyDescent="0.25"/>
    <row r="143518" customFormat="1" x14ac:dyDescent="0.25"/>
    <row r="143519" customFormat="1" x14ac:dyDescent="0.25"/>
    <row r="143520" customFormat="1" x14ac:dyDescent="0.25"/>
    <row r="143521" customFormat="1" x14ac:dyDescent="0.25"/>
    <row r="143522" customFormat="1" x14ac:dyDescent="0.25"/>
    <row r="143523" customFormat="1" x14ac:dyDescent="0.25"/>
    <row r="143524" customFormat="1" x14ac:dyDescent="0.25"/>
    <row r="143525" customFormat="1" x14ac:dyDescent="0.25"/>
    <row r="143526" customFormat="1" x14ac:dyDescent="0.25"/>
    <row r="143527" customFormat="1" x14ac:dyDescent="0.25"/>
    <row r="143528" customFormat="1" x14ac:dyDescent="0.25"/>
    <row r="143529" customFormat="1" x14ac:dyDescent="0.25"/>
    <row r="143530" customFormat="1" x14ac:dyDescent="0.25"/>
    <row r="143531" customFormat="1" x14ac:dyDescent="0.25"/>
    <row r="143532" customFormat="1" x14ac:dyDescent="0.25"/>
    <row r="143533" customFormat="1" x14ac:dyDescent="0.25"/>
    <row r="143534" customFormat="1" x14ac:dyDescent="0.25"/>
    <row r="143535" customFormat="1" x14ac:dyDescent="0.25"/>
    <row r="143536" customFormat="1" x14ac:dyDescent="0.25"/>
    <row r="143537" customFormat="1" x14ac:dyDescent="0.25"/>
    <row r="143538" customFormat="1" x14ac:dyDescent="0.25"/>
    <row r="143539" customFormat="1" x14ac:dyDescent="0.25"/>
    <row r="143540" customFormat="1" x14ac:dyDescent="0.25"/>
    <row r="143541" customFormat="1" x14ac:dyDescent="0.25"/>
    <row r="143542" customFormat="1" x14ac:dyDescent="0.25"/>
    <row r="143543" customFormat="1" x14ac:dyDescent="0.25"/>
    <row r="143544" customFormat="1" x14ac:dyDescent="0.25"/>
    <row r="143545" customFormat="1" x14ac:dyDescent="0.25"/>
    <row r="143546" customFormat="1" x14ac:dyDescent="0.25"/>
    <row r="143547" customFormat="1" x14ac:dyDescent="0.25"/>
    <row r="143548" customFormat="1" x14ac:dyDescent="0.25"/>
    <row r="143549" customFormat="1" x14ac:dyDescent="0.25"/>
    <row r="143550" customFormat="1" x14ac:dyDescent="0.25"/>
    <row r="143551" customFormat="1" x14ac:dyDescent="0.25"/>
    <row r="143552" customFormat="1" x14ac:dyDescent="0.25"/>
    <row r="143553" customFormat="1" x14ac:dyDescent="0.25"/>
    <row r="143554" customFormat="1" x14ac:dyDescent="0.25"/>
    <row r="143555" customFormat="1" x14ac:dyDescent="0.25"/>
    <row r="143556" customFormat="1" x14ac:dyDescent="0.25"/>
    <row r="143557" customFormat="1" x14ac:dyDescent="0.25"/>
    <row r="143558" customFormat="1" x14ac:dyDescent="0.25"/>
    <row r="143559" customFormat="1" x14ac:dyDescent="0.25"/>
    <row r="143560" customFormat="1" x14ac:dyDescent="0.25"/>
    <row r="143561" customFormat="1" x14ac:dyDescent="0.25"/>
    <row r="143562" customFormat="1" x14ac:dyDescent="0.25"/>
    <row r="143563" customFormat="1" x14ac:dyDescent="0.25"/>
    <row r="143564" customFormat="1" x14ac:dyDescent="0.25"/>
    <row r="143565" customFormat="1" x14ac:dyDescent="0.25"/>
    <row r="143566" customFormat="1" x14ac:dyDescent="0.25"/>
    <row r="143567" customFormat="1" x14ac:dyDescent="0.25"/>
    <row r="143568" customFormat="1" x14ac:dyDescent="0.25"/>
    <row r="143569" customFormat="1" x14ac:dyDescent="0.25"/>
    <row r="143570" customFormat="1" x14ac:dyDescent="0.25"/>
    <row r="143571" customFormat="1" x14ac:dyDescent="0.25"/>
    <row r="143572" customFormat="1" x14ac:dyDescent="0.25"/>
    <row r="143573" customFormat="1" x14ac:dyDescent="0.25"/>
    <row r="143574" customFormat="1" x14ac:dyDescent="0.25"/>
    <row r="143575" customFormat="1" x14ac:dyDescent="0.25"/>
    <row r="143576" customFormat="1" x14ac:dyDescent="0.25"/>
    <row r="143577" customFormat="1" x14ac:dyDescent="0.25"/>
    <row r="143578" customFormat="1" x14ac:dyDescent="0.25"/>
    <row r="143579" customFormat="1" x14ac:dyDescent="0.25"/>
    <row r="143580" customFormat="1" x14ac:dyDescent="0.25"/>
    <row r="143581" customFormat="1" x14ac:dyDescent="0.25"/>
    <row r="143582" customFormat="1" x14ac:dyDescent="0.25"/>
    <row r="143583" customFormat="1" x14ac:dyDescent="0.25"/>
    <row r="143584" customFormat="1" x14ac:dyDescent="0.25"/>
    <row r="143585" customFormat="1" x14ac:dyDescent="0.25"/>
    <row r="143586" customFormat="1" x14ac:dyDescent="0.25"/>
    <row r="143587" customFormat="1" x14ac:dyDescent="0.25"/>
    <row r="143588" customFormat="1" x14ac:dyDescent="0.25"/>
    <row r="143589" customFormat="1" x14ac:dyDescent="0.25"/>
    <row r="143590" customFormat="1" x14ac:dyDescent="0.25"/>
    <row r="143591" customFormat="1" x14ac:dyDescent="0.25"/>
    <row r="143592" customFormat="1" x14ac:dyDescent="0.25"/>
    <row r="143593" customFormat="1" x14ac:dyDescent="0.25"/>
    <row r="143594" customFormat="1" x14ac:dyDescent="0.25"/>
    <row r="143595" customFormat="1" x14ac:dyDescent="0.25"/>
    <row r="143596" customFormat="1" x14ac:dyDescent="0.25"/>
    <row r="143597" customFormat="1" x14ac:dyDescent="0.25"/>
    <row r="143598" customFormat="1" x14ac:dyDescent="0.25"/>
    <row r="143599" customFormat="1" x14ac:dyDescent="0.25"/>
    <row r="143600" customFormat="1" x14ac:dyDescent="0.25"/>
    <row r="143601" customFormat="1" x14ac:dyDescent="0.25"/>
    <row r="143602" customFormat="1" x14ac:dyDescent="0.25"/>
    <row r="143603" customFormat="1" x14ac:dyDescent="0.25"/>
    <row r="143604" customFormat="1" x14ac:dyDescent="0.25"/>
    <row r="143605" customFormat="1" x14ac:dyDescent="0.25"/>
    <row r="143606" customFormat="1" x14ac:dyDescent="0.25"/>
    <row r="143607" customFormat="1" x14ac:dyDescent="0.25"/>
    <row r="143608" customFormat="1" x14ac:dyDescent="0.25"/>
    <row r="143609" customFormat="1" x14ac:dyDescent="0.25"/>
    <row r="143610" customFormat="1" x14ac:dyDescent="0.25"/>
    <row r="143611" customFormat="1" x14ac:dyDescent="0.25"/>
    <row r="143612" customFormat="1" x14ac:dyDescent="0.25"/>
    <row r="143613" customFormat="1" x14ac:dyDescent="0.25"/>
    <row r="143614" customFormat="1" x14ac:dyDescent="0.25"/>
    <row r="143615" customFormat="1" x14ac:dyDescent="0.25"/>
    <row r="143616" customFormat="1" x14ac:dyDescent="0.25"/>
    <row r="143617" customFormat="1" x14ac:dyDescent="0.25"/>
    <row r="143618" customFormat="1" x14ac:dyDescent="0.25"/>
    <row r="143619" customFormat="1" x14ac:dyDescent="0.25"/>
    <row r="143620" customFormat="1" x14ac:dyDescent="0.25"/>
    <row r="143621" customFormat="1" x14ac:dyDescent="0.25"/>
    <row r="143622" customFormat="1" x14ac:dyDescent="0.25"/>
    <row r="143623" customFormat="1" x14ac:dyDescent="0.25"/>
    <row r="143624" customFormat="1" x14ac:dyDescent="0.25"/>
    <row r="143625" customFormat="1" x14ac:dyDescent="0.25"/>
    <row r="143626" customFormat="1" x14ac:dyDescent="0.25"/>
    <row r="143627" customFormat="1" x14ac:dyDescent="0.25"/>
    <row r="143628" customFormat="1" x14ac:dyDescent="0.25"/>
    <row r="143629" customFormat="1" x14ac:dyDescent="0.25"/>
    <row r="143630" customFormat="1" x14ac:dyDescent="0.25"/>
    <row r="143631" customFormat="1" x14ac:dyDescent="0.25"/>
    <row r="143632" customFormat="1" x14ac:dyDescent="0.25"/>
    <row r="143633" customFormat="1" x14ac:dyDescent="0.25"/>
    <row r="143634" customFormat="1" x14ac:dyDescent="0.25"/>
    <row r="143635" customFormat="1" x14ac:dyDescent="0.25"/>
    <row r="143636" customFormat="1" x14ac:dyDescent="0.25"/>
    <row r="143637" customFormat="1" x14ac:dyDescent="0.25"/>
    <row r="143638" customFormat="1" x14ac:dyDescent="0.25"/>
    <row r="143639" customFormat="1" x14ac:dyDescent="0.25"/>
    <row r="143640" customFormat="1" x14ac:dyDescent="0.25"/>
    <row r="143641" customFormat="1" x14ac:dyDescent="0.25"/>
    <row r="143642" customFormat="1" x14ac:dyDescent="0.25"/>
    <row r="143643" customFormat="1" x14ac:dyDescent="0.25"/>
    <row r="143644" customFormat="1" x14ac:dyDescent="0.25"/>
    <row r="143645" customFormat="1" x14ac:dyDescent="0.25"/>
    <row r="143646" customFormat="1" x14ac:dyDescent="0.25"/>
    <row r="143647" customFormat="1" x14ac:dyDescent="0.25"/>
    <row r="143648" customFormat="1" x14ac:dyDescent="0.25"/>
    <row r="143649" customFormat="1" x14ac:dyDescent="0.25"/>
    <row r="143650" customFormat="1" x14ac:dyDescent="0.25"/>
    <row r="143651" customFormat="1" x14ac:dyDescent="0.25"/>
    <row r="143652" customFormat="1" x14ac:dyDescent="0.25"/>
    <row r="143653" customFormat="1" x14ac:dyDescent="0.25"/>
    <row r="143654" customFormat="1" x14ac:dyDescent="0.25"/>
    <row r="143655" customFormat="1" x14ac:dyDescent="0.25"/>
    <row r="143656" customFormat="1" x14ac:dyDescent="0.25"/>
    <row r="143657" customFormat="1" x14ac:dyDescent="0.25"/>
    <row r="143658" customFormat="1" x14ac:dyDescent="0.25"/>
    <row r="143659" customFormat="1" x14ac:dyDescent="0.25"/>
    <row r="143660" customFormat="1" x14ac:dyDescent="0.25"/>
    <row r="143661" customFormat="1" x14ac:dyDescent="0.25"/>
    <row r="143662" customFormat="1" x14ac:dyDescent="0.25"/>
    <row r="143663" customFormat="1" x14ac:dyDescent="0.25"/>
    <row r="143664" customFormat="1" x14ac:dyDescent="0.25"/>
    <row r="143665" customFormat="1" x14ac:dyDescent="0.25"/>
    <row r="143666" customFormat="1" x14ac:dyDescent="0.25"/>
    <row r="143667" customFormat="1" x14ac:dyDescent="0.25"/>
    <row r="143668" customFormat="1" x14ac:dyDescent="0.25"/>
    <row r="143669" customFormat="1" x14ac:dyDescent="0.25"/>
    <row r="143670" customFormat="1" x14ac:dyDescent="0.25"/>
    <row r="143671" customFormat="1" x14ac:dyDescent="0.25"/>
    <row r="143672" customFormat="1" x14ac:dyDescent="0.25"/>
    <row r="143673" customFormat="1" x14ac:dyDescent="0.25"/>
    <row r="143674" customFormat="1" x14ac:dyDescent="0.25"/>
    <row r="143675" customFormat="1" x14ac:dyDescent="0.25"/>
    <row r="143676" customFormat="1" x14ac:dyDescent="0.25"/>
    <row r="143677" customFormat="1" x14ac:dyDescent="0.25"/>
    <row r="143678" customFormat="1" x14ac:dyDescent="0.25"/>
    <row r="143679" customFormat="1" x14ac:dyDescent="0.25"/>
    <row r="143680" customFormat="1" x14ac:dyDescent="0.25"/>
    <row r="143681" customFormat="1" x14ac:dyDescent="0.25"/>
    <row r="143682" customFormat="1" x14ac:dyDescent="0.25"/>
    <row r="143683" customFormat="1" x14ac:dyDescent="0.25"/>
    <row r="143684" customFormat="1" x14ac:dyDescent="0.25"/>
    <row r="143685" customFormat="1" x14ac:dyDescent="0.25"/>
    <row r="143686" customFormat="1" x14ac:dyDescent="0.25"/>
    <row r="143687" customFormat="1" x14ac:dyDescent="0.25"/>
    <row r="143688" customFormat="1" x14ac:dyDescent="0.25"/>
    <row r="143689" customFormat="1" x14ac:dyDescent="0.25"/>
    <row r="143690" customFormat="1" x14ac:dyDescent="0.25"/>
    <row r="143691" customFormat="1" x14ac:dyDescent="0.25"/>
    <row r="143692" customFormat="1" x14ac:dyDescent="0.25"/>
    <row r="143693" customFormat="1" x14ac:dyDescent="0.25"/>
    <row r="143694" customFormat="1" x14ac:dyDescent="0.25"/>
    <row r="143695" customFormat="1" x14ac:dyDescent="0.25"/>
    <row r="143696" customFormat="1" x14ac:dyDescent="0.25"/>
    <row r="143697" customFormat="1" x14ac:dyDescent="0.25"/>
    <row r="143698" customFormat="1" x14ac:dyDescent="0.25"/>
    <row r="143699" customFormat="1" x14ac:dyDescent="0.25"/>
    <row r="143700" customFormat="1" x14ac:dyDescent="0.25"/>
    <row r="143701" customFormat="1" x14ac:dyDescent="0.25"/>
    <row r="143702" customFormat="1" x14ac:dyDescent="0.25"/>
    <row r="143703" customFormat="1" x14ac:dyDescent="0.25"/>
    <row r="143704" customFormat="1" x14ac:dyDescent="0.25"/>
    <row r="143705" customFormat="1" x14ac:dyDescent="0.25"/>
    <row r="143706" customFormat="1" x14ac:dyDescent="0.25"/>
    <row r="143707" customFormat="1" x14ac:dyDescent="0.25"/>
    <row r="143708" customFormat="1" x14ac:dyDescent="0.25"/>
    <row r="143709" customFormat="1" x14ac:dyDescent="0.25"/>
    <row r="143710" customFormat="1" x14ac:dyDescent="0.25"/>
    <row r="143711" customFormat="1" x14ac:dyDescent="0.25"/>
    <row r="143712" customFormat="1" x14ac:dyDescent="0.25"/>
    <row r="143713" customFormat="1" x14ac:dyDescent="0.25"/>
    <row r="143714" customFormat="1" x14ac:dyDescent="0.25"/>
    <row r="143715" customFormat="1" x14ac:dyDescent="0.25"/>
    <row r="143716" customFormat="1" x14ac:dyDescent="0.25"/>
    <row r="143717" customFormat="1" x14ac:dyDescent="0.25"/>
    <row r="143718" customFormat="1" x14ac:dyDescent="0.25"/>
    <row r="143719" customFormat="1" x14ac:dyDescent="0.25"/>
    <row r="143720" customFormat="1" x14ac:dyDescent="0.25"/>
    <row r="143721" customFormat="1" x14ac:dyDescent="0.25"/>
    <row r="143722" customFormat="1" x14ac:dyDescent="0.25"/>
    <row r="143723" customFormat="1" x14ac:dyDescent="0.25"/>
    <row r="143724" customFormat="1" x14ac:dyDescent="0.25"/>
    <row r="143725" customFormat="1" x14ac:dyDescent="0.25"/>
    <row r="143726" customFormat="1" x14ac:dyDescent="0.25"/>
    <row r="143727" customFormat="1" x14ac:dyDescent="0.25"/>
    <row r="143728" customFormat="1" x14ac:dyDescent="0.25"/>
    <row r="143729" customFormat="1" x14ac:dyDescent="0.25"/>
    <row r="143730" customFormat="1" x14ac:dyDescent="0.25"/>
    <row r="143731" customFormat="1" x14ac:dyDescent="0.25"/>
    <row r="143732" customFormat="1" x14ac:dyDescent="0.25"/>
    <row r="143733" customFormat="1" x14ac:dyDescent="0.25"/>
    <row r="143734" customFormat="1" x14ac:dyDescent="0.25"/>
    <row r="143735" customFormat="1" x14ac:dyDescent="0.25"/>
    <row r="143736" customFormat="1" x14ac:dyDescent="0.25"/>
    <row r="143737" customFormat="1" x14ac:dyDescent="0.25"/>
    <row r="143738" customFormat="1" x14ac:dyDescent="0.25"/>
    <row r="143739" customFormat="1" x14ac:dyDescent="0.25"/>
    <row r="143740" customFormat="1" x14ac:dyDescent="0.25"/>
    <row r="143741" customFormat="1" x14ac:dyDescent="0.25"/>
    <row r="143742" customFormat="1" x14ac:dyDescent="0.25"/>
    <row r="143743" customFormat="1" x14ac:dyDescent="0.25"/>
    <row r="143744" customFormat="1" x14ac:dyDescent="0.25"/>
    <row r="143745" customFormat="1" x14ac:dyDescent="0.25"/>
    <row r="143746" customFormat="1" x14ac:dyDescent="0.25"/>
    <row r="143747" customFormat="1" x14ac:dyDescent="0.25"/>
    <row r="143748" customFormat="1" x14ac:dyDescent="0.25"/>
    <row r="143749" customFormat="1" x14ac:dyDescent="0.25"/>
    <row r="143750" customFormat="1" x14ac:dyDescent="0.25"/>
    <row r="143751" customFormat="1" x14ac:dyDescent="0.25"/>
    <row r="143752" customFormat="1" x14ac:dyDescent="0.25"/>
    <row r="143753" customFormat="1" x14ac:dyDescent="0.25"/>
    <row r="143754" customFormat="1" x14ac:dyDescent="0.25"/>
    <row r="143755" customFormat="1" x14ac:dyDescent="0.25"/>
    <row r="143756" customFormat="1" x14ac:dyDescent="0.25"/>
    <row r="143757" customFormat="1" x14ac:dyDescent="0.25"/>
    <row r="143758" customFormat="1" x14ac:dyDescent="0.25"/>
    <row r="143759" customFormat="1" x14ac:dyDescent="0.25"/>
    <row r="143760" customFormat="1" x14ac:dyDescent="0.25"/>
    <row r="143761" customFormat="1" x14ac:dyDescent="0.25"/>
    <row r="143762" customFormat="1" x14ac:dyDescent="0.25"/>
    <row r="143763" customFormat="1" x14ac:dyDescent="0.25"/>
    <row r="143764" customFormat="1" x14ac:dyDescent="0.25"/>
    <row r="143765" customFormat="1" x14ac:dyDescent="0.25"/>
    <row r="143766" customFormat="1" x14ac:dyDescent="0.25"/>
    <row r="143767" customFormat="1" x14ac:dyDescent="0.25"/>
    <row r="143768" customFormat="1" x14ac:dyDescent="0.25"/>
    <row r="143769" customFormat="1" x14ac:dyDescent="0.25"/>
    <row r="143770" customFormat="1" x14ac:dyDescent="0.25"/>
    <row r="143771" customFormat="1" x14ac:dyDescent="0.25"/>
    <row r="143772" customFormat="1" x14ac:dyDescent="0.25"/>
    <row r="143773" customFormat="1" x14ac:dyDescent="0.25"/>
    <row r="143774" customFormat="1" x14ac:dyDescent="0.25"/>
    <row r="143775" customFormat="1" x14ac:dyDescent="0.25"/>
    <row r="143776" customFormat="1" x14ac:dyDescent="0.25"/>
    <row r="143777" customFormat="1" x14ac:dyDescent="0.25"/>
    <row r="143778" customFormat="1" x14ac:dyDescent="0.25"/>
    <row r="143779" customFormat="1" x14ac:dyDescent="0.25"/>
    <row r="143780" customFormat="1" x14ac:dyDescent="0.25"/>
    <row r="143781" customFormat="1" x14ac:dyDescent="0.25"/>
    <row r="143782" customFormat="1" x14ac:dyDescent="0.25"/>
    <row r="143783" customFormat="1" x14ac:dyDescent="0.25"/>
    <row r="143784" customFormat="1" x14ac:dyDescent="0.25"/>
    <row r="143785" customFormat="1" x14ac:dyDescent="0.25"/>
    <row r="143786" customFormat="1" x14ac:dyDescent="0.25"/>
    <row r="143787" customFormat="1" x14ac:dyDescent="0.25"/>
    <row r="143788" customFormat="1" x14ac:dyDescent="0.25"/>
    <row r="143789" customFormat="1" x14ac:dyDescent="0.25"/>
    <row r="143790" customFormat="1" x14ac:dyDescent="0.25"/>
    <row r="143791" customFormat="1" x14ac:dyDescent="0.25"/>
    <row r="143792" customFormat="1" x14ac:dyDescent="0.25"/>
    <row r="143793" customFormat="1" x14ac:dyDescent="0.25"/>
    <row r="143794" customFormat="1" x14ac:dyDescent="0.25"/>
    <row r="143795" customFormat="1" x14ac:dyDescent="0.25"/>
    <row r="143796" customFormat="1" x14ac:dyDescent="0.25"/>
    <row r="143797" customFormat="1" x14ac:dyDescent="0.25"/>
    <row r="143798" customFormat="1" x14ac:dyDescent="0.25"/>
    <row r="143799" customFormat="1" x14ac:dyDescent="0.25"/>
    <row r="143800" customFormat="1" x14ac:dyDescent="0.25"/>
    <row r="143801" customFormat="1" x14ac:dyDescent="0.25"/>
    <row r="143802" customFormat="1" x14ac:dyDescent="0.25"/>
    <row r="143803" customFormat="1" x14ac:dyDescent="0.25"/>
    <row r="143804" customFormat="1" x14ac:dyDescent="0.25"/>
    <row r="143805" customFormat="1" x14ac:dyDescent="0.25"/>
    <row r="143806" customFormat="1" x14ac:dyDescent="0.25"/>
    <row r="143807" customFormat="1" x14ac:dyDescent="0.25"/>
    <row r="143808" customFormat="1" x14ac:dyDescent="0.25"/>
    <row r="143809" customFormat="1" x14ac:dyDescent="0.25"/>
    <row r="143810" customFormat="1" x14ac:dyDescent="0.25"/>
    <row r="143811" customFormat="1" x14ac:dyDescent="0.25"/>
    <row r="143812" customFormat="1" x14ac:dyDescent="0.25"/>
    <row r="143813" customFormat="1" x14ac:dyDescent="0.25"/>
    <row r="143814" customFormat="1" x14ac:dyDescent="0.25"/>
    <row r="143815" customFormat="1" x14ac:dyDescent="0.25"/>
    <row r="143816" customFormat="1" x14ac:dyDescent="0.25"/>
    <row r="143817" customFormat="1" x14ac:dyDescent="0.25"/>
    <row r="143818" customFormat="1" x14ac:dyDescent="0.25"/>
    <row r="143819" customFormat="1" x14ac:dyDescent="0.25"/>
    <row r="143820" customFormat="1" x14ac:dyDescent="0.25"/>
    <row r="143821" customFormat="1" x14ac:dyDescent="0.25"/>
    <row r="143822" customFormat="1" x14ac:dyDescent="0.25"/>
    <row r="143823" customFormat="1" x14ac:dyDescent="0.25"/>
    <row r="143824" customFormat="1" x14ac:dyDescent="0.25"/>
    <row r="143825" customFormat="1" x14ac:dyDescent="0.25"/>
    <row r="143826" customFormat="1" x14ac:dyDescent="0.25"/>
    <row r="143827" customFormat="1" x14ac:dyDescent="0.25"/>
    <row r="143828" customFormat="1" x14ac:dyDescent="0.25"/>
    <row r="143829" customFormat="1" x14ac:dyDescent="0.25"/>
    <row r="143830" customFormat="1" x14ac:dyDescent="0.25"/>
    <row r="143831" customFormat="1" x14ac:dyDescent="0.25"/>
    <row r="143832" customFormat="1" x14ac:dyDescent="0.25"/>
    <row r="143833" customFormat="1" x14ac:dyDescent="0.25"/>
    <row r="143834" customFormat="1" x14ac:dyDescent="0.25"/>
    <row r="143835" customFormat="1" x14ac:dyDescent="0.25"/>
    <row r="143836" customFormat="1" x14ac:dyDescent="0.25"/>
    <row r="143837" customFormat="1" x14ac:dyDescent="0.25"/>
    <row r="143838" customFormat="1" x14ac:dyDescent="0.25"/>
    <row r="143839" customFormat="1" x14ac:dyDescent="0.25"/>
    <row r="143840" customFormat="1" x14ac:dyDescent="0.25"/>
    <row r="143841" customFormat="1" x14ac:dyDescent="0.25"/>
    <row r="143842" customFormat="1" x14ac:dyDescent="0.25"/>
    <row r="143843" customFormat="1" x14ac:dyDescent="0.25"/>
    <row r="143844" customFormat="1" x14ac:dyDescent="0.25"/>
    <row r="143845" customFormat="1" x14ac:dyDescent="0.25"/>
    <row r="143846" customFormat="1" x14ac:dyDescent="0.25"/>
    <row r="143847" customFormat="1" x14ac:dyDescent="0.25"/>
    <row r="143848" customFormat="1" x14ac:dyDescent="0.25"/>
    <row r="143849" customFormat="1" x14ac:dyDescent="0.25"/>
    <row r="143850" customFormat="1" x14ac:dyDescent="0.25"/>
    <row r="143851" customFormat="1" x14ac:dyDescent="0.25"/>
    <row r="143852" customFormat="1" x14ac:dyDescent="0.25"/>
    <row r="143853" customFormat="1" x14ac:dyDescent="0.25"/>
    <row r="143854" customFormat="1" x14ac:dyDescent="0.25"/>
    <row r="143855" customFormat="1" x14ac:dyDescent="0.25"/>
    <row r="143856" customFormat="1" x14ac:dyDescent="0.25"/>
    <row r="143857" customFormat="1" x14ac:dyDescent="0.25"/>
    <row r="143858" customFormat="1" x14ac:dyDescent="0.25"/>
    <row r="143859" customFormat="1" x14ac:dyDescent="0.25"/>
    <row r="143860" customFormat="1" x14ac:dyDescent="0.25"/>
    <row r="143861" customFormat="1" x14ac:dyDescent="0.25"/>
    <row r="143862" customFormat="1" x14ac:dyDescent="0.25"/>
    <row r="143863" customFormat="1" x14ac:dyDescent="0.25"/>
    <row r="143864" customFormat="1" x14ac:dyDescent="0.25"/>
    <row r="143865" customFormat="1" x14ac:dyDescent="0.25"/>
    <row r="143866" customFormat="1" x14ac:dyDescent="0.25"/>
    <row r="143867" customFormat="1" x14ac:dyDescent="0.25"/>
    <row r="143868" customFormat="1" x14ac:dyDescent="0.25"/>
    <row r="143869" customFormat="1" x14ac:dyDescent="0.25"/>
    <row r="143870" customFormat="1" x14ac:dyDescent="0.25"/>
    <row r="143871" customFormat="1" x14ac:dyDescent="0.25"/>
    <row r="143872" customFormat="1" x14ac:dyDescent="0.25"/>
    <row r="143873" customFormat="1" x14ac:dyDescent="0.25"/>
    <row r="143874" customFormat="1" x14ac:dyDescent="0.25"/>
    <row r="143875" customFormat="1" x14ac:dyDescent="0.25"/>
    <row r="143876" customFormat="1" x14ac:dyDescent="0.25"/>
    <row r="143877" customFormat="1" x14ac:dyDescent="0.25"/>
    <row r="143878" customFormat="1" x14ac:dyDescent="0.25"/>
    <row r="143879" customFormat="1" x14ac:dyDescent="0.25"/>
    <row r="143880" customFormat="1" x14ac:dyDescent="0.25"/>
    <row r="143881" customFormat="1" x14ac:dyDescent="0.25"/>
    <row r="143882" customFormat="1" x14ac:dyDescent="0.25"/>
    <row r="143883" customFormat="1" x14ac:dyDescent="0.25"/>
    <row r="143884" customFormat="1" x14ac:dyDescent="0.25"/>
    <row r="143885" customFormat="1" x14ac:dyDescent="0.25"/>
    <row r="143886" customFormat="1" x14ac:dyDescent="0.25"/>
    <row r="143887" customFormat="1" x14ac:dyDescent="0.25"/>
    <row r="143888" customFormat="1" x14ac:dyDescent="0.25"/>
    <row r="143889" customFormat="1" x14ac:dyDescent="0.25"/>
    <row r="143890" customFormat="1" x14ac:dyDescent="0.25"/>
    <row r="143891" customFormat="1" x14ac:dyDescent="0.25"/>
    <row r="143892" customFormat="1" x14ac:dyDescent="0.25"/>
    <row r="143893" customFormat="1" x14ac:dyDescent="0.25"/>
    <row r="143894" customFormat="1" x14ac:dyDescent="0.25"/>
    <row r="143895" customFormat="1" x14ac:dyDescent="0.25"/>
    <row r="143896" customFormat="1" x14ac:dyDescent="0.25"/>
    <row r="143897" customFormat="1" x14ac:dyDescent="0.25"/>
    <row r="143898" customFormat="1" x14ac:dyDescent="0.25"/>
    <row r="143899" customFormat="1" x14ac:dyDescent="0.25"/>
    <row r="143900" customFormat="1" x14ac:dyDescent="0.25"/>
    <row r="143901" customFormat="1" x14ac:dyDescent="0.25"/>
    <row r="143902" customFormat="1" x14ac:dyDescent="0.25"/>
    <row r="143903" customFormat="1" x14ac:dyDescent="0.25"/>
    <row r="143904" customFormat="1" x14ac:dyDescent="0.25"/>
    <row r="143905" customFormat="1" x14ac:dyDescent="0.25"/>
    <row r="143906" customFormat="1" x14ac:dyDescent="0.25"/>
    <row r="143907" customFormat="1" x14ac:dyDescent="0.25"/>
    <row r="143908" customFormat="1" x14ac:dyDescent="0.25"/>
    <row r="143909" customFormat="1" x14ac:dyDescent="0.25"/>
    <row r="143910" customFormat="1" x14ac:dyDescent="0.25"/>
    <row r="143911" customFormat="1" x14ac:dyDescent="0.25"/>
    <row r="143912" customFormat="1" x14ac:dyDescent="0.25"/>
    <row r="143913" customFormat="1" x14ac:dyDescent="0.25"/>
    <row r="143914" customFormat="1" x14ac:dyDescent="0.25"/>
    <row r="143915" customFormat="1" x14ac:dyDescent="0.25"/>
    <row r="143916" customFormat="1" x14ac:dyDescent="0.25"/>
    <row r="143917" customFormat="1" x14ac:dyDescent="0.25"/>
    <row r="143918" customFormat="1" x14ac:dyDescent="0.25"/>
    <row r="143919" customFormat="1" x14ac:dyDescent="0.25"/>
    <row r="143920" customFormat="1" x14ac:dyDescent="0.25"/>
    <row r="143921" customFormat="1" x14ac:dyDescent="0.25"/>
    <row r="143922" customFormat="1" x14ac:dyDescent="0.25"/>
    <row r="143923" customFormat="1" x14ac:dyDescent="0.25"/>
    <row r="143924" customFormat="1" x14ac:dyDescent="0.25"/>
    <row r="143925" customFormat="1" x14ac:dyDescent="0.25"/>
    <row r="143926" customFormat="1" x14ac:dyDescent="0.25"/>
    <row r="143927" customFormat="1" x14ac:dyDescent="0.25"/>
    <row r="143928" customFormat="1" x14ac:dyDescent="0.25"/>
    <row r="143929" customFormat="1" x14ac:dyDescent="0.25"/>
    <row r="143930" customFormat="1" x14ac:dyDescent="0.25"/>
    <row r="143931" customFormat="1" x14ac:dyDescent="0.25"/>
    <row r="143932" customFormat="1" x14ac:dyDescent="0.25"/>
    <row r="143933" customFormat="1" x14ac:dyDescent="0.25"/>
    <row r="143934" customFormat="1" x14ac:dyDescent="0.25"/>
    <row r="143935" customFormat="1" x14ac:dyDescent="0.25"/>
    <row r="143936" customFormat="1" x14ac:dyDescent="0.25"/>
    <row r="143937" customFormat="1" x14ac:dyDescent="0.25"/>
    <row r="143938" customFormat="1" x14ac:dyDescent="0.25"/>
    <row r="143939" customFormat="1" x14ac:dyDescent="0.25"/>
    <row r="143940" customFormat="1" x14ac:dyDescent="0.25"/>
    <row r="143941" customFormat="1" x14ac:dyDescent="0.25"/>
    <row r="143942" customFormat="1" x14ac:dyDescent="0.25"/>
    <row r="143943" customFormat="1" x14ac:dyDescent="0.25"/>
    <row r="143944" customFormat="1" x14ac:dyDescent="0.25"/>
    <row r="143945" customFormat="1" x14ac:dyDescent="0.25"/>
    <row r="143946" customFormat="1" x14ac:dyDescent="0.25"/>
    <row r="143947" customFormat="1" x14ac:dyDescent="0.25"/>
    <row r="143948" customFormat="1" x14ac:dyDescent="0.25"/>
    <row r="143949" customFormat="1" x14ac:dyDescent="0.25"/>
    <row r="143950" customFormat="1" x14ac:dyDescent="0.25"/>
    <row r="143951" customFormat="1" x14ac:dyDescent="0.25"/>
    <row r="143952" customFormat="1" x14ac:dyDescent="0.25"/>
    <row r="143953" customFormat="1" x14ac:dyDescent="0.25"/>
    <row r="143954" customFormat="1" x14ac:dyDescent="0.25"/>
    <row r="143955" customFormat="1" x14ac:dyDescent="0.25"/>
    <row r="143956" customFormat="1" x14ac:dyDescent="0.25"/>
    <row r="143957" customFormat="1" x14ac:dyDescent="0.25"/>
    <row r="143958" customFormat="1" x14ac:dyDescent="0.25"/>
    <row r="143959" customFormat="1" x14ac:dyDescent="0.25"/>
    <row r="143960" customFormat="1" x14ac:dyDescent="0.25"/>
    <row r="143961" customFormat="1" x14ac:dyDescent="0.25"/>
    <row r="143962" customFormat="1" x14ac:dyDescent="0.25"/>
    <row r="143963" customFormat="1" x14ac:dyDescent="0.25"/>
    <row r="143964" customFormat="1" x14ac:dyDescent="0.25"/>
    <row r="143965" customFormat="1" x14ac:dyDescent="0.25"/>
    <row r="143966" customFormat="1" x14ac:dyDescent="0.25"/>
    <row r="143967" customFormat="1" x14ac:dyDescent="0.25"/>
    <row r="143968" customFormat="1" x14ac:dyDescent="0.25"/>
    <row r="143969" customFormat="1" x14ac:dyDescent="0.25"/>
    <row r="143970" customFormat="1" x14ac:dyDescent="0.25"/>
    <row r="143971" customFormat="1" x14ac:dyDescent="0.25"/>
    <row r="143972" customFormat="1" x14ac:dyDescent="0.25"/>
    <row r="143973" customFormat="1" x14ac:dyDescent="0.25"/>
    <row r="143974" customFormat="1" x14ac:dyDescent="0.25"/>
    <row r="143975" customFormat="1" x14ac:dyDescent="0.25"/>
    <row r="143976" customFormat="1" x14ac:dyDescent="0.25"/>
    <row r="143977" customFormat="1" x14ac:dyDescent="0.25"/>
    <row r="143978" customFormat="1" x14ac:dyDescent="0.25"/>
    <row r="143979" customFormat="1" x14ac:dyDescent="0.25"/>
    <row r="143980" customFormat="1" x14ac:dyDescent="0.25"/>
    <row r="143981" customFormat="1" x14ac:dyDescent="0.25"/>
    <row r="143982" customFormat="1" x14ac:dyDescent="0.25"/>
    <row r="143983" customFormat="1" x14ac:dyDescent="0.25"/>
    <row r="143984" customFormat="1" x14ac:dyDescent="0.25"/>
    <row r="143985" customFormat="1" x14ac:dyDescent="0.25"/>
    <row r="143986" customFormat="1" x14ac:dyDescent="0.25"/>
    <row r="143987" customFormat="1" x14ac:dyDescent="0.25"/>
    <row r="143988" customFormat="1" x14ac:dyDescent="0.25"/>
    <row r="143989" customFormat="1" x14ac:dyDescent="0.25"/>
    <row r="143990" customFormat="1" x14ac:dyDescent="0.25"/>
    <row r="143991" customFormat="1" x14ac:dyDescent="0.25"/>
    <row r="143992" customFormat="1" x14ac:dyDescent="0.25"/>
    <row r="143993" customFormat="1" x14ac:dyDescent="0.25"/>
    <row r="143994" customFormat="1" x14ac:dyDescent="0.25"/>
    <row r="143995" customFormat="1" x14ac:dyDescent="0.25"/>
    <row r="143996" customFormat="1" x14ac:dyDescent="0.25"/>
    <row r="143997" customFormat="1" x14ac:dyDescent="0.25"/>
    <row r="143998" customFormat="1" x14ac:dyDescent="0.25"/>
    <row r="143999" customFormat="1" x14ac:dyDescent="0.25"/>
    <row r="144000" customFormat="1" x14ac:dyDescent="0.25"/>
    <row r="144001" customFormat="1" x14ac:dyDescent="0.25"/>
    <row r="144002" customFormat="1" x14ac:dyDescent="0.25"/>
    <row r="144003" customFormat="1" x14ac:dyDescent="0.25"/>
    <row r="144004" customFormat="1" x14ac:dyDescent="0.25"/>
    <row r="144005" customFormat="1" x14ac:dyDescent="0.25"/>
    <row r="144006" customFormat="1" x14ac:dyDescent="0.25"/>
    <row r="144007" customFormat="1" x14ac:dyDescent="0.25"/>
    <row r="144008" customFormat="1" x14ac:dyDescent="0.25"/>
    <row r="144009" customFormat="1" x14ac:dyDescent="0.25"/>
    <row r="144010" customFormat="1" x14ac:dyDescent="0.25"/>
    <row r="144011" customFormat="1" x14ac:dyDescent="0.25"/>
    <row r="144012" customFormat="1" x14ac:dyDescent="0.25"/>
    <row r="144013" customFormat="1" x14ac:dyDescent="0.25"/>
    <row r="144014" customFormat="1" x14ac:dyDescent="0.25"/>
    <row r="144015" customFormat="1" x14ac:dyDescent="0.25"/>
    <row r="144016" customFormat="1" x14ac:dyDescent="0.25"/>
    <row r="144017" customFormat="1" x14ac:dyDescent="0.25"/>
    <row r="144018" customFormat="1" x14ac:dyDescent="0.25"/>
    <row r="144019" customFormat="1" x14ac:dyDescent="0.25"/>
    <row r="144020" customFormat="1" x14ac:dyDescent="0.25"/>
    <row r="144021" customFormat="1" x14ac:dyDescent="0.25"/>
    <row r="144022" customFormat="1" x14ac:dyDescent="0.25"/>
    <row r="144023" customFormat="1" x14ac:dyDescent="0.25"/>
    <row r="144024" customFormat="1" x14ac:dyDescent="0.25"/>
    <row r="144025" customFormat="1" x14ac:dyDescent="0.25"/>
    <row r="144026" customFormat="1" x14ac:dyDescent="0.25"/>
    <row r="144027" customFormat="1" x14ac:dyDescent="0.25"/>
    <row r="144028" customFormat="1" x14ac:dyDescent="0.25"/>
    <row r="144029" customFormat="1" x14ac:dyDescent="0.25"/>
    <row r="144030" customFormat="1" x14ac:dyDescent="0.25"/>
    <row r="144031" customFormat="1" x14ac:dyDescent="0.25"/>
    <row r="144032" customFormat="1" x14ac:dyDescent="0.25"/>
    <row r="144033" customFormat="1" x14ac:dyDescent="0.25"/>
    <row r="144034" customFormat="1" x14ac:dyDescent="0.25"/>
    <row r="144035" customFormat="1" x14ac:dyDescent="0.25"/>
    <row r="144036" customFormat="1" x14ac:dyDescent="0.25"/>
    <row r="144037" customFormat="1" x14ac:dyDescent="0.25"/>
    <row r="144038" customFormat="1" x14ac:dyDescent="0.25"/>
    <row r="144039" customFormat="1" x14ac:dyDescent="0.25"/>
    <row r="144040" customFormat="1" x14ac:dyDescent="0.25"/>
    <row r="144041" customFormat="1" x14ac:dyDescent="0.25"/>
    <row r="144042" customFormat="1" x14ac:dyDescent="0.25"/>
    <row r="144043" customFormat="1" x14ac:dyDescent="0.25"/>
    <row r="144044" customFormat="1" x14ac:dyDescent="0.25"/>
    <row r="144045" customFormat="1" x14ac:dyDescent="0.25"/>
    <row r="144046" customFormat="1" x14ac:dyDescent="0.25"/>
    <row r="144047" customFormat="1" x14ac:dyDescent="0.25"/>
    <row r="144048" customFormat="1" x14ac:dyDescent="0.25"/>
    <row r="144049" customFormat="1" x14ac:dyDescent="0.25"/>
    <row r="144050" customFormat="1" x14ac:dyDescent="0.25"/>
    <row r="144051" customFormat="1" x14ac:dyDescent="0.25"/>
    <row r="144052" customFormat="1" x14ac:dyDescent="0.25"/>
    <row r="144053" customFormat="1" x14ac:dyDescent="0.25"/>
    <row r="144054" customFormat="1" x14ac:dyDescent="0.25"/>
    <row r="144055" customFormat="1" x14ac:dyDescent="0.25"/>
    <row r="144056" customFormat="1" x14ac:dyDescent="0.25"/>
    <row r="144057" customFormat="1" x14ac:dyDescent="0.25"/>
    <row r="144058" customFormat="1" x14ac:dyDescent="0.25"/>
    <row r="144059" customFormat="1" x14ac:dyDescent="0.25"/>
    <row r="144060" customFormat="1" x14ac:dyDescent="0.25"/>
    <row r="144061" customFormat="1" x14ac:dyDescent="0.25"/>
    <row r="144062" customFormat="1" x14ac:dyDescent="0.25"/>
    <row r="144063" customFormat="1" x14ac:dyDescent="0.25"/>
    <row r="144064" customFormat="1" x14ac:dyDescent="0.25"/>
    <row r="144065" customFormat="1" x14ac:dyDescent="0.25"/>
    <row r="144066" customFormat="1" x14ac:dyDescent="0.25"/>
    <row r="144067" customFormat="1" x14ac:dyDescent="0.25"/>
    <row r="144068" customFormat="1" x14ac:dyDescent="0.25"/>
    <row r="144069" customFormat="1" x14ac:dyDescent="0.25"/>
    <row r="144070" customFormat="1" x14ac:dyDescent="0.25"/>
    <row r="144071" customFormat="1" x14ac:dyDescent="0.25"/>
    <row r="144072" customFormat="1" x14ac:dyDescent="0.25"/>
    <row r="144073" customFormat="1" x14ac:dyDescent="0.25"/>
    <row r="144074" customFormat="1" x14ac:dyDescent="0.25"/>
    <row r="144075" customFormat="1" x14ac:dyDescent="0.25"/>
    <row r="144076" customFormat="1" x14ac:dyDescent="0.25"/>
    <row r="144077" customFormat="1" x14ac:dyDescent="0.25"/>
    <row r="144078" customFormat="1" x14ac:dyDescent="0.25"/>
    <row r="144079" customFormat="1" x14ac:dyDescent="0.25"/>
    <row r="144080" customFormat="1" x14ac:dyDescent="0.25"/>
    <row r="144081" customFormat="1" x14ac:dyDescent="0.25"/>
    <row r="144082" customFormat="1" x14ac:dyDescent="0.25"/>
    <row r="144083" customFormat="1" x14ac:dyDescent="0.25"/>
    <row r="144084" customFormat="1" x14ac:dyDescent="0.25"/>
    <row r="144085" customFormat="1" x14ac:dyDescent="0.25"/>
    <row r="144086" customFormat="1" x14ac:dyDescent="0.25"/>
    <row r="144087" customFormat="1" x14ac:dyDescent="0.25"/>
    <row r="144088" customFormat="1" x14ac:dyDescent="0.25"/>
    <row r="144089" customFormat="1" x14ac:dyDescent="0.25"/>
    <row r="144090" customFormat="1" x14ac:dyDescent="0.25"/>
    <row r="144091" customFormat="1" x14ac:dyDescent="0.25"/>
    <row r="144092" customFormat="1" x14ac:dyDescent="0.25"/>
    <row r="144093" customFormat="1" x14ac:dyDescent="0.25"/>
    <row r="144094" customFormat="1" x14ac:dyDescent="0.25"/>
    <row r="144095" customFormat="1" x14ac:dyDescent="0.25"/>
    <row r="144096" customFormat="1" x14ac:dyDescent="0.25"/>
    <row r="144097" customFormat="1" x14ac:dyDescent="0.25"/>
    <row r="144098" customFormat="1" x14ac:dyDescent="0.25"/>
    <row r="144099" customFormat="1" x14ac:dyDescent="0.25"/>
    <row r="144100" customFormat="1" x14ac:dyDescent="0.25"/>
    <row r="144101" customFormat="1" x14ac:dyDescent="0.25"/>
    <row r="144102" customFormat="1" x14ac:dyDescent="0.25"/>
    <row r="144103" customFormat="1" x14ac:dyDescent="0.25"/>
    <row r="144104" customFormat="1" x14ac:dyDescent="0.25"/>
    <row r="144105" customFormat="1" x14ac:dyDescent="0.25"/>
    <row r="144106" customFormat="1" x14ac:dyDescent="0.25"/>
    <row r="144107" customFormat="1" x14ac:dyDescent="0.25"/>
    <row r="144108" customFormat="1" x14ac:dyDescent="0.25"/>
    <row r="144109" customFormat="1" x14ac:dyDescent="0.25"/>
    <row r="144110" customFormat="1" x14ac:dyDescent="0.25"/>
    <row r="144111" customFormat="1" x14ac:dyDescent="0.25"/>
    <row r="144112" customFormat="1" x14ac:dyDescent="0.25"/>
    <row r="144113" customFormat="1" x14ac:dyDescent="0.25"/>
    <row r="144114" customFormat="1" x14ac:dyDescent="0.25"/>
    <row r="144115" customFormat="1" x14ac:dyDescent="0.25"/>
    <row r="144116" customFormat="1" x14ac:dyDescent="0.25"/>
    <row r="144117" customFormat="1" x14ac:dyDescent="0.25"/>
    <row r="144118" customFormat="1" x14ac:dyDescent="0.25"/>
    <row r="144119" customFormat="1" x14ac:dyDescent="0.25"/>
    <row r="144120" customFormat="1" x14ac:dyDescent="0.25"/>
    <row r="144121" customFormat="1" x14ac:dyDescent="0.25"/>
    <row r="144122" customFormat="1" x14ac:dyDescent="0.25"/>
    <row r="144123" customFormat="1" x14ac:dyDescent="0.25"/>
    <row r="144124" customFormat="1" x14ac:dyDescent="0.25"/>
    <row r="144125" customFormat="1" x14ac:dyDescent="0.25"/>
    <row r="144126" customFormat="1" x14ac:dyDescent="0.25"/>
    <row r="144127" customFormat="1" x14ac:dyDescent="0.25"/>
    <row r="144128" customFormat="1" x14ac:dyDescent="0.25"/>
    <row r="144129" customFormat="1" x14ac:dyDescent="0.25"/>
    <row r="144130" customFormat="1" x14ac:dyDescent="0.25"/>
    <row r="144131" customFormat="1" x14ac:dyDescent="0.25"/>
    <row r="144132" customFormat="1" x14ac:dyDescent="0.25"/>
    <row r="144133" customFormat="1" x14ac:dyDescent="0.25"/>
    <row r="144134" customFormat="1" x14ac:dyDescent="0.25"/>
    <row r="144135" customFormat="1" x14ac:dyDescent="0.25"/>
    <row r="144136" customFormat="1" x14ac:dyDescent="0.25"/>
    <row r="144137" customFormat="1" x14ac:dyDescent="0.25"/>
    <row r="144138" customFormat="1" x14ac:dyDescent="0.25"/>
    <row r="144139" customFormat="1" x14ac:dyDescent="0.25"/>
    <row r="144140" customFormat="1" x14ac:dyDescent="0.25"/>
    <row r="144141" customFormat="1" x14ac:dyDescent="0.25"/>
    <row r="144142" customFormat="1" x14ac:dyDescent="0.25"/>
    <row r="144143" customFormat="1" x14ac:dyDescent="0.25"/>
    <row r="144144" customFormat="1" x14ac:dyDescent="0.25"/>
    <row r="144145" customFormat="1" x14ac:dyDescent="0.25"/>
    <row r="144146" customFormat="1" x14ac:dyDescent="0.25"/>
    <row r="144147" customFormat="1" x14ac:dyDescent="0.25"/>
    <row r="144148" customFormat="1" x14ac:dyDescent="0.25"/>
    <row r="144149" customFormat="1" x14ac:dyDescent="0.25"/>
    <row r="144150" customFormat="1" x14ac:dyDescent="0.25"/>
    <row r="144151" customFormat="1" x14ac:dyDescent="0.25"/>
    <row r="144152" customFormat="1" x14ac:dyDescent="0.25"/>
    <row r="144153" customFormat="1" x14ac:dyDescent="0.25"/>
    <row r="144154" customFormat="1" x14ac:dyDescent="0.25"/>
    <row r="144155" customFormat="1" x14ac:dyDescent="0.25"/>
    <row r="144156" customFormat="1" x14ac:dyDescent="0.25"/>
    <row r="144157" customFormat="1" x14ac:dyDescent="0.25"/>
    <row r="144158" customFormat="1" x14ac:dyDescent="0.25"/>
    <row r="144159" customFormat="1" x14ac:dyDescent="0.25"/>
    <row r="144160" customFormat="1" x14ac:dyDescent="0.25"/>
    <row r="144161" customFormat="1" x14ac:dyDescent="0.25"/>
    <row r="144162" customFormat="1" x14ac:dyDescent="0.25"/>
    <row r="144163" customFormat="1" x14ac:dyDescent="0.25"/>
    <row r="144164" customFormat="1" x14ac:dyDescent="0.25"/>
    <row r="144165" customFormat="1" x14ac:dyDescent="0.25"/>
    <row r="144166" customFormat="1" x14ac:dyDescent="0.25"/>
    <row r="144167" customFormat="1" x14ac:dyDescent="0.25"/>
    <row r="144168" customFormat="1" x14ac:dyDescent="0.25"/>
    <row r="144169" customFormat="1" x14ac:dyDescent="0.25"/>
    <row r="144170" customFormat="1" x14ac:dyDescent="0.25"/>
    <row r="144171" customFormat="1" x14ac:dyDescent="0.25"/>
    <row r="144172" customFormat="1" x14ac:dyDescent="0.25"/>
    <row r="144173" customFormat="1" x14ac:dyDescent="0.25"/>
    <row r="144174" customFormat="1" x14ac:dyDescent="0.25"/>
    <row r="144175" customFormat="1" x14ac:dyDescent="0.25"/>
    <row r="144176" customFormat="1" x14ac:dyDescent="0.25"/>
    <row r="144177" customFormat="1" x14ac:dyDescent="0.25"/>
    <row r="144178" customFormat="1" x14ac:dyDescent="0.25"/>
    <row r="144179" customFormat="1" x14ac:dyDescent="0.25"/>
    <row r="144180" customFormat="1" x14ac:dyDescent="0.25"/>
    <row r="144181" customFormat="1" x14ac:dyDescent="0.25"/>
    <row r="144182" customFormat="1" x14ac:dyDescent="0.25"/>
    <row r="144183" customFormat="1" x14ac:dyDescent="0.25"/>
    <row r="144184" customFormat="1" x14ac:dyDescent="0.25"/>
    <row r="144185" customFormat="1" x14ac:dyDescent="0.25"/>
    <row r="144186" customFormat="1" x14ac:dyDescent="0.25"/>
    <row r="144187" customFormat="1" x14ac:dyDescent="0.25"/>
    <row r="144188" customFormat="1" x14ac:dyDescent="0.25"/>
    <row r="144189" customFormat="1" x14ac:dyDescent="0.25"/>
    <row r="144190" customFormat="1" x14ac:dyDescent="0.25"/>
    <row r="144191" customFormat="1" x14ac:dyDescent="0.25"/>
    <row r="144192" customFormat="1" x14ac:dyDescent="0.25"/>
    <row r="144193" customFormat="1" x14ac:dyDescent="0.25"/>
    <row r="144194" customFormat="1" x14ac:dyDescent="0.25"/>
    <row r="144195" customFormat="1" x14ac:dyDescent="0.25"/>
    <row r="144196" customFormat="1" x14ac:dyDescent="0.25"/>
    <row r="144197" customFormat="1" x14ac:dyDescent="0.25"/>
    <row r="144198" customFormat="1" x14ac:dyDescent="0.25"/>
    <row r="144199" customFormat="1" x14ac:dyDescent="0.25"/>
    <row r="144200" customFormat="1" x14ac:dyDescent="0.25"/>
    <row r="144201" customFormat="1" x14ac:dyDescent="0.25"/>
    <row r="144202" customFormat="1" x14ac:dyDescent="0.25"/>
    <row r="144203" customFormat="1" x14ac:dyDescent="0.25"/>
    <row r="144204" customFormat="1" x14ac:dyDescent="0.25"/>
    <row r="144205" customFormat="1" x14ac:dyDescent="0.25"/>
    <row r="144206" customFormat="1" x14ac:dyDescent="0.25"/>
    <row r="144207" customFormat="1" x14ac:dyDescent="0.25"/>
    <row r="144208" customFormat="1" x14ac:dyDescent="0.25"/>
    <row r="144209" customFormat="1" x14ac:dyDescent="0.25"/>
    <row r="144210" customFormat="1" x14ac:dyDescent="0.25"/>
    <row r="144211" customFormat="1" x14ac:dyDescent="0.25"/>
    <row r="144212" customFormat="1" x14ac:dyDescent="0.25"/>
    <row r="144213" customFormat="1" x14ac:dyDescent="0.25"/>
    <row r="144214" customFormat="1" x14ac:dyDescent="0.25"/>
    <row r="144215" customFormat="1" x14ac:dyDescent="0.25"/>
    <row r="144216" customFormat="1" x14ac:dyDescent="0.25"/>
    <row r="144217" customFormat="1" x14ac:dyDescent="0.25"/>
    <row r="144218" customFormat="1" x14ac:dyDescent="0.25"/>
    <row r="144219" customFormat="1" x14ac:dyDescent="0.25"/>
    <row r="144220" customFormat="1" x14ac:dyDescent="0.25"/>
    <row r="144221" customFormat="1" x14ac:dyDescent="0.25"/>
    <row r="144222" customFormat="1" x14ac:dyDescent="0.25"/>
    <row r="144223" customFormat="1" x14ac:dyDescent="0.25"/>
    <row r="144224" customFormat="1" x14ac:dyDescent="0.25"/>
    <row r="144225" customFormat="1" x14ac:dyDescent="0.25"/>
    <row r="144226" customFormat="1" x14ac:dyDescent="0.25"/>
    <row r="144227" customFormat="1" x14ac:dyDescent="0.25"/>
    <row r="144228" customFormat="1" x14ac:dyDescent="0.25"/>
    <row r="144229" customFormat="1" x14ac:dyDescent="0.25"/>
    <row r="144230" customFormat="1" x14ac:dyDescent="0.25"/>
    <row r="144231" customFormat="1" x14ac:dyDescent="0.25"/>
    <row r="144232" customFormat="1" x14ac:dyDescent="0.25"/>
    <row r="144233" customFormat="1" x14ac:dyDescent="0.25"/>
    <row r="144234" customFormat="1" x14ac:dyDescent="0.25"/>
    <row r="144235" customFormat="1" x14ac:dyDescent="0.25"/>
    <row r="144236" customFormat="1" x14ac:dyDescent="0.25"/>
    <row r="144237" customFormat="1" x14ac:dyDescent="0.25"/>
    <row r="144238" customFormat="1" x14ac:dyDescent="0.25"/>
    <row r="144239" customFormat="1" x14ac:dyDescent="0.25"/>
    <row r="144240" customFormat="1" x14ac:dyDescent="0.25"/>
    <row r="144241" customFormat="1" x14ac:dyDescent="0.25"/>
    <row r="144242" customFormat="1" x14ac:dyDescent="0.25"/>
    <row r="144243" customFormat="1" x14ac:dyDescent="0.25"/>
    <row r="144244" customFormat="1" x14ac:dyDescent="0.25"/>
    <row r="144245" customFormat="1" x14ac:dyDescent="0.25"/>
    <row r="144246" customFormat="1" x14ac:dyDescent="0.25"/>
    <row r="144247" customFormat="1" x14ac:dyDescent="0.25"/>
    <row r="144248" customFormat="1" x14ac:dyDescent="0.25"/>
    <row r="144249" customFormat="1" x14ac:dyDescent="0.25"/>
    <row r="144250" customFormat="1" x14ac:dyDescent="0.25"/>
    <row r="144251" customFormat="1" x14ac:dyDescent="0.25"/>
    <row r="144252" customFormat="1" x14ac:dyDescent="0.25"/>
    <row r="144253" customFormat="1" x14ac:dyDescent="0.25"/>
    <row r="144254" customFormat="1" x14ac:dyDescent="0.25"/>
    <row r="144255" customFormat="1" x14ac:dyDescent="0.25"/>
    <row r="144256" customFormat="1" x14ac:dyDescent="0.25"/>
    <row r="144257" customFormat="1" x14ac:dyDescent="0.25"/>
    <row r="144258" customFormat="1" x14ac:dyDescent="0.25"/>
    <row r="144259" customFormat="1" x14ac:dyDescent="0.25"/>
    <row r="144260" customFormat="1" x14ac:dyDescent="0.25"/>
    <row r="144261" customFormat="1" x14ac:dyDescent="0.25"/>
    <row r="144262" customFormat="1" x14ac:dyDescent="0.25"/>
    <row r="144263" customFormat="1" x14ac:dyDescent="0.25"/>
    <row r="144264" customFormat="1" x14ac:dyDescent="0.25"/>
    <row r="144265" customFormat="1" x14ac:dyDescent="0.25"/>
    <row r="144266" customFormat="1" x14ac:dyDescent="0.25"/>
    <row r="144267" customFormat="1" x14ac:dyDescent="0.25"/>
    <row r="144268" customFormat="1" x14ac:dyDescent="0.25"/>
    <row r="144269" customFormat="1" x14ac:dyDescent="0.25"/>
    <row r="144270" customFormat="1" x14ac:dyDescent="0.25"/>
    <row r="144271" customFormat="1" x14ac:dyDescent="0.25"/>
    <row r="144272" customFormat="1" x14ac:dyDescent="0.25"/>
    <row r="144273" customFormat="1" x14ac:dyDescent="0.25"/>
    <row r="144274" customFormat="1" x14ac:dyDescent="0.25"/>
    <row r="144275" customFormat="1" x14ac:dyDescent="0.25"/>
    <row r="144276" customFormat="1" x14ac:dyDescent="0.25"/>
    <row r="144277" customFormat="1" x14ac:dyDescent="0.25"/>
    <row r="144278" customFormat="1" x14ac:dyDescent="0.25"/>
    <row r="144279" customFormat="1" x14ac:dyDescent="0.25"/>
    <row r="144280" customFormat="1" x14ac:dyDescent="0.25"/>
    <row r="144281" customFormat="1" x14ac:dyDescent="0.25"/>
    <row r="144282" customFormat="1" x14ac:dyDescent="0.25"/>
    <row r="144283" customFormat="1" x14ac:dyDescent="0.25"/>
    <row r="144284" customFormat="1" x14ac:dyDescent="0.25"/>
    <row r="144285" customFormat="1" x14ac:dyDescent="0.25"/>
    <row r="144286" customFormat="1" x14ac:dyDescent="0.25"/>
    <row r="144287" customFormat="1" x14ac:dyDescent="0.25"/>
    <row r="144288" customFormat="1" x14ac:dyDescent="0.25"/>
    <row r="144289" customFormat="1" x14ac:dyDescent="0.25"/>
    <row r="144290" customFormat="1" x14ac:dyDescent="0.25"/>
    <row r="144291" customFormat="1" x14ac:dyDescent="0.25"/>
    <row r="144292" customFormat="1" x14ac:dyDescent="0.25"/>
    <row r="144293" customFormat="1" x14ac:dyDescent="0.25"/>
    <row r="144294" customFormat="1" x14ac:dyDescent="0.25"/>
    <row r="144295" customFormat="1" x14ac:dyDescent="0.25"/>
    <row r="144296" customFormat="1" x14ac:dyDescent="0.25"/>
    <row r="144297" customFormat="1" x14ac:dyDescent="0.25"/>
    <row r="144298" customFormat="1" x14ac:dyDescent="0.25"/>
    <row r="144299" customFormat="1" x14ac:dyDescent="0.25"/>
    <row r="144300" customFormat="1" x14ac:dyDescent="0.25"/>
    <row r="144301" customFormat="1" x14ac:dyDescent="0.25"/>
    <row r="144302" customFormat="1" x14ac:dyDescent="0.25"/>
    <row r="144303" customFormat="1" x14ac:dyDescent="0.25"/>
    <row r="144304" customFormat="1" x14ac:dyDescent="0.25"/>
    <row r="144305" customFormat="1" x14ac:dyDescent="0.25"/>
    <row r="144306" customFormat="1" x14ac:dyDescent="0.25"/>
    <row r="144307" customFormat="1" x14ac:dyDescent="0.25"/>
    <row r="144308" customFormat="1" x14ac:dyDescent="0.25"/>
    <row r="144309" customFormat="1" x14ac:dyDescent="0.25"/>
    <row r="144310" customFormat="1" x14ac:dyDescent="0.25"/>
    <row r="144311" customFormat="1" x14ac:dyDescent="0.25"/>
    <row r="144312" customFormat="1" x14ac:dyDescent="0.25"/>
    <row r="144313" customFormat="1" x14ac:dyDescent="0.25"/>
    <row r="144314" customFormat="1" x14ac:dyDescent="0.25"/>
    <row r="144315" customFormat="1" x14ac:dyDescent="0.25"/>
    <row r="144316" customFormat="1" x14ac:dyDescent="0.25"/>
    <row r="144317" customFormat="1" x14ac:dyDescent="0.25"/>
    <row r="144318" customFormat="1" x14ac:dyDescent="0.25"/>
    <row r="144319" customFormat="1" x14ac:dyDescent="0.25"/>
    <row r="144320" customFormat="1" x14ac:dyDescent="0.25"/>
    <row r="144321" customFormat="1" x14ac:dyDescent="0.25"/>
    <row r="144322" customFormat="1" x14ac:dyDescent="0.25"/>
    <row r="144323" customFormat="1" x14ac:dyDescent="0.25"/>
    <row r="144324" customFormat="1" x14ac:dyDescent="0.25"/>
    <row r="144325" customFormat="1" x14ac:dyDescent="0.25"/>
    <row r="144326" customFormat="1" x14ac:dyDescent="0.25"/>
    <row r="144327" customFormat="1" x14ac:dyDescent="0.25"/>
    <row r="144328" customFormat="1" x14ac:dyDescent="0.25"/>
    <row r="144329" customFormat="1" x14ac:dyDescent="0.25"/>
    <row r="144330" customFormat="1" x14ac:dyDescent="0.25"/>
    <row r="144331" customFormat="1" x14ac:dyDescent="0.25"/>
    <row r="144332" customFormat="1" x14ac:dyDescent="0.25"/>
    <row r="144333" customFormat="1" x14ac:dyDescent="0.25"/>
    <row r="144334" customFormat="1" x14ac:dyDescent="0.25"/>
    <row r="144335" customFormat="1" x14ac:dyDescent="0.25"/>
    <row r="144336" customFormat="1" x14ac:dyDescent="0.25"/>
    <row r="144337" customFormat="1" x14ac:dyDescent="0.25"/>
    <row r="144338" customFormat="1" x14ac:dyDescent="0.25"/>
    <row r="144339" customFormat="1" x14ac:dyDescent="0.25"/>
    <row r="144340" customFormat="1" x14ac:dyDescent="0.25"/>
    <row r="144341" customFormat="1" x14ac:dyDescent="0.25"/>
    <row r="144342" customFormat="1" x14ac:dyDescent="0.25"/>
    <row r="144343" customFormat="1" x14ac:dyDescent="0.25"/>
    <row r="144344" customFormat="1" x14ac:dyDescent="0.25"/>
    <row r="144345" customFormat="1" x14ac:dyDescent="0.25"/>
    <row r="144346" customFormat="1" x14ac:dyDescent="0.25"/>
    <row r="144347" customFormat="1" x14ac:dyDescent="0.25"/>
    <row r="144348" customFormat="1" x14ac:dyDescent="0.25"/>
    <row r="144349" customFormat="1" x14ac:dyDescent="0.25"/>
    <row r="144350" customFormat="1" x14ac:dyDescent="0.25"/>
    <row r="144351" customFormat="1" x14ac:dyDescent="0.25"/>
    <row r="144352" customFormat="1" x14ac:dyDescent="0.25"/>
    <row r="144353" customFormat="1" x14ac:dyDescent="0.25"/>
    <row r="144354" customFormat="1" x14ac:dyDescent="0.25"/>
    <row r="144355" customFormat="1" x14ac:dyDescent="0.25"/>
    <row r="144356" customFormat="1" x14ac:dyDescent="0.25"/>
    <row r="144357" customFormat="1" x14ac:dyDescent="0.25"/>
    <row r="144358" customFormat="1" x14ac:dyDescent="0.25"/>
    <row r="144359" customFormat="1" x14ac:dyDescent="0.25"/>
    <row r="144360" customFormat="1" x14ac:dyDescent="0.25"/>
    <row r="144361" customFormat="1" x14ac:dyDescent="0.25"/>
    <row r="144362" customFormat="1" x14ac:dyDescent="0.25"/>
    <row r="144363" customFormat="1" x14ac:dyDescent="0.25"/>
    <row r="144364" customFormat="1" x14ac:dyDescent="0.25"/>
    <row r="144365" customFormat="1" x14ac:dyDescent="0.25"/>
    <row r="144366" customFormat="1" x14ac:dyDescent="0.25"/>
    <row r="144367" customFormat="1" x14ac:dyDescent="0.25"/>
    <row r="144368" customFormat="1" x14ac:dyDescent="0.25"/>
    <row r="144369" customFormat="1" x14ac:dyDescent="0.25"/>
    <row r="144370" customFormat="1" x14ac:dyDescent="0.25"/>
    <row r="144371" customFormat="1" x14ac:dyDescent="0.25"/>
    <row r="144372" customFormat="1" x14ac:dyDescent="0.25"/>
    <row r="144373" customFormat="1" x14ac:dyDescent="0.25"/>
    <row r="144374" customFormat="1" x14ac:dyDescent="0.25"/>
    <row r="144375" customFormat="1" x14ac:dyDescent="0.25"/>
    <row r="144376" customFormat="1" x14ac:dyDescent="0.25"/>
    <row r="144377" customFormat="1" x14ac:dyDescent="0.25"/>
    <row r="144378" customFormat="1" x14ac:dyDescent="0.25"/>
    <row r="144379" customFormat="1" x14ac:dyDescent="0.25"/>
    <row r="144380" customFormat="1" x14ac:dyDescent="0.25"/>
    <row r="144381" customFormat="1" x14ac:dyDescent="0.25"/>
    <row r="144382" customFormat="1" x14ac:dyDescent="0.25"/>
    <row r="144383" customFormat="1" x14ac:dyDescent="0.25"/>
    <row r="144384" customFormat="1" x14ac:dyDescent="0.25"/>
    <row r="144385" customFormat="1" x14ac:dyDescent="0.25"/>
    <row r="144386" customFormat="1" x14ac:dyDescent="0.25"/>
    <row r="144387" customFormat="1" x14ac:dyDescent="0.25"/>
    <row r="144388" customFormat="1" x14ac:dyDescent="0.25"/>
    <row r="144389" customFormat="1" x14ac:dyDescent="0.25"/>
    <row r="144390" customFormat="1" x14ac:dyDescent="0.25"/>
    <row r="144391" customFormat="1" x14ac:dyDescent="0.25"/>
    <row r="144392" customFormat="1" x14ac:dyDescent="0.25"/>
    <row r="144393" customFormat="1" x14ac:dyDescent="0.25"/>
    <row r="144394" customFormat="1" x14ac:dyDescent="0.25"/>
    <row r="144395" customFormat="1" x14ac:dyDescent="0.25"/>
    <row r="144396" customFormat="1" x14ac:dyDescent="0.25"/>
    <row r="144397" customFormat="1" x14ac:dyDescent="0.25"/>
    <row r="144398" customFormat="1" x14ac:dyDescent="0.25"/>
    <row r="144399" customFormat="1" x14ac:dyDescent="0.25"/>
    <row r="144400" customFormat="1" x14ac:dyDescent="0.25"/>
    <row r="144401" customFormat="1" x14ac:dyDescent="0.25"/>
    <row r="144402" customFormat="1" x14ac:dyDescent="0.25"/>
    <row r="144403" customFormat="1" x14ac:dyDescent="0.25"/>
    <row r="144404" customFormat="1" x14ac:dyDescent="0.25"/>
    <row r="144405" customFormat="1" x14ac:dyDescent="0.25"/>
    <row r="144406" customFormat="1" x14ac:dyDescent="0.25"/>
    <row r="144407" customFormat="1" x14ac:dyDescent="0.25"/>
    <row r="144408" customFormat="1" x14ac:dyDescent="0.25"/>
    <row r="144409" customFormat="1" x14ac:dyDescent="0.25"/>
    <row r="144410" customFormat="1" x14ac:dyDescent="0.25"/>
    <row r="144411" customFormat="1" x14ac:dyDescent="0.25"/>
    <row r="144412" customFormat="1" x14ac:dyDescent="0.25"/>
    <row r="144413" customFormat="1" x14ac:dyDescent="0.25"/>
    <row r="144414" customFormat="1" x14ac:dyDescent="0.25"/>
    <row r="144415" customFormat="1" x14ac:dyDescent="0.25"/>
    <row r="144416" customFormat="1" x14ac:dyDescent="0.25"/>
    <row r="144417" customFormat="1" x14ac:dyDescent="0.25"/>
    <row r="144418" customFormat="1" x14ac:dyDescent="0.25"/>
    <row r="144419" customFormat="1" x14ac:dyDescent="0.25"/>
    <row r="144420" customFormat="1" x14ac:dyDescent="0.25"/>
    <row r="144421" customFormat="1" x14ac:dyDescent="0.25"/>
    <row r="144422" customFormat="1" x14ac:dyDescent="0.25"/>
    <row r="144423" customFormat="1" x14ac:dyDescent="0.25"/>
    <row r="144424" customFormat="1" x14ac:dyDescent="0.25"/>
    <row r="144425" customFormat="1" x14ac:dyDescent="0.25"/>
    <row r="144426" customFormat="1" x14ac:dyDescent="0.25"/>
    <row r="144427" customFormat="1" x14ac:dyDescent="0.25"/>
    <row r="144428" customFormat="1" x14ac:dyDescent="0.25"/>
    <row r="144429" customFormat="1" x14ac:dyDescent="0.25"/>
    <row r="144430" customFormat="1" x14ac:dyDescent="0.25"/>
    <row r="144431" customFormat="1" x14ac:dyDescent="0.25"/>
    <row r="144432" customFormat="1" x14ac:dyDescent="0.25"/>
    <row r="144433" customFormat="1" x14ac:dyDescent="0.25"/>
    <row r="144434" customFormat="1" x14ac:dyDescent="0.25"/>
    <row r="144435" customFormat="1" x14ac:dyDescent="0.25"/>
    <row r="144436" customFormat="1" x14ac:dyDescent="0.25"/>
    <row r="144437" customFormat="1" x14ac:dyDescent="0.25"/>
    <row r="144438" customFormat="1" x14ac:dyDescent="0.25"/>
    <row r="144439" customFormat="1" x14ac:dyDescent="0.25"/>
    <row r="144440" customFormat="1" x14ac:dyDescent="0.25"/>
    <row r="144441" customFormat="1" x14ac:dyDescent="0.25"/>
    <row r="144442" customFormat="1" x14ac:dyDescent="0.25"/>
    <row r="144443" customFormat="1" x14ac:dyDescent="0.25"/>
    <row r="144444" customFormat="1" x14ac:dyDescent="0.25"/>
    <row r="144445" customFormat="1" x14ac:dyDescent="0.25"/>
    <row r="144446" customFormat="1" x14ac:dyDescent="0.25"/>
    <row r="144447" customFormat="1" x14ac:dyDescent="0.25"/>
    <row r="144448" customFormat="1" x14ac:dyDescent="0.25"/>
    <row r="144449" customFormat="1" x14ac:dyDescent="0.25"/>
    <row r="144450" customFormat="1" x14ac:dyDescent="0.25"/>
    <row r="144451" customFormat="1" x14ac:dyDescent="0.25"/>
    <row r="144452" customFormat="1" x14ac:dyDescent="0.25"/>
    <row r="144453" customFormat="1" x14ac:dyDescent="0.25"/>
    <row r="144454" customFormat="1" x14ac:dyDescent="0.25"/>
    <row r="144455" customFormat="1" x14ac:dyDescent="0.25"/>
    <row r="144456" customFormat="1" x14ac:dyDescent="0.25"/>
    <row r="144457" customFormat="1" x14ac:dyDescent="0.25"/>
    <row r="144458" customFormat="1" x14ac:dyDescent="0.25"/>
    <row r="144459" customFormat="1" x14ac:dyDescent="0.25"/>
    <row r="144460" customFormat="1" x14ac:dyDescent="0.25"/>
    <row r="144461" customFormat="1" x14ac:dyDescent="0.25"/>
    <row r="144462" customFormat="1" x14ac:dyDescent="0.25"/>
    <row r="144463" customFormat="1" x14ac:dyDescent="0.25"/>
    <row r="144464" customFormat="1" x14ac:dyDescent="0.25"/>
    <row r="144465" customFormat="1" x14ac:dyDescent="0.25"/>
    <row r="144466" customFormat="1" x14ac:dyDescent="0.25"/>
    <row r="144467" customFormat="1" x14ac:dyDescent="0.25"/>
    <row r="144468" customFormat="1" x14ac:dyDescent="0.25"/>
    <row r="144469" customFormat="1" x14ac:dyDescent="0.25"/>
    <row r="144470" customFormat="1" x14ac:dyDescent="0.25"/>
    <row r="144471" customFormat="1" x14ac:dyDescent="0.25"/>
    <row r="144472" customFormat="1" x14ac:dyDescent="0.25"/>
    <row r="144473" customFormat="1" x14ac:dyDescent="0.25"/>
    <row r="144474" customFormat="1" x14ac:dyDescent="0.25"/>
    <row r="144475" customFormat="1" x14ac:dyDescent="0.25"/>
    <row r="144476" customFormat="1" x14ac:dyDescent="0.25"/>
    <row r="144477" customFormat="1" x14ac:dyDescent="0.25"/>
    <row r="144478" customFormat="1" x14ac:dyDescent="0.25"/>
    <row r="144479" customFormat="1" x14ac:dyDescent="0.25"/>
    <row r="144480" customFormat="1" x14ac:dyDescent="0.25"/>
    <row r="144481" customFormat="1" x14ac:dyDescent="0.25"/>
    <row r="144482" customFormat="1" x14ac:dyDescent="0.25"/>
    <row r="144483" customFormat="1" x14ac:dyDescent="0.25"/>
    <row r="144484" customFormat="1" x14ac:dyDescent="0.25"/>
    <row r="144485" customFormat="1" x14ac:dyDescent="0.25"/>
    <row r="144486" customFormat="1" x14ac:dyDescent="0.25"/>
    <row r="144487" customFormat="1" x14ac:dyDescent="0.25"/>
    <row r="144488" customFormat="1" x14ac:dyDescent="0.25"/>
    <row r="144489" customFormat="1" x14ac:dyDescent="0.25"/>
    <row r="144490" customFormat="1" x14ac:dyDescent="0.25"/>
    <row r="144491" customFormat="1" x14ac:dyDescent="0.25"/>
    <row r="144492" customFormat="1" x14ac:dyDescent="0.25"/>
    <row r="144493" customFormat="1" x14ac:dyDescent="0.25"/>
    <row r="144494" customFormat="1" x14ac:dyDescent="0.25"/>
    <row r="144495" customFormat="1" x14ac:dyDescent="0.25"/>
    <row r="144496" customFormat="1" x14ac:dyDescent="0.25"/>
    <row r="144497" customFormat="1" x14ac:dyDescent="0.25"/>
    <row r="144498" customFormat="1" x14ac:dyDescent="0.25"/>
    <row r="144499" customFormat="1" x14ac:dyDescent="0.25"/>
    <row r="144500" customFormat="1" x14ac:dyDescent="0.25"/>
    <row r="144501" customFormat="1" x14ac:dyDescent="0.25"/>
    <row r="144502" customFormat="1" x14ac:dyDescent="0.25"/>
    <row r="144503" customFormat="1" x14ac:dyDescent="0.25"/>
    <row r="144504" customFormat="1" x14ac:dyDescent="0.25"/>
    <row r="144505" customFormat="1" x14ac:dyDescent="0.25"/>
    <row r="144506" customFormat="1" x14ac:dyDescent="0.25"/>
    <row r="144507" customFormat="1" x14ac:dyDescent="0.25"/>
    <row r="144508" customFormat="1" x14ac:dyDescent="0.25"/>
    <row r="144509" customFormat="1" x14ac:dyDescent="0.25"/>
    <row r="144510" customFormat="1" x14ac:dyDescent="0.25"/>
    <row r="144511" customFormat="1" x14ac:dyDescent="0.25"/>
    <row r="144512" customFormat="1" x14ac:dyDescent="0.25"/>
    <row r="144513" customFormat="1" x14ac:dyDescent="0.25"/>
    <row r="144514" customFormat="1" x14ac:dyDescent="0.25"/>
    <row r="144515" customFormat="1" x14ac:dyDescent="0.25"/>
    <row r="144516" customFormat="1" x14ac:dyDescent="0.25"/>
    <row r="144517" customFormat="1" x14ac:dyDescent="0.25"/>
    <row r="144518" customFormat="1" x14ac:dyDescent="0.25"/>
    <row r="144519" customFormat="1" x14ac:dyDescent="0.25"/>
    <row r="144520" customFormat="1" x14ac:dyDescent="0.25"/>
    <row r="144521" customFormat="1" x14ac:dyDescent="0.25"/>
    <row r="144522" customFormat="1" x14ac:dyDescent="0.25"/>
    <row r="144523" customFormat="1" x14ac:dyDescent="0.25"/>
    <row r="144524" customFormat="1" x14ac:dyDescent="0.25"/>
    <row r="144525" customFormat="1" x14ac:dyDescent="0.25"/>
    <row r="144526" customFormat="1" x14ac:dyDescent="0.25"/>
    <row r="144527" customFormat="1" x14ac:dyDescent="0.25"/>
    <row r="144528" customFormat="1" x14ac:dyDescent="0.25"/>
    <row r="144529" customFormat="1" x14ac:dyDescent="0.25"/>
    <row r="144530" customFormat="1" x14ac:dyDescent="0.25"/>
    <row r="144531" customFormat="1" x14ac:dyDescent="0.25"/>
    <row r="144532" customFormat="1" x14ac:dyDescent="0.25"/>
    <row r="144533" customFormat="1" x14ac:dyDescent="0.25"/>
    <row r="144534" customFormat="1" x14ac:dyDescent="0.25"/>
    <row r="144535" customFormat="1" x14ac:dyDescent="0.25"/>
    <row r="144536" customFormat="1" x14ac:dyDescent="0.25"/>
    <row r="144537" customFormat="1" x14ac:dyDescent="0.25"/>
    <row r="144538" customFormat="1" x14ac:dyDescent="0.25"/>
    <row r="144539" customFormat="1" x14ac:dyDescent="0.25"/>
    <row r="144540" customFormat="1" x14ac:dyDescent="0.25"/>
    <row r="144541" customFormat="1" x14ac:dyDescent="0.25"/>
    <row r="144542" customFormat="1" x14ac:dyDescent="0.25"/>
    <row r="144543" customFormat="1" x14ac:dyDescent="0.25"/>
    <row r="144544" customFormat="1" x14ac:dyDescent="0.25"/>
    <row r="144545" customFormat="1" x14ac:dyDescent="0.25"/>
    <row r="144546" customFormat="1" x14ac:dyDescent="0.25"/>
    <row r="144547" customFormat="1" x14ac:dyDescent="0.25"/>
    <row r="144548" customFormat="1" x14ac:dyDescent="0.25"/>
    <row r="144549" customFormat="1" x14ac:dyDescent="0.25"/>
    <row r="144550" customFormat="1" x14ac:dyDescent="0.25"/>
    <row r="144551" customFormat="1" x14ac:dyDescent="0.25"/>
    <row r="144552" customFormat="1" x14ac:dyDescent="0.25"/>
    <row r="144553" customFormat="1" x14ac:dyDescent="0.25"/>
    <row r="144554" customFormat="1" x14ac:dyDescent="0.25"/>
    <row r="144555" customFormat="1" x14ac:dyDescent="0.25"/>
    <row r="144556" customFormat="1" x14ac:dyDescent="0.25"/>
    <row r="144557" customFormat="1" x14ac:dyDescent="0.25"/>
    <row r="144558" customFormat="1" x14ac:dyDescent="0.25"/>
    <row r="144559" customFormat="1" x14ac:dyDescent="0.25"/>
    <row r="144560" customFormat="1" x14ac:dyDescent="0.25"/>
    <row r="144561" customFormat="1" x14ac:dyDescent="0.25"/>
    <row r="144562" customFormat="1" x14ac:dyDescent="0.25"/>
    <row r="144563" customFormat="1" x14ac:dyDescent="0.25"/>
    <row r="144564" customFormat="1" x14ac:dyDescent="0.25"/>
    <row r="144565" customFormat="1" x14ac:dyDescent="0.25"/>
    <row r="144566" customFormat="1" x14ac:dyDescent="0.25"/>
    <row r="144567" customFormat="1" x14ac:dyDescent="0.25"/>
    <row r="144568" customFormat="1" x14ac:dyDescent="0.25"/>
    <row r="144569" customFormat="1" x14ac:dyDescent="0.25"/>
    <row r="144570" customFormat="1" x14ac:dyDescent="0.25"/>
    <row r="144571" customFormat="1" x14ac:dyDescent="0.25"/>
    <row r="144572" customFormat="1" x14ac:dyDescent="0.25"/>
    <row r="144573" customFormat="1" x14ac:dyDescent="0.25"/>
    <row r="144574" customFormat="1" x14ac:dyDescent="0.25"/>
    <row r="144575" customFormat="1" x14ac:dyDescent="0.25"/>
    <row r="144576" customFormat="1" x14ac:dyDescent="0.25"/>
    <row r="144577" customFormat="1" x14ac:dyDescent="0.25"/>
    <row r="144578" customFormat="1" x14ac:dyDescent="0.25"/>
    <row r="144579" customFormat="1" x14ac:dyDescent="0.25"/>
    <row r="144580" customFormat="1" x14ac:dyDescent="0.25"/>
    <row r="144581" customFormat="1" x14ac:dyDescent="0.25"/>
    <row r="144582" customFormat="1" x14ac:dyDescent="0.25"/>
    <row r="144583" customFormat="1" x14ac:dyDescent="0.25"/>
    <row r="144584" customFormat="1" x14ac:dyDescent="0.25"/>
    <row r="144585" customFormat="1" x14ac:dyDescent="0.25"/>
    <row r="144586" customFormat="1" x14ac:dyDescent="0.25"/>
    <row r="144587" customFormat="1" x14ac:dyDescent="0.25"/>
    <row r="144588" customFormat="1" x14ac:dyDescent="0.25"/>
    <row r="144589" customFormat="1" x14ac:dyDescent="0.25"/>
    <row r="144590" customFormat="1" x14ac:dyDescent="0.25"/>
    <row r="144591" customFormat="1" x14ac:dyDescent="0.25"/>
    <row r="144592" customFormat="1" x14ac:dyDescent="0.25"/>
    <row r="144593" customFormat="1" x14ac:dyDescent="0.25"/>
    <row r="144594" customFormat="1" x14ac:dyDescent="0.25"/>
    <row r="144595" customFormat="1" x14ac:dyDescent="0.25"/>
    <row r="144596" customFormat="1" x14ac:dyDescent="0.25"/>
    <row r="144597" customFormat="1" x14ac:dyDescent="0.25"/>
    <row r="144598" customFormat="1" x14ac:dyDescent="0.25"/>
    <row r="144599" customFormat="1" x14ac:dyDescent="0.25"/>
    <row r="144600" customFormat="1" x14ac:dyDescent="0.25"/>
    <row r="144601" customFormat="1" x14ac:dyDescent="0.25"/>
    <row r="144602" customFormat="1" x14ac:dyDescent="0.25"/>
    <row r="144603" customFormat="1" x14ac:dyDescent="0.25"/>
    <row r="144604" customFormat="1" x14ac:dyDescent="0.25"/>
    <row r="144605" customFormat="1" x14ac:dyDescent="0.25"/>
    <row r="144606" customFormat="1" x14ac:dyDescent="0.25"/>
    <row r="144607" customFormat="1" x14ac:dyDescent="0.25"/>
    <row r="144608" customFormat="1" x14ac:dyDescent="0.25"/>
    <row r="144609" customFormat="1" x14ac:dyDescent="0.25"/>
    <row r="144610" customFormat="1" x14ac:dyDescent="0.25"/>
    <row r="144611" customFormat="1" x14ac:dyDescent="0.25"/>
    <row r="144612" customFormat="1" x14ac:dyDescent="0.25"/>
    <row r="144613" customFormat="1" x14ac:dyDescent="0.25"/>
    <row r="144614" customFormat="1" x14ac:dyDescent="0.25"/>
    <row r="144615" customFormat="1" x14ac:dyDescent="0.25"/>
    <row r="144616" customFormat="1" x14ac:dyDescent="0.25"/>
    <row r="144617" customFormat="1" x14ac:dyDescent="0.25"/>
    <row r="144618" customFormat="1" x14ac:dyDescent="0.25"/>
    <row r="144619" customFormat="1" x14ac:dyDescent="0.25"/>
    <row r="144620" customFormat="1" x14ac:dyDescent="0.25"/>
    <row r="144621" customFormat="1" x14ac:dyDescent="0.25"/>
    <row r="144622" customFormat="1" x14ac:dyDescent="0.25"/>
    <row r="144623" customFormat="1" x14ac:dyDescent="0.25"/>
    <row r="144624" customFormat="1" x14ac:dyDescent="0.25"/>
    <row r="144625" customFormat="1" x14ac:dyDescent="0.25"/>
    <row r="144626" customFormat="1" x14ac:dyDescent="0.25"/>
    <row r="144627" customFormat="1" x14ac:dyDescent="0.25"/>
    <row r="144628" customFormat="1" x14ac:dyDescent="0.25"/>
    <row r="144629" customFormat="1" x14ac:dyDescent="0.25"/>
    <row r="144630" customFormat="1" x14ac:dyDescent="0.25"/>
    <row r="144631" customFormat="1" x14ac:dyDescent="0.25"/>
    <row r="144632" customFormat="1" x14ac:dyDescent="0.25"/>
    <row r="144633" customFormat="1" x14ac:dyDescent="0.25"/>
    <row r="144634" customFormat="1" x14ac:dyDescent="0.25"/>
    <row r="144635" customFormat="1" x14ac:dyDescent="0.25"/>
    <row r="144636" customFormat="1" x14ac:dyDescent="0.25"/>
    <row r="144637" customFormat="1" x14ac:dyDescent="0.25"/>
    <row r="144638" customFormat="1" x14ac:dyDescent="0.25"/>
    <row r="144639" customFormat="1" x14ac:dyDescent="0.25"/>
    <row r="144640" customFormat="1" x14ac:dyDescent="0.25"/>
    <row r="144641" customFormat="1" x14ac:dyDescent="0.25"/>
    <row r="144642" customFormat="1" x14ac:dyDescent="0.25"/>
    <row r="144643" customFormat="1" x14ac:dyDescent="0.25"/>
    <row r="144644" customFormat="1" x14ac:dyDescent="0.25"/>
    <row r="144645" customFormat="1" x14ac:dyDescent="0.25"/>
    <row r="144646" customFormat="1" x14ac:dyDescent="0.25"/>
    <row r="144647" customFormat="1" x14ac:dyDescent="0.25"/>
    <row r="144648" customFormat="1" x14ac:dyDescent="0.25"/>
    <row r="144649" customFormat="1" x14ac:dyDescent="0.25"/>
    <row r="144650" customFormat="1" x14ac:dyDescent="0.25"/>
    <row r="144651" customFormat="1" x14ac:dyDescent="0.25"/>
    <row r="144652" customFormat="1" x14ac:dyDescent="0.25"/>
    <row r="144653" customFormat="1" x14ac:dyDescent="0.25"/>
    <row r="144654" customFormat="1" x14ac:dyDescent="0.25"/>
    <row r="144655" customFormat="1" x14ac:dyDescent="0.25"/>
    <row r="144656" customFormat="1" x14ac:dyDescent="0.25"/>
    <row r="144657" customFormat="1" x14ac:dyDescent="0.25"/>
    <row r="144658" customFormat="1" x14ac:dyDescent="0.25"/>
    <row r="144659" customFormat="1" x14ac:dyDescent="0.25"/>
    <row r="144660" customFormat="1" x14ac:dyDescent="0.25"/>
    <row r="144661" customFormat="1" x14ac:dyDescent="0.25"/>
    <row r="144662" customFormat="1" x14ac:dyDescent="0.25"/>
    <row r="144663" customFormat="1" x14ac:dyDescent="0.25"/>
    <row r="144664" customFormat="1" x14ac:dyDescent="0.25"/>
    <row r="144665" customFormat="1" x14ac:dyDescent="0.25"/>
    <row r="144666" customFormat="1" x14ac:dyDescent="0.25"/>
    <row r="144667" customFormat="1" x14ac:dyDescent="0.25"/>
    <row r="144668" customFormat="1" x14ac:dyDescent="0.25"/>
    <row r="144669" customFormat="1" x14ac:dyDescent="0.25"/>
    <row r="144670" customFormat="1" x14ac:dyDescent="0.25"/>
    <row r="144671" customFormat="1" x14ac:dyDescent="0.25"/>
    <row r="144672" customFormat="1" x14ac:dyDescent="0.25"/>
    <row r="144673" customFormat="1" x14ac:dyDescent="0.25"/>
    <row r="144674" customFormat="1" x14ac:dyDescent="0.25"/>
    <row r="144675" customFormat="1" x14ac:dyDescent="0.25"/>
    <row r="144676" customFormat="1" x14ac:dyDescent="0.25"/>
    <row r="144677" customFormat="1" x14ac:dyDescent="0.25"/>
    <row r="144678" customFormat="1" x14ac:dyDescent="0.25"/>
    <row r="144679" customFormat="1" x14ac:dyDescent="0.25"/>
    <row r="144680" customFormat="1" x14ac:dyDescent="0.25"/>
    <row r="144681" customFormat="1" x14ac:dyDescent="0.25"/>
    <row r="144682" customFormat="1" x14ac:dyDescent="0.25"/>
    <row r="144683" customFormat="1" x14ac:dyDescent="0.25"/>
    <row r="144684" customFormat="1" x14ac:dyDescent="0.25"/>
    <row r="144685" customFormat="1" x14ac:dyDescent="0.25"/>
    <row r="144686" customFormat="1" x14ac:dyDescent="0.25"/>
    <row r="144687" customFormat="1" x14ac:dyDescent="0.25"/>
    <row r="144688" customFormat="1" x14ac:dyDescent="0.25"/>
    <row r="144689" customFormat="1" x14ac:dyDescent="0.25"/>
    <row r="144690" customFormat="1" x14ac:dyDescent="0.25"/>
    <row r="144691" customFormat="1" x14ac:dyDescent="0.25"/>
    <row r="144692" customFormat="1" x14ac:dyDescent="0.25"/>
    <row r="144693" customFormat="1" x14ac:dyDescent="0.25"/>
    <row r="144694" customFormat="1" x14ac:dyDescent="0.25"/>
    <row r="144695" customFormat="1" x14ac:dyDescent="0.25"/>
    <row r="144696" customFormat="1" x14ac:dyDescent="0.25"/>
    <row r="144697" customFormat="1" x14ac:dyDescent="0.25"/>
    <row r="144698" customFormat="1" x14ac:dyDescent="0.25"/>
    <row r="144699" customFormat="1" x14ac:dyDescent="0.25"/>
    <row r="144700" customFormat="1" x14ac:dyDescent="0.25"/>
    <row r="144701" customFormat="1" x14ac:dyDescent="0.25"/>
    <row r="144702" customFormat="1" x14ac:dyDescent="0.25"/>
    <row r="144703" customFormat="1" x14ac:dyDescent="0.25"/>
    <row r="144704" customFormat="1" x14ac:dyDescent="0.25"/>
    <row r="144705" customFormat="1" x14ac:dyDescent="0.25"/>
    <row r="144706" customFormat="1" x14ac:dyDescent="0.25"/>
  </sheetData>
  <sortState xmlns:xlrd2="http://schemas.microsoft.com/office/spreadsheetml/2017/richdata2" ref="A2:D9131">
    <sortCondition ref="C2:C9131"/>
    <sortCondition ref="A2:A91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CA8B-2594-470E-98A5-3CEC44E3DC8C}">
  <dimension ref="A1:F67"/>
  <sheetViews>
    <sheetView workbookViewId="0">
      <selection activeCell="S15" sqref="S15"/>
    </sheetView>
  </sheetViews>
  <sheetFormatPr defaultRowHeight="15" x14ac:dyDescent="0.25"/>
  <cols>
    <col min="1" max="1" width="17.28515625" bestFit="1" customWidth="1"/>
    <col min="2" max="2" width="8.42578125" bestFit="1" customWidth="1"/>
    <col min="3" max="4" width="5" bestFit="1" customWidth="1"/>
    <col min="5" max="6" width="4" bestFit="1" customWidth="1"/>
    <col min="7" max="7" width="11.28515625" bestFit="1" customWidth="1"/>
  </cols>
  <sheetData>
    <row r="1" spans="1:6" x14ac:dyDescent="0.25">
      <c r="A1" s="2" t="s">
        <v>9</v>
      </c>
      <c r="B1" s="2" t="s">
        <v>22</v>
      </c>
    </row>
    <row r="2" spans="1:6" x14ac:dyDescent="0.25">
      <c r="A2" s="2" t="s">
        <v>23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5">
      <c r="A3" s="3" t="s">
        <v>4</v>
      </c>
    </row>
    <row r="4" spans="1:6" x14ac:dyDescent="0.25">
      <c r="A4" s="7" t="s">
        <v>10</v>
      </c>
      <c r="B4">
        <v>328</v>
      </c>
      <c r="C4">
        <v>911</v>
      </c>
      <c r="D4">
        <v>547</v>
      </c>
      <c r="E4">
        <v>346</v>
      </c>
      <c r="F4">
        <v>276</v>
      </c>
    </row>
    <row r="5" spans="1:6" x14ac:dyDescent="0.25">
      <c r="A5" s="7" t="s">
        <v>11</v>
      </c>
      <c r="B5">
        <v>322</v>
      </c>
      <c r="C5">
        <v>873</v>
      </c>
      <c r="D5">
        <v>597</v>
      </c>
      <c r="E5">
        <v>340</v>
      </c>
      <c r="F5">
        <v>276</v>
      </c>
    </row>
    <row r="6" spans="1:6" x14ac:dyDescent="0.25">
      <c r="A6" s="7" t="s">
        <v>12</v>
      </c>
      <c r="B6">
        <v>477</v>
      </c>
      <c r="C6">
        <v>1299</v>
      </c>
      <c r="D6">
        <v>789</v>
      </c>
      <c r="E6">
        <v>467</v>
      </c>
      <c r="F6">
        <v>378</v>
      </c>
    </row>
    <row r="7" spans="1:6" x14ac:dyDescent="0.25">
      <c r="A7" s="7" t="s">
        <v>13</v>
      </c>
      <c r="B7">
        <v>522</v>
      </c>
      <c r="C7">
        <v>1316</v>
      </c>
      <c r="D7">
        <v>853</v>
      </c>
      <c r="E7">
        <v>514</v>
      </c>
      <c r="F7">
        <v>417</v>
      </c>
    </row>
    <row r="8" spans="1:6" x14ac:dyDescent="0.25">
      <c r="A8" s="7" t="s">
        <v>14</v>
      </c>
      <c r="B8">
        <v>531</v>
      </c>
      <c r="C8">
        <v>1527</v>
      </c>
      <c r="D8">
        <v>993</v>
      </c>
      <c r="E8">
        <v>632</v>
      </c>
      <c r="F8">
        <v>497</v>
      </c>
    </row>
    <row r="9" spans="1:6" x14ac:dyDescent="0.25">
      <c r="A9" s="7" t="s">
        <v>15</v>
      </c>
      <c r="B9">
        <v>627</v>
      </c>
      <c r="C9">
        <v>1643</v>
      </c>
      <c r="D9">
        <v>996</v>
      </c>
      <c r="E9">
        <v>599</v>
      </c>
      <c r="F9">
        <v>497</v>
      </c>
    </row>
    <row r="10" spans="1:6" x14ac:dyDescent="0.25">
      <c r="A10" s="7" t="s">
        <v>16</v>
      </c>
      <c r="B10">
        <v>661</v>
      </c>
      <c r="C10">
        <v>1743</v>
      </c>
      <c r="D10">
        <v>1105</v>
      </c>
      <c r="E10">
        <v>626</v>
      </c>
      <c r="F10">
        <v>519</v>
      </c>
    </row>
    <row r="11" spans="1:6" x14ac:dyDescent="0.25">
      <c r="A11" s="7" t="s">
        <v>17</v>
      </c>
      <c r="B11">
        <v>594</v>
      </c>
      <c r="C11">
        <v>1591</v>
      </c>
      <c r="D11">
        <v>996</v>
      </c>
      <c r="E11">
        <v>580</v>
      </c>
      <c r="F11">
        <v>508</v>
      </c>
    </row>
    <row r="12" spans="1:6" x14ac:dyDescent="0.25">
      <c r="A12" s="7" t="s">
        <v>18</v>
      </c>
      <c r="B12">
        <v>519</v>
      </c>
      <c r="C12">
        <v>1353</v>
      </c>
      <c r="D12">
        <v>891</v>
      </c>
      <c r="E12">
        <v>554</v>
      </c>
      <c r="F12">
        <v>430</v>
      </c>
    </row>
    <row r="13" spans="1:6" x14ac:dyDescent="0.25">
      <c r="A13" s="7" t="s">
        <v>19</v>
      </c>
      <c r="B13">
        <v>484</v>
      </c>
      <c r="C13">
        <v>1330</v>
      </c>
      <c r="D13">
        <v>776</v>
      </c>
      <c r="E13">
        <v>475</v>
      </c>
      <c r="F13">
        <v>426</v>
      </c>
    </row>
    <row r="14" spans="1:6" x14ac:dyDescent="0.25">
      <c r="A14" s="7" t="s">
        <v>20</v>
      </c>
      <c r="B14">
        <v>572</v>
      </c>
      <c r="C14">
        <v>1427</v>
      </c>
      <c r="D14">
        <v>900</v>
      </c>
      <c r="E14">
        <v>519</v>
      </c>
      <c r="F14">
        <v>422</v>
      </c>
    </row>
    <row r="15" spans="1:6" x14ac:dyDescent="0.25">
      <c r="A15" s="7" t="s">
        <v>21</v>
      </c>
      <c r="B15">
        <v>388</v>
      </c>
      <c r="C15">
        <v>1023</v>
      </c>
      <c r="D15">
        <v>657</v>
      </c>
      <c r="E15">
        <v>393</v>
      </c>
      <c r="F15">
        <v>356</v>
      </c>
    </row>
    <row r="16" spans="1:6" x14ac:dyDescent="0.25">
      <c r="A16" s="3" t="s">
        <v>5</v>
      </c>
    </row>
    <row r="17" spans="1:6" x14ac:dyDescent="0.25">
      <c r="A17" s="7" t="s">
        <v>10</v>
      </c>
      <c r="B17">
        <v>435</v>
      </c>
      <c r="C17">
        <v>1116</v>
      </c>
      <c r="D17">
        <v>654</v>
      </c>
      <c r="E17">
        <v>366</v>
      </c>
      <c r="F17">
        <v>330</v>
      </c>
    </row>
    <row r="18" spans="1:6" x14ac:dyDescent="0.25">
      <c r="A18" s="7" t="s">
        <v>11</v>
      </c>
      <c r="B18">
        <v>405</v>
      </c>
      <c r="C18">
        <v>1135</v>
      </c>
      <c r="D18">
        <v>674</v>
      </c>
      <c r="E18">
        <v>415</v>
      </c>
      <c r="F18">
        <v>314</v>
      </c>
    </row>
    <row r="19" spans="1:6" x14ac:dyDescent="0.25">
      <c r="A19" s="7" t="s">
        <v>12</v>
      </c>
      <c r="B19">
        <v>549</v>
      </c>
      <c r="C19">
        <v>1406</v>
      </c>
      <c r="D19">
        <v>885</v>
      </c>
      <c r="E19">
        <v>524</v>
      </c>
      <c r="F19">
        <v>472</v>
      </c>
    </row>
    <row r="20" spans="1:6" x14ac:dyDescent="0.25">
      <c r="A20" s="7" t="s">
        <v>13</v>
      </c>
      <c r="B20">
        <v>573</v>
      </c>
      <c r="C20">
        <v>1645</v>
      </c>
      <c r="D20">
        <v>973</v>
      </c>
      <c r="E20">
        <v>631</v>
      </c>
      <c r="F20">
        <v>516</v>
      </c>
    </row>
    <row r="21" spans="1:6" x14ac:dyDescent="0.25">
      <c r="A21" s="7" t="s">
        <v>14</v>
      </c>
      <c r="B21">
        <v>651</v>
      </c>
      <c r="C21">
        <v>1870</v>
      </c>
      <c r="D21">
        <v>1168</v>
      </c>
      <c r="E21">
        <v>645</v>
      </c>
      <c r="F21">
        <v>598</v>
      </c>
    </row>
    <row r="22" spans="1:6" x14ac:dyDescent="0.25">
      <c r="A22" s="7" t="s">
        <v>15</v>
      </c>
      <c r="B22">
        <v>710</v>
      </c>
      <c r="C22">
        <v>1849</v>
      </c>
      <c r="D22">
        <v>1129</v>
      </c>
      <c r="E22">
        <v>693</v>
      </c>
      <c r="F22">
        <v>565</v>
      </c>
    </row>
    <row r="23" spans="1:6" x14ac:dyDescent="0.25">
      <c r="A23" s="7" t="s">
        <v>16</v>
      </c>
      <c r="B23">
        <v>746</v>
      </c>
      <c r="C23">
        <v>2039</v>
      </c>
      <c r="D23">
        <v>1204</v>
      </c>
      <c r="E23">
        <v>791</v>
      </c>
      <c r="F23">
        <v>634</v>
      </c>
    </row>
    <row r="24" spans="1:6" x14ac:dyDescent="0.25">
      <c r="A24" s="7" t="s">
        <v>17</v>
      </c>
      <c r="B24">
        <v>671</v>
      </c>
      <c r="C24">
        <v>1823</v>
      </c>
      <c r="D24">
        <v>1116</v>
      </c>
      <c r="E24">
        <v>705</v>
      </c>
      <c r="F24">
        <v>589</v>
      </c>
    </row>
    <row r="25" spans="1:6" x14ac:dyDescent="0.25">
      <c r="A25" s="7" t="s">
        <v>18</v>
      </c>
      <c r="B25">
        <v>566</v>
      </c>
      <c r="C25">
        <v>1539</v>
      </c>
      <c r="D25">
        <v>971</v>
      </c>
      <c r="E25">
        <v>605</v>
      </c>
      <c r="F25">
        <v>473</v>
      </c>
    </row>
    <row r="26" spans="1:6" x14ac:dyDescent="0.25">
      <c r="A26" s="7" t="s">
        <v>19</v>
      </c>
      <c r="B26">
        <v>555</v>
      </c>
      <c r="C26">
        <v>1506</v>
      </c>
      <c r="D26">
        <v>981</v>
      </c>
      <c r="E26">
        <v>541</v>
      </c>
      <c r="F26">
        <v>465</v>
      </c>
    </row>
    <row r="27" spans="1:6" x14ac:dyDescent="0.25">
      <c r="A27" s="7" t="s">
        <v>20</v>
      </c>
      <c r="B27">
        <v>619</v>
      </c>
      <c r="C27">
        <v>1595</v>
      </c>
      <c r="D27">
        <v>1020</v>
      </c>
      <c r="E27">
        <v>640</v>
      </c>
      <c r="F27">
        <v>501</v>
      </c>
    </row>
    <row r="28" spans="1:6" x14ac:dyDescent="0.25">
      <c r="A28" s="7" t="s">
        <v>21</v>
      </c>
      <c r="B28">
        <v>409</v>
      </c>
      <c r="C28">
        <v>1211</v>
      </c>
      <c r="D28">
        <v>729</v>
      </c>
      <c r="E28">
        <v>474</v>
      </c>
      <c r="F28">
        <v>343</v>
      </c>
    </row>
    <row r="29" spans="1:6" x14ac:dyDescent="0.25">
      <c r="A29" s="3" t="s">
        <v>6</v>
      </c>
    </row>
    <row r="30" spans="1:6" x14ac:dyDescent="0.25">
      <c r="A30" s="7" t="s">
        <v>10</v>
      </c>
      <c r="B30">
        <v>428</v>
      </c>
      <c r="C30">
        <v>1114</v>
      </c>
      <c r="D30">
        <v>719</v>
      </c>
      <c r="E30">
        <v>454</v>
      </c>
      <c r="F30">
        <v>367</v>
      </c>
    </row>
    <row r="31" spans="1:6" x14ac:dyDescent="0.25">
      <c r="A31" s="7" t="s">
        <v>11</v>
      </c>
      <c r="B31">
        <v>399</v>
      </c>
      <c r="C31">
        <v>1157</v>
      </c>
      <c r="D31">
        <v>670</v>
      </c>
      <c r="E31">
        <v>407</v>
      </c>
      <c r="F31">
        <v>335</v>
      </c>
    </row>
    <row r="32" spans="1:6" x14ac:dyDescent="0.25">
      <c r="A32" s="7" t="s">
        <v>12</v>
      </c>
      <c r="B32">
        <v>552</v>
      </c>
      <c r="C32">
        <v>1536</v>
      </c>
      <c r="D32">
        <v>908</v>
      </c>
      <c r="E32">
        <v>552</v>
      </c>
      <c r="F32">
        <v>470</v>
      </c>
    </row>
    <row r="33" spans="1:6" x14ac:dyDescent="0.25">
      <c r="A33" s="7" t="s">
        <v>13</v>
      </c>
      <c r="B33">
        <v>652</v>
      </c>
      <c r="C33">
        <v>1700</v>
      </c>
      <c r="D33">
        <v>1058</v>
      </c>
      <c r="E33">
        <v>666</v>
      </c>
      <c r="F33">
        <v>495</v>
      </c>
    </row>
    <row r="34" spans="1:6" x14ac:dyDescent="0.25">
      <c r="A34" s="7" t="s">
        <v>14</v>
      </c>
      <c r="B34">
        <v>711</v>
      </c>
      <c r="C34">
        <v>1941</v>
      </c>
      <c r="D34">
        <v>1236</v>
      </c>
      <c r="E34">
        <v>732</v>
      </c>
      <c r="F34">
        <v>559</v>
      </c>
    </row>
    <row r="35" spans="1:6" x14ac:dyDescent="0.25">
      <c r="A35" s="7" t="s">
        <v>15</v>
      </c>
      <c r="B35">
        <v>748</v>
      </c>
      <c r="C35">
        <v>1828</v>
      </c>
      <c r="D35">
        <v>1215</v>
      </c>
      <c r="E35">
        <v>686</v>
      </c>
      <c r="F35">
        <v>614</v>
      </c>
    </row>
    <row r="36" spans="1:6" x14ac:dyDescent="0.25">
      <c r="A36" s="7" t="s">
        <v>16</v>
      </c>
      <c r="B36">
        <v>842</v>
      </c>
      <c r="C36">
        <v>1967</v>
      </c>
      <c r="D36">
        <v>1325</v>
      </c>
      <c r="E36">
        <v>783</v>
      </c>
      <c r="F36">
        <v>632</v>
      </c>
    </row>
    <row r="37" spans="1:6" x14ac:dyDescent="0.25">
      <c r="A37" s="7" t="s">
        <v>17</v>
      </c>
      <c r="B37">
        <v>706</v>
      </c>
      <c r="C37">
        <v>1915</v>
      </c>
      <c r="D37">
        <v>1178</v>
      </c>
      <c r="E37">
        <v>691</v>
      </c>
      <c r="F37">
        <v>616</v>
      </c>
    </row>
    <row r="38" spans="1:6" x14ac:dyDescent="0.25">
      <c r="A38" s="7" t="s">
        <v>18</v>
      </c>
      <c r="B38">
        <v>678</v>
      </c>
      <c r="C38">
        <v>1625</v>
      </c>
      <c r="D38">
        <v>1112</v>
      </c>
      <c r="E38">
        <v>650</v>
      </c>
      <c r="F38">
        <v>511</v>
      </c>
    </row>
    <row r="39" spans="1:6" x14ac:dyDescent="0.25">
      <c r="A39" s="7" t="s">
        <v>19</v>
      </c>
      <c r="B39">
        <v>647</v>
      </c>
      <c r="C39">
        <v>1622</v>
      </c>
      <c r="D39">
        <v>1041</v>
      </c>
      <c r="E39">
        <v>604</v>
      </c>
      <c r="F39">
        <v>486</v>
      </c>
    </row>
    <row r="40" spans="1:6" x14ac:dyDescent="0.25">
      <c r="A40" s="7" t="s">
        <v>20</v>
      </c>
      <c r="B40">
        <v>684</v>
      </c>
      <c r="C40">
        <v>1680</v>
      </c>
      <c r="D40">
        <v>1059</v>
      </c>
      <c r="E40">
        <v>605</v>
      </c>
      <c r="F40">
        <v>509</v>
      </c>
    </row>
    <row r="41" spans="1:6" x14ac:dyDescent="0.25">
      <c r="A41" s="7" t="s">
        <v>21</v>
      </c>
      <c r="B41">
        <v>460</v>
      </c>
      <c r="C41">
        <v>1227</v>
      </c>
      <c r="D41">
        <v>750</v>
      </c>
      <c r="E41">
        <v>461</v>
      </c>
      <c r="F41">
        <v>380</v>
      </c>
    </row>
    <row r="42" spans="1:6" x14ac:dyDescent="0.25">
      <c r="A42" s="3" t="s">
        <v>7</v>
      </c>
    </row>
    <row r="43" spans="1:6" x14ac:dyDescent="0.25">
      <c r="A43" s="7" t="s">
        <v>10</v>
      </c>
      <c r="B43">
        <v>449</v>
      </c>
      <c r="C43">
        <v>1248</v>
      </c>
      <c r="D43">
        <v>795</v>
      </c>
      <c r="E43">
        <v>447</v>
      </c>
      <c r="F43">
        <v>413</v>
      </c>
    </row>
    <row r="44" spans="1:6" x14ac:dyDescent="0.25">
      <c r="A44" s="7" t="s">
        <v>11</v>
      </c>
      <c r="B44">
        <v>450</v>
      </c>
      <c r="C44">
        <v>1270</v>
      </c>
      <c r="D44">
        <v>791</v>
      </c>
      <c r="E44">
        <v>491</v>
      </c>
      <c r="F44">
        <v>417</v>
      </c>
    </row>
    <row r="45" spans="1:6" x14ac:dyDescent="0.25">
      <c r="A45" s="7" t="s">
        <v>12</v>
      </c>
      <c r="B45">
        <v>589</v>
      </c>
      <c r="C45">
        <v>1628</v>
      </c>
      <c r="D45">
        <v>1001</v>
      </c>
      <c r="E45">
        <v>594</v>
      </c>
      <c r="F45">
        <v>515</v>
      </c>
    </row>
    <row r="46" spans="1:6" x14ac:dyDescent="0.25">
      <c r="A46" s="7" t="s">
        <v>13</v>
      </c>
      <c r="B46">
        <v>694</v>
      </c>
      <c r="C46">
        <v>1791</v>
      </c>
      <c r="D46">
        <v>1113</v>
      </c>
      <c r="E46">
        <v>706</v>
      </c>
      <c r="F46">
        <v>581</v>
      </c>
    </row>
    <row r="47" spans="1:6" x14ac:dyDescent="0.25">
      <c r="A47" s="7" t="s">
        <v>14</v>
      </c>
      <c r="B47">
        <v>782</v>
      </c>
      <c r="C47">
        <v>2003</v>
      </c>
      <c r="D47">
        <v>1297</v>
      </c>
      <c r="E47">
        <v>779</v>
      </c>
      <c r="F47">
        <v>619</v>
      </c>
    </row>
    <row r="48" spans="1:6" x14ac:dyDescent="0.25">
      <c r="A48" s="7" t="s">
        <v>15</v>
      </c>
      <c r="B48">
        <v>790</v>
      </c>
      <c r="C48">
        <v>2062</v>
      </c>
      <c r="D48">
        <v>1276</v>
      </c>
      <c r="E48">
        <v>810</v>
      </c>
      <c r="F48">
        <v>643</v>
      </c>
    </row>
    <row r="49" spans="1:6" x14ac:dyDescent="0.25">
      <c r="A49" s="7" t="s">
        <v>16</v>
      </c>
      <c r="B49">
        <v>903</v>
      </c>
      <c r="C49">
        <v>2387</v>
      </c>
      <c r="D49">
        <v>1443</v>
      </c>
      <c r="E49">
        <v>856</v>
      </c>
      <c r="F49">
        <v>744</v>
      </c>
    </row>
    <row r="50" spans="1:6" x14ac:dyDescent="0.25">
      <c r="A50" s="7" t="s">
        <v>17</v>
      </c>
      <c r="B50">
        <v>727</v>
      </c>
      <c r="C50">
        <v>2016</v>
      </c>
      <c r="D50">
        <v>1197</v>
      </c>
      <c r="E50">
        <v>739</v>
      </c>
      <c r="F50">
        <v>655</v>
      </c>
    </row>
    <row r="51" spans="1:6" x14ac:dyDescent="0.25">
      <c r="A51" s="7" t="s">
        <v>18</v>
      </c>
      <c r="B51">
        <v>709</v>
      </c>
      <c r="C51">
        <v>1807</v>
      </c>
      <c r="D51">
        <v>1163</v>
      </c>
      <c r="E51">
        <v>689</v>
      </c>
      <c r="F51">
        <v>584</v>
      </c>
    </row>
    <row r="52" spans="1:6" x14ac:dyDescent="0.25">
      <c r="A52" s="7" t="s">
        <v>19</v>
      </c>
      <c r="B52">
        <v>699</v>
      </c>
      <c r="C52">
        <v>1806</v>
      </c>
      <c r="D52">
        <v>1076</v>
      </c>
      <c r="E52">
        <v>687</v>
      </c>
      <c r="F52">
        <v>565</v>
      </c>
    </row>
    <row r="53" spans="1:6" x14ac:dyDescent="0.25">
      <c r="A53" s="7" t="s">
        <v>20</v>
      </c>
      <c r="B53">
        <v>662</v>
      </c>
      <c r="C53">
        <v>1789</v>
      </c>
      <c r="D53">
        <v>1134</v>
      </c>
      <c r="E53">
        <v>643</v>
      </c>
      <c r="F53">
        <v>559</v>
      </c>
    </row>
    <row r="54" spans="1:6" x14ac:dyDescent="0.25">
      <c r="A54" s="7" t="s">
        <v>21</v>
      </c>
      <c r="B54">
        <v>496</v>
      </c>
      <c r="C54">
        <v>1338</v>
      </c>
      <c r="D54">
        <v>831</v>
      </c>
      <c r="E54">
        <v>555</v>
      </c>
      <c r="F54">
        <v>440</v>
      </c>
    </row>
    <row r="55" spans="1:6" x14ac:dyDescent="0.25">
      <c r="A55" s="3" t="s">
        <v>8</v>
      </c>
    </row>
    <row r="56" spans="1:6" x14ac:dyDescent="0.25">
      <c r="A56" s="7" t="s">
        <v>10</v>
      </c>
      <c r="B56">
        <v>485</v>
      </c>
      <c r="C56">
        <v>1202</v>
      </c>
      <c r="D56">
        <v>788</v>
      </c>
      <c r="E56">
        <v>488</v>
      </c>
      <c r="F56">
        <v>407</v>
      </c>
    </row>
    <row r="57" spans="1:6" x14ac:dyDescent="0.25">
      <c r="A57" s="7" t="s">
        <v>11</v>
      </c>
      <c r="B57">
        <v>487</v>
      </c>
      <c r="C57">
        <v>1196</v>
      </c>
      <c r="D57">
        <v>777</v>
      </c>
      <c r="E57">
        <v>464</v>
      </c>
      <c r="F57">
        <v>432</v>
      </c>
    </row>
    <row r="58" spans="1:6" x14ac:dyDescent="0.25">
      <c r="A58" s="7" t="s">
        <v>12</v>
      </c>
      <c r="B58">
        <v>561</v>
      </c>
      <c r="C58">
        <v>1592</v>
      </c>
      <c r="D58">
        <v>1023</v>
      </c>
      <c r="E58">
        <v>622</v>
      </c>
      <c r="F58">
        <v>512</v>
      </c>
    </row>
    <row r="59" spans="1:6" x14ac:dyDescent="0.25">
      <c r="A59" s="7" t="s">
        <v>13</v>
      </c>
      <c r="B59">
        <v>677</v>
      </c>
      <c r="C59">
        <v>1951</v>
      </c>
      <c r="D59">
        <v>1207</v>
      </c>
      <c r="E59">
        <v>724</v>
      </c>
      <c r="F59">
        <v>633</v>
      </c>
    </row>
    <row r="60" spans="1:6" x14ac:dyDescent="0.25">
      <c r="A60" s="7" t="s">
        <v>14</v>
      </c>
      <c r="B60">
        <v>773</v>
      </c>
      <c r="C60">
        <v>2101</v>
      </c>
      <c r="D60">
        <v>1387</v>
      </c>
      <c r="E60">
        <v>742</v>
      </c>
      <c r="F60">
        <v>653</v>
      </c>
    </row>
    <row r="61" spans="1:6" x14ac:dyDescent="0.25">
      <c r="A61" s="7" t="s">
        <v>15</v>
      </c>
      <c r="B61">
        <v>850</v>
      </c>
      <c r="C61">
        <v>2214</v>
      </c>
      <c r="D61">
        <v>1356</v>
      </c>
      <c r="E61">
        <v>814</v>
      </c>
      <c r="F61">
        <v>686</v>
      </c>
    </row>
    <row r="62" spans="1:6" x14ac:dyDescent="0.25">
      <c r="A62" s="7" t="s">
        <v>16</v>
      </c>
      <c r="B62">
        <v>873</v>
      </c>
      <c r="C62">
        <v>2370</v>
      </c>
      <c r="D62">
        <v>1501</v>
      </c>
      <c r="E62">
        <v>917</v>
      </c>
      <c r="F62">
        <v>699</v>
      </c>
    </row>
    <row r="63" spans="1:6" x14ac:dyDescent="0.25">
      <c r="A63" s="7" t="s">
        <v>17</v>
      </c>
      <c r="B63">
        <v>794</v>
      </c>
      <c r="C63">
        <v>2089</v>
      </c>
      <c r="D63">
        <v>1278</v>
      </c>
      <c r="E63">
        <v>780</v>
      </c>
      <c r="F63">
        <v>637</v>
      </c>
    </row>
    <row r="64" spans="1:6" x14ac:dyDescent="0.25">
      <c r="A64" s="7" t="s">
        <v>18</v>
      </c>
      <c r="B64">
        <v>736</v>
      </c>
      <c r="C64">
        <v>1923</v>
      </c>
      <c r="D64">
        <v>1200</v>
      </c>
      <c r="E64">
        <v>649</v>
      </c>
      <c r="F64">
        <v>589</v>
      </c>
    </row>
    <row r="65" spans="1:6" x14ac:dyDescent="0.25">
      <c r="A65" s="7" t="s">
        <v>19</v>
      </c>
      <c r="B65">
        <v>660</v>
      </c>
      <c r="C65">
        <v>1748</v>
      </c>
      <c r="D65">
        <v>1100</v>
      </c>
      <c r="E65">
        <v>680</v>
      </c>
      <c r="F65">
        <v>565</v>
      </c>
    </row>
    <row r="66" spans="1:6" x14ac:dyDescent="0.25">
      <c r="A66" s="7" t="s">
        <v>20</v>
      </c>
      <c r="B66">
        <v>668</v>
      </c>
      <c r="C66">
        <v>1962</v>
      </c>
      <c r="D66">
        <v>1156</v>
      </c>
      <c r="E66">
        <v>701</v>
      </c>
      <c r="F66">
        <v>575</v>
      </c>
    </row>
    <row r="67" spans="1:6" x14ac:dyDescent="0.25">
      <c r="A67" s="7" t="s">
        <v>21</v>
      </c>
      <c r="B67">
        <v>533</v>
      </c>
      <c r="C67">
        <v>1475</v>
      </c>
      <c r="D67">
        <v>873</v>
      </c>
      <c r="E67">
        <v>497</v>
      </c>
      <c r="F67">
        <v>436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93D7-E63A-4D16-B409-3D902DBC1EA1}">
  <dimension ref="A1:F15"/>
  <sheetViews>
    <sheetView workbookViewId="0">
      <selection activeCell="AA20" sqref="AA20"/>
    </sheetView>
  </sheetViews>
  <sheetFormatPr defaultRowHeight="15" x14ac:dyDescent="0.25"/>
  <cols>
    <col min="1" max="1" width="17.28515625" bestFit="1" customWidth="1"/>
    <col min="2" max="2" width="8.42578125" bestFit="1" customWidth="1"/>
    <col min="3" max="26" width="5" bestFit="1" customWidth="1"/>
  </cols>
  <sheetData>
    <row r="1" spans="1:6" x14ac:dyDescent="0.25">
      <c r="A1" s="2" t="s">
        <v>9</v>
      </c>
      <c r="B1" s="2" t="s">
        <v>22</v>
      </c>
    </row>
    <row r="2" spans="1:6" x14ac:dyDescent="0.25">
      <c r="B2">
        <v>1</v>
      </c>
    </row>
    <row r="3" spans="1:6" x14ac:dyDescent="0.25">
      <c r="A3" s="2" t="s">
        <v>23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4" spans="1:6" x14ac:dyDescent="0.25">
      <c r="A4" s="3" t="s">
        <v>10</v>
      </c>
      <c r="B4">
        <v>328</v>
      </c>
      <c r="C4">
        <v>435</v>
      </c>
      <c r="D4">
        <v>428</v>
      </c>
      <c r="E4">
        <v>449</v>
      </c>
      <c r="F4">
        <v>485</v>
      </c>
    </row>
    <row r="5" spans="1:6" x14ac:dyDescent="0.25">
      <c r="A5" s="3" t="s">
        <v>11</v>
      </c>
      <c r="B5">
        <v>322</v>
      </c>
      <c r="C5">
        <v>405</v>
      </c>
      <c r="D5">
        <v>399</v>
      </c>
      <c r="E5">
        <v>450</v>
      </c>
      <c r="F5">
        <v>487</v>
      </c>
    </row>
    <row r="6" spans="1:6" x14ac:dyDescent="0.25">
      <c r="A6" s="3" t="s">
        <v>12</v>
      </c>
      <c r="B6">
        <v>477</v>
      </c>
      <c r="C6">
        <v>549</v>
      </c>
      <c r="D6">
        <v>552</v>
      </c>
      <c r="E6">
        <v>589</v>
      </c>
      <c r="F6">
        <v>561</v>
      </c>
    </row>
    <row r="7" spans="1:6" x14ac:dyDescent="0.25">
      <c r="A7" s="3" t="s">
        <v>13</v>
      </c>
      <c r="B7">
        <v>522</v>
      </c>
      <c r="C7">
        <v>573</v>
      </c>
      <c r="D7">
        <v>652</v>
      </c>
      <c r="E7">
        <v>694</v>
      </c>
      <c r="F7">
        <v>677</v>
      </c>
    </row>
    <row r="8" spans="1:6" x14ac:dyDescent="0.25">
      <c r="A8" s="3" t="s">
        <v>14</v>
      </c>
      <c r="B8">
        <v>531</v>
      </c>
      <c r="C8">
        <v>651</v>
      </c>
      <c r="D8">
        <v>711</v>
      </c>
      <c r="E8">
        <v>782</v>
      </c>
      <c r="F8">
        <v>773</v>
      </c>
    </row>
    <row r="9" spans="1:6" x14ac:dyDescent="0.25">
      <c r="A9" s="3" t="s">
        <v>15</v>
      </c>
      <c r="B9">
        <v>627</v>
      </c>
      <c r="C9">
        <v>710</v>
      </c>
      <c r="D9">
        <v>748</v>
      </c>
      <c r="E9">
        <v>790</v>
      </c>
      <c r="F9">
        <v>850</v>
      </c>
    </row>
    <row r="10" spans="1:6" x14ac:dyDescent="0.25">
      <c r="A10" s="3" t="s">
        <v>16</v>
      </c>
      <c r="B10">
        <v>661</v>
      </c>
      <c r="C10">
        <v>746</v>
      </c>
      <c r="D10">
        <v>842</v>
      </c>
      <c r="E10">
        <v>903</v>
      </c>
      <c r="F10">
        <v>873</v>
      </c>
    </row>
    <row r="11" spans="1:6" x14ac:dyDescent="0.25">
      <c r="A11" s="3" t="s">
        <v>17</v>
      </c>
      <c r="B11">
        <v>594</v>
      </c>
      <c r="C11">
        <v>671</v>
      </c>
      <c r="D11">
        <v>706</v>
      </c>
      <c r="E11">
        <v>727</v>
      </c>
      <c r="F11">
        <v>794</v>
      </c>
    </row>
    <row r="12" spans="1:6" x14ac:dyDescent="0.25">
      <c r="A12" s="3" t="s">
        <v>18</v>
      </c>
      <c r="B12">
        <v>519</v>
      </c>
      <c r="C12">
        <v>566</v>
      </c>
      <c r="D12">
        <v>678</v>
      </c>
      <c r="E12">
        <v>709</v>
      </c>
      <c r="F12">
        <v>736</v>
      </c>
    </row>
    <row r="13" spans="1:6" x14ac:dyDescent="0.25">
      <c r="A13" s="3" t="s">
        <v>19</v>
      </c>
      <c r="B13">
        <v>484</v>
      </c>
      <c r="C13">
        <v>555</v>
      </c>
      <c r="D13">
        <v>647</v>
      </c>
      <c r="E13">
        <v>699</v>
      </c>
      <c r="F13">
        <v>660</v>
      </c>
    </row>
    <row r="14" spans="1:6" x14ac:dyDescent="0.25">
      <c r="A14" s="3" t="s">
        <v>20</v>
      </c>
      <c r="B14">
        <v>572</v>
      </c>
      <c r="C14">
        <v>619</v>
      </c>
      <c r="D14">
        <v>684</v>
      </c>
      <c r="E14">
        <v>662</v>
      </c>
      <c r="F14">
        <v>668</v>
      </c>
    </row>
    <row r="15" spans="1:6" x14ac:dyDescent="0.25">
      <c r="A15" s="3" t="s">
        <v>21</v>
      </c>
      <c r="B15">
        <v>388</v>
      </c>
      <c r="C15">
        <v>409</v>
      </c>
      <c r="D15">
        <v>460</v>
      </c>
      <c r="E15">
        <v>496</v>
      </c>
      <c r="F15">
        <v>533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57AB-B43D-44C2-AB04-E1E678211BBB}">
  <dimension ref="A1:E64"/>
  <sheetViews>
    <sheetView workbookViewId="0">
      <selection activeCell="F35" sqref="F35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22.42578125" style="5" bestFit="1" customWidth="1"/>
    <col min="4" max="4" width="7.140625" style="6" bestFit="1" customWidth="1"/>
    <col min="5" max="5" width="29.42578125" bestFit="1" customWidth="1"/>
    <col min="6" max="6" width="18.140625" bestFit="1" customWidth="1"/>
  </cols>
  <sheetData>
    <row r="1" spans="1:5" x14ac:dyDescent="0.25">
      <c r="A1" t="s">
        <v>24</v>
      </c>
      <c r="B1" t="s">
        <v>25</v>
      </c>
      <c r="C1" s="5" t="s">
        <v>26</v>
      </c>
      <c r="D1" s="6" t="s">
        <v>27</v>
      </c>
      <c r="E1" t="s">
        <v>28</v>
      </c>
    </row>
    <row r="2" spans="1:5" x14ac:dyDescent="0.25">
      <c r="A2" s="4">
        <v>41275</v>
      </c>
      <c r="B2">
        <v>328</v>
      </c>
      <c r="E2" s="6">
        <f>AVERAGE(D5:D61)</f>
        <v>0.18942400235451998</v>
      </c>
    </row>
    <row r="3" spans="1:5" x14ac:dyDescent="0.25">
      <c r="A3" s="4">
        <v>41306</v>
      </c>
      <c r="B3">
        <v>322</v>
      </c>
    </row>
    <row r="4" spans="1:5" x14ac:dyDescent="0.25">
      <c r="A4" s="4">
        <v>41334</v>
      </c>
      <c r="B4">
        <v>477</v>
      </c>
      <c r="E4" s="8" t="s">
        <v>29</v>
      </c>
    </row>
    <row r="5" spans="1:5" x14ac:dyDescent="0.25">
      <c r="A5" s="4">
        <v>41365</v>
      </c>
      <c r="B5">
        <v>522</v>
      </c>
      <c r="C5" s="5">
        <f>AVERAGE(B2:B4)</f>
        <v>375.66666666666669</v>
      </c>
      <c r="D5" s="6">
        <f>ABS(B5-C5)/B5</f>
        <v>0.2803320561941251</v>
      </c>
      <c r="E5" s="5">
        <f>_xlfn.STDEV.S(B2:B61)</f>
        <v>139.27534002465433</v>
      </c>
    </row>
    <row r="6" spans="1:5" x14ac:dyDescent="0.25">
      <c r="A6" s="4">
        <v>41395</v>
      </c>
      <c r="B6">
        <v>531</v>
      </c>
      <c r="C6" s="5">
        <f>AVERAGE(B3:B5)</f>
        <v>440.33333333333331</v>
      </c>
      <c r="D6" s="6">
        <f t="shared" ref="D6:D61" si="0">ABS(B6-C6)/B6</f>
        <v>0.17074701820464536</v>
      </c>
    </row>
    <row r="7" spans="1:5" x14ac:dyDescent="0.25">
      <c r="A7" s="4">
        <v>41426</v>
      </c>
      <c r="B7">
        <v>627</v>
      </c>
      <c r="C7" s="5">
        <f t="shared" ref="C7:C62" si="1">AVERAGE(B4:B6)</f>
        <v>510</v>
      </c>
      <c r="D7" s="6">
        <f t="shared" si="0"/>
        <v>0.18660287081339713</v>
      </c>
      <c r="E7" s="8" t="s">
        <v>32</v>
      </c>
    </row>
    <row r="8" spans="1:5" x14ac:dyDescent="0.25">
      <c r="A8" s="4">
        <v>41456</v>
      </c>
      <c r="B8">
        <v>661</v>
      </c>
      <c r="C8" s="5">
        <f t="shared" si="1"/>
        <v>560</v>
      </c>
      <c r="D8" s="6">
        <f t="shared" si="0"/>
        <v>0.15279878971255673</v>
      </c>
      <c r="E8" s="6">
        <f>E5/AVERAGE(B2:B61)</f>
        <v>0.2291466601261177</v>
      </c>
    </row>
    <row r="9" spans="1:5" x14ac:dyDescent="0.25">
      <c r="A9" s="4">
        <v>41487</v>
      </c>
      <c r="B9">
        <v>594</v>
      </c>
      <c r="C9" s="5">
        <f t="shared" si="1"/>
        <v>606.33333333333337</v>
      </c>
      <c r="D9" s="6">
        <f t="shared" si="0"/>
        <v>2.0763187429854162E-2</v>
      </c>
    </row>
    <row r="10" spans="1:5" x14ac:dyDescent="0.25">
      <c r="A10" s="4">
        <v>41518</v>
      </c>
      <c r="B10">
        <v>519</v>
      </c>
      <c r="C10" s="5">
        <f t="shared" si="1"/>
        <v>627.33333333333337</v>
      </c>
      <c r="D10" s="6">
        <f t="shared" si="0"/>
        <v>0.2087347463070007</v>
      </c>
      <c r="E10" s="8" t="s">
        <v>30</v>
      </c>
    </row>
    <row r="11" spans="1:5" x14ac:dyDescent="0.25">
      <c r="A11" s="4">
        <v>41548</v>
      </c>
      <c r="B11">
        <v>484</v>
      </c>
      <c r="C11" s="5">
        <f t="shared" si="1"/>
        <v>591.33333333333337</v>
      </c>
      <c r="D11" s="6">
        <f t="shared" si="0"/>
        <v>0.22176308539944911</v>
      </c>
      <c r="E11" s="5">
        <f>ROUNDUP(1.65*E5*SQRT(0.5),0)</f>
        <v>163</v>
      </c>
    </row>
    <row r="12" spans="1:5" x14ac:dyDescent="0.25">
      <c r="A12" s="4">
        <v>41579</v>
      </c>
      <c r="B12">
        <v>572</v>
      </c>
      <c r="C12" s="5">
        <f t="shared" si="1"/>
        <v>532.33333333333337</v>
      </c>
      <c r="D12" s="6">
        <f t="shared" si="0"/>
        <v>6.9347319347319275E-2</v>
      </c>
    </row>
    <row r="13" spans="1:5" x14ac:dyDescent="0.25">
      <c r="A13" s="4">
        <v>41609</v>
      </c>
      <c r="B13">
        <v>388</v>
      </c>
      <c r="C13" s="5">
        <f t="shared" si="1"/>
        <v>525</v>
      </c>
      <c r="D13" s="6">
        <f t="shared" si="0"/>
        <v>0.35309278350515466</v>
      </c>
      <c r="E13" s="8" t="s">
        <v>31</v>
      </c>
    </row>
    <row r="14" spans="1:5" x14ac:dyDescent="0.25">
      <c r="A14" s="4">
        <v>41640</v>
      </c>
      <c r="B14">
        <v>435</v>
      </c>
      <c r="C14" s="5">
        <f t="shared" si="1"/>
        <v>481.33333333333331</v>
      </c>
      <c r="D14" s="6">
        <f t="shared" si="0"/>
        <v>0.10651340996168578</v>
      </c>
      <c r="E14" s="5">
        <f>ROUNDUP((AVERAGE(B2:B61)*0.5)+E11,0)</f>
        <v>467</v>
      </c>
    </row>
    <row r="15" spans="1:5" x14ac:dyDescent="0.25">
      <c r="A15" s="4">
        <v>41671</v>
      </c>
      <c r="B15">
        <v>405</v>
      </c>
      <c r="C15" s="5">
        <f t="shared" si="1"/>
        <v>465</v>
      </c>
      <c r="D15" s="6">
        <f t="shared" si="0"/>
        <v>0.14814814814814814</v>
      </c>
    </row>
    <row r="16" spans="1:5" x14ac:dyDescent="0.25">
      <c r="A16" s="4">
        <v>41699</v>
      </c>
      <c r="B16">
        <v>549</v>
      </c>
      <c r="C16" s="5">
        <f t="shared" si="1"/>
        <v>409.33333333333331</v>
      </c>
      <c r="D16" s="6">
        <f t="shared" si="0"/>
        <v>0.25440194292653312</v>
      </c>
    </row>
    <row r="17" spans="1:4" x14ac:dyDescent="0.25">
      <c r="A17" s="4">
        <v>41730</v>
      </c>
      <c r="B17">
        <v>573</v>
      </c>
      <c r="C17" s="5">
        <f t="shared" si="1"/>
        <v>463</v>
      </c>
      <c r="D17" s="6">
        <f t="shared" si="0"/>
        <v>0.19197207678883071</v>
      </c>
    </row>
    <row r="18" spans="1:4" x14ac:dyDescent="0.25">
      <c r="A18" s="4">
        <v>41760</v>
      </c>
      <c r="B18">
        <v>651</v>
      </c>
      <c r="C18" s="5">
        <f t="shared" si="1"/>
        <v>509</v>
      </c>
      <c r="D18" s="6">
        <f t="shared" si="0"/>
        <v>0.21812596006144394</v>
      </c>
    </row>
    <row r="19" spans="1:4" x14ac:dyDescent="0.25">
      <c r="A19" s="4">
        <v>41791</v>
      </c>
      <c r="B19">
        <v>710</v>
      </c>
      <c r="C19" s="5">
        <f t="shared" si="1"/>
        <v>591</v>
      </c>
      <c r="D19" s="6">
        <f t="shared" si="0"/>
        <v>0.1676056338028169</v>
      </c>
    </row>
    <row r="20" spans="1:4" x14ac:dyDescent="0.25">
      <c r="A20" s="4">
        <v>41821</v>
      </c>
      <c r="B20">
        <v>746</v>
      </c>
      <c r="C20" s="5">
        <f t="shared" si="1"/>
        <v>644.66666666666663</v>
      </c>
      <c r="D20" s="6">
        <f t="shared" si="0"/>
        <v>0.13583556747095626</v>
      </c>
    </row>
    <row r="21" spans="1:4" x14ac:dyDescent="0.25">
      <c r="A21" s="4">
        <v>41852</v>
      </c>
      <c r="B21">
        <v>671</v>
      </c>
      <c r="C21" s="5">
        <f t="shared" si="1"/>
        <v>702.33333333333337</v>
      </c>
      <c r="D21" s="6">
        <f t="shared" si="0"/>
        <v>4.6696472925981176E-2</v>
      </c>
    </row>
    <row r="22" spans="1:4" x14ac:dyDescent="0.25">
      <c r="A22" s="4">
        <v>41883</v>
      </c>
      <c r="B22">
        <v>566</v>
      </c>
      <c r="C22" s="5">
        <f t="shared" si="1"/>
        <v>709</v>
      </c>
      <c r="D22" s="6">
        <f t="shared" si="0"/>
        <v>0.25265017667844525</v>
      </c>
    </row>
    <row r="23" spans="1:4" x14ac:dyDescent="0.25">
      <c r="A23" s="4">
        <v>41913</v>
      </c>
      <c r="B23">
        <v>555</v>
      </c>
      <c r="C23" s="5">
        <f t="shared" si="1"/>
        <v>661</v>
      </c>
      <c r="D23" s="6">
        <f t="shared" si="0"/>
        <v>0.19099099099099098</v>
      </c>
    </row>
    <row r="24" spans="1:4" x14ac:dyDescent="0.25">
      <c r="A24" s="4">
        <v>41944</v>
      </c>
      <c r="B24">
        <v>619</v>
      </c>
      <c r="C24" s="5">
        <f t="shared" si="1"/>
        <v>597.33333333333337</v>
      </c>
      <c r="D24" s="6">
        <f t="shared" si="0"/>
        <v>3.5002692514808767E-2</v>
      </c>
    </row>
    <row r="25" spans="1:4" x14ac:dyDescent="0.25">
      <c r="A25" s="4">
        <v>41974</v>
      </c>
      <c r="B25">
        <v>409</v>
      </c>
      <c r="C25" s="5">
        <f t="shared" si="1"/>
        <v>580</v>
      </c>
      <c r="D25" s="6">
        <f t="shared" si="0"/>
        <v>0.41809290953545231</v>
      </c>
    </row>
    <row r="26" spans="1:4" x14ac:dyDescent="0.25">
      <c r="A26" s="4">
        <v>42005</v>
      </c>
      <c r="B26">
        <v>428</v>
      </c>
      <c r="C26" s="5">
        <f t="shared" si="1"/>
        <v>527.66666666666663</v>
      </c>
      <c r="D26" s="6">
        <f t="shared" si="0"/>
        <v>0.23286604361370708</v>
      </c>
    </row>
    <row r="27" spans="1:4" x14ac:dyDescent="0.25">
      <c r="A27" s="4">
        <v>42036</v>
      </c>
      <c r="B27">
        <v>399</v>
      </c>
      <c r="C27" s="5">
        <f t="shared" si="1"/>
        <v>485.33333333333331</v>
      </c>
      <c r="D27" s="6">
        <f t="shared" si="0"/>
        <v>0.21637426900584791</v>
      </c>
    </row>
    <row r="28" spans="1:4" x14ac:dyDescent="0.25">
      <c r="A28" s="4">
        <v>42064</v>
      </c>
      <c r="B28">
        <v>552</v>
      </c>
      <c r="C28" s="5">
        <f t="shared" si="1"/>
        <v>412</v>
      </c>
      <c r="D28" s="6">
        <f t="shared" si="0"/>
        <v>0.25362318840579712</v>
      </c>
    </row>
    <row r="29" spans="1:4" x14ac:dyDescent="0.25">
      <c r="A29" s="4">
        <v>42095</v>
      </c>
      <c r="B29">
        <v>652</v>
      </c>
      <c r="C29" s="5">
        <f t="shared" si="1"/>
        <v>459.66666666666669</v>
      </c>
      <c r="D29" s="6">
        <f t="shared" si="0"/>
        <v>0.29498977505112473</v>
      </c>
    </row>
    <row r="30" spans="1:4" x14ac:dyDescent="0.25">
      <c r="A30" s="4">
        <v>42125</v>
      </c>
      <c r="B30">
        <v>711</v>
      </c>
      <c r="C30" s="5">
        <f t="shared" si="1"/>
        <v>534.33333333333337</v>
      </c>
      <c r="D30" s="6">
        <f t="shared" si="0"/>
        <v>0.24847632442569145</v>
      </c>
    </row>
    <row r="31" spans="1:4" x14ac:dyDescent="0.25">
      <c r="A31" s="4">
        <v>42156</v>
      </c>
      <c r="B31">
        <v>748</v>
      </c>
      <c r="C31" s="5">
        <f t="shared" si="1"/>
        <v>638.33333333333337</v>
      </c>
      <c r="D31" s="6">
        <f t="shared" si="0"/>
        <v>0.14661319073083773</v>
      </c>
    </row>
    <row r="32" spans="1:4" x14ac:dyDescent="0.25">
      <c r="A32" s="4">
        <v>42186</v>
      </c>
      <c r="B32">
        <v>842</v>
      </c>
      <c r="C32" s="5">
        <f t="shared" si="1"/>
        <v>703.66666666666663</v>
      </c>
      <c r="D32" s="6">
        <f t="shared" si="0"/>
        <v>0.16429136975455269</v>
      </c>
    </row>
    <row r="33" spans="1:4" x14ac:dyDescent="0.25">
      <c r="A33" s="4">
        <v>42217</v>
      </c>
      <c r="B33">
        <v>706</v>
      </c>
      <c r="C33" s="5">
        <f t="shared" si="1"/>
        <v>767</v>
      </c>
      <c r="D33" s="6">
        <f t="shared" si="0"/>
        <v>8.640226628895184E-2</v>
      </c>
    </row>
    <row r="34" spans="1:4" x14ac:dyDescent="0.25">
      <c r="A34" s="4">
        <v>42248</v>
      </c>
      <c r="B34">
        <v>678</v>
      </c>
      <c r="C34" s="5">
        <f t="shared" si="1"/>
        <v>765.33333333333337</v>
      </c>
      <c r="D34" s="6">
        <f t="shared" si="0"/>
        <v>0.12881022615535895</v>
      </c>
    </row>
    <row r="35" spans="1:4" x14ac:dyDescent="0.25">
      <c r="A35" s="4">
        <v>42278</v>
      </c>
      <c r="B35">
        <v>647</v>
      </c>
      <c r="C35" s="5">
        <f t="shared" si="1"/>
        <v>742</v>
      </c>
      <c r="D35" s="6">
        <f t="shared" si="0"/>
        <v>0.14683153013910355</v>
      </c>
    </row>
    <row r="36" spans="1:4" x14ac:dyDescent="0.25">
      <c r="A36" s="4">
        <v>42309</v>
      </c>
      <c r="B36">
        <v>684</v>
      </c>
      <c r="C36" s="5">
        <f t="shared" si="1"/>
        <v>677</v>
      </c>
      <c r="D36" s="6">
        <f t="shared" si="0"/>
        <v>1.023391812865497E-2</v>
      </c>
    </row>
    <row r="37" spans="1:4" x14ac:dyDescent="0.25">
      <c r="A37" s="4">
        <v>42339</v>
      </c>
      <c r="B37">
        <v>460</v>
      </c>
      <c r="C37" s="5">
        <f t="shared" si="1"/>
        <v>669.66666666666663</v>
      </c>
      <c r="D37" s="6">
        <f t="shared" si="0"/>
        <v>0.45579710144927527</v>
      </c>
    </row>
    <row r="38" spans="1:4" x14ac:dyDescent="0.25">
      <c r="A38" s="4">
        <v>42370</v>
      </c>
      <c r="B38">
        <v>449</v>
      </c>
      <c r="C38" s="5">
        <f t="shared" si="1"/>
        <v>597</v>
      </c>
      <c r="D38" s="6">
        <f t="shared" si="0"/>
        <v>0.32962138084632514</v>
      </c>
    </row>
    <row r="39" spans="1:4" x14ac:dyDescent="0.25">
      <c r="A39" s="4">
        <v>42401</v>
      </c>
      <c r="B39">
        <v>450</v>
      </c>
      <c r="C39" s="5">
        <f t="shared" si="1"/>
        <v>531</v>
      </c>
      <c r="D39" s="6">
        <f t="shared" si="0"/>
        <v>0.18</v>
      </c>
    </row>
    <row r="40" spans="1:4" x14ac:dyDescent="0.25">
      <c r="A40" s="4">
        <v>42430</v>
      </c>
      <c r="B40">
        <v>589</v>
      </c>
      <c r="C40" s="5">
        <f t="shared" si="1"/>
        <v>453</v>
      </c>
      <c r="D40" s="6">
        <f t="shared" si="0"/>
        <v>0.23089983022071306</v>
      </c>
    </row>
    <row r="41" spans="1:4" x14ac:dyDescent="0.25">
      <c r="A41" s="4">
        <v>42461</v>
      </c>
      <c r="B41">
        <v>694</v>
      </c>
      <c r="C41" s="5">
        <f t="shared" si="1"/>
        <v>496</v>
      </c>
      <c r="D41" s="6">
        <f t="shared" si="0"/>
        <v>0.28530259365994237</v>
      </c>
    </row>
    <row r="42" spans="1:4" x14ac:dyDescent="0.25">
      <c r="A42" s="4">
        <v>42491</v>
      </c>
      <c r="B42">
        <v>782</v>
      </c>
      <c r="C42" s="5">
        <f t="shared" si="1"/>
        <v>577.66666666666663</v>
      </c>
      <c r="D42" s="6">
        <f t="shared" si="0"/>
        <v>0.26129582267689688</v>
      </c>
    </row>
    <row r="43" spans="1:4" x14ac:dyDescent="0.25">
      <c r="A43" s="4">
        <v>42522</v>
      </c>
      <c r="B43">
        <v>790</v>
      </c>
      <c r="C43" s="5">
        <f t="shared" si="1"/>
        <v>688.33333333333337</v>
      </c>
      <c r="D43" s="6">
        <f t="shared" si="0"/>
        <v>0.12869198312236282</v>
      </c>
    </row>
    <row r="44" spans="1:4" x14ac:dyDescent="0.25">
      <c r="A44" s="4">
        <v>42552</v>
      </c>
      <c r="B44">
        <v>903</v>
      </c>
      <c r="C44" s="5">
        <f t="shared" si="1"/>
        <v>755.33333333333337</v>
      </c>
      <c r="D44" s="6">
        <f t="shared" si="0"/>
        <v>0.16352897748246581</v>
      </c>
    </row>
    <row r="45" spans="1:4" x14ac:dyDescent="0.25">
      <c r="A45" s="4">
        <v>42583</v>
      </c>
      <c r="B45">
        <v>727</v>
      </c>
      <c r="C45" s="5">
        <f t="shared" si="1"/>
        <v>825</v>
      </c>
      <c r="D45" s="6">
        <f t="shared" si="0"/>
        <v>0.13480055020632736</v>
      </c>
    </row>
    <row r="46" spans="1:4" x14ac:dyDescent="0.25">
      <c r="A46" s="4">
        <v>42614</v>
      </c>
      <c r="B46">
        <v>709</v>
      </c>
      <c r="C46" s="5">
        <f t="shared" si="1"/>
        <v>806.66666666666663</v>
      </c>
      <c r="D46" s="6">
        <f t="shared" si="0"/>
        <v>0.13775270333803474</v>
      </c>
    </row>
    <row r="47" spans="1:4" x14ac:dyDescent="0.25">
      <c r="A47" s="4">
        <v>42644</v>
      </c>
      <c r="B47">
        <v>699</v>
      </c>
      <c r="C47" s="5">
        <f t="shared" si="1"/>
        <v>779.66666666666663</v>
      </c>
      <c r="D47" s="6">
        <f t="shared" si="0"/>
        <v>0.11540295660467328</v>
      </c>
    </row>
    <row r="48" spans="1:4" x14ac:dyDescent="0.25">
      <c r="A48" s="4">
        <v>42675</v>
      </c>
      <c r="B48">
        <v>662</v>
      </c>
      <c r="C48" s="5">
        <f t="shared" si="1"/>
        <v>711.66666666666663</v>
      </c>
      <c r="D48" s="6">
        <f t="shared" si="0"/>
        <v>7.5025176233635388E-2</v>
      </c>
    </row>
    <row r="49" spans="1:4" x14ac:dyDescent="0.25">
      <c r="A49" s="4">
        <v>42705</v>
      </c>
      <c r="B49">
        <v>496</v>
      </c>
      <c r="C49" s="5">
        <f t="shared" si="1"/>
        <v>690</v>
      </c>
      <c r="D49" s="6">
        <f t="shared" si="0"/>
        <v>0.3911290322580645</v>
      </c>
    </row>
    <row r="50" spans="1:4" x14ac:dyDescent="0.25">
      <c r="A50" s="4">
        <v>42736</v>
      </c>
      <c r="B50">
        <v>485</v>
      </c>
      <c r="C50" s="5">
        <f t="shared" si="1"/>
        <v>619</v>
      </c>
      <c r="D50" s="6">
        <f t="shared" si="0"/>
        <v>0.27628865979381445</v>
      </c>
    </row>
    <row r="51" spans="1:4" x14ac:dyDescent="0.25">
      <c r="A51" s="4">
        <v>42767</v>
      </c>
      <c r="B51">
        <v>487</v>
      </c>
      <c r="C51" s="5">
        <f t="shared" si="1"/>
        <v>547.66666666666663</v>
      </c>
      <c r="D51" s="6">
        <f t="shared" si="0"/>
        <v>0.12457221081451053</v>
      </c>
    </row>
    <row r="52" spans="1:4" x14ac:dyDescent="0.25">
      <c r="A52" s="4">
        <v>42795</v>
      </c>
      <c r="B52">
        <v>561</v>
      </c>
      <c r="C52" s="5">
        <f t="shared" si="1"/>
        <v>489.33333333333331</v>
      </c>
      <c r="D52" s="6">
        <f t="shared" si="0"/>
        <v>0.12774806892453955</v>
      </c>
    </row>
    <row r="53" spans="1:4" x14ac:dyDescent="0.25">
      <c r="A53" s="4">
        <v>42826</v>
      </c>
      <c r="B53">
        <v>677</v>
      </c>
      <c r="C53" s="5">
        <f t="shared" si="1"/>
        <v>511</v>
      </c>
      <c r="D53" s="6">
        <f t="shared" si="0"/>
        <v>0.24519940915805022</v>
      </c>
    </row>
    <row r="54" spans="1:4" x14ac:dyDescent="0.25">
      <c r="A54" s="4">
        <v>42856</v>
      </c>
      <c r="B54">
        <v>773</v>
      </c>
      <c r="C54" s="5">
        <f t="shared" si="1"/>
        <v>575</v>
      </c>
      <c r="D54" s="6">
        <f t="shared" si="0"/>
        <v>0.25614489003880986</v>
      </c>
    </row>
    <row r="55" spans="1:4" x14ac:dyDescent="0.25">
      <c r="A55" s="4">
        <v>42887</v>
      </c>
      <c r="B55">
        <v>850</v>
      </c>
      <c r="C55" s="5">
        <f t="shared" si="1"/>
        <v>670.33333333333337</v>
      </c>
      <c r="D55" s="6">
        <f t="shared" si="0"/>
        <v>0.21137254901960781</v>
      </c>
    </row>
    <row r="56" spans="1:4" x14ac:dyDescent="0.25">
      <c r="A56" s="4">
        <v>42917</v>
      </c>
      <c r="B56">
        <v>873</v>
      </c>
      <c r="C56" s="5">
        <f t="shared" si="1"/>
        <v>766.66666666666663</v>
      </c>
      <c r="D56" s="6">
        <f t="shared" si="0"/>
        <v>0.12180221458571978</v>
      </c>
    </row>
    <row r="57" spans="1:4" x14ac:dyDescent="0.25">
      <c r="A57" s="4">
        <v>42948</v>
      </c>
      <c r="B57">
        <v>794</v>
      </c>
      <c r="C57" s="5">
        <f t="shared" si="1"/>
        <v>832</v>
      </c>
      <c r="D57" s="6">
        <f t="shared" si="0"/>
        <v>4.7858942065491183E-2</v>
      </c>
    </row>
    <row r="58" spans="1:4" x14ac:dyDescent="0.25">
      <c r="A58" s="4">
        <v>42979</v>
      </c>
      <c r="B58">
        <v>736</v>
      </c>
      <c r="C58" s="5">
        <f t="shared" si="1"/>
        <v>839</v>
      </c>
      <c r="D58" s="6">
        <f t="shared" si="0"/>
        <v>0.13994565217391305</v>
      </c>
    </row>
    <row r="59" spans="1:4" x14ac:dyDescent="0.25">
      <c r="A59" s="4">
        <v>43009</v>
      </c>
      <c r="B59">
        <v>660</v>
      </c>
      <c r="C59" s="5">
        <f t="shared" si="1"/>
        <v>801</v>
      </c>
      <c r="D59" s="6">
        <f t="shared" si="0"/>
        <v>0.21363636363636362</v>
      </c>
    </row>
    <row r="60" spans="1:4" x14ac:dyDescent="0.25">
      <c r="A60" s="4">
        <v>43040</v>
      </c>
      <c r="B60">
        <v>668</v>
      </c>
      <c r="C60" s="5">
        <f t="shared" si="1"/>
        <v>730</v>
      </c>
      <c r="D60" s="6">
        <f t="shared" si="0"/>
        <v>9.2814371257485026E-2</v>
      </c>
    </row>
    <row r="61" spans="1:4" x14ac:dyDescent="0.25">
      <c r="A61" s="4">
        <v>43070</v>
      </c>
      <c r="B61">
        <v>533</v>
      </c>
      <c r="C61" s="5">
        <f t="shared" si="1"/>
        <v>688</v>
      </c>
      <c r="D61" s="6">
        <f t="shared" si="0"/>
        <v>0.29080675422138835</v>
      </c>
    </row>
    <row r="62" spans="1:4" x14ac:dyDescent="0.25">
      <c r="A62" s="4">
        <v>43101</v>
      </c>
      <c r="C62" s="5">
        <f t="shared" si="1"/>
        <v>620.33333333333337</v>
      </c>
    </row>
    <row r="63" spans="1:4" x14ac:dyDescent="0.25">
      <c r="A63" s="4"/>
    </row>
    <row r="64" spans="1:4" x14ac:dyDescent="0.25">
      <c r="A64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0964C-6354-45EF-B8A0-48577B7122C1}">
  <dimension ref="A1:K64"/>
  <sheetViews>
    <sheetView workbookViewId="0">
      <selection activeCell="K3" sqref="K3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22.42578125" style="5" bestFit="1" customWidth="1"/>
    <col min="4" max="4" width="7.140625" style="6" bestFit="1" customWidth="1"/>
    <col min="5" max="5" width="29.42578125" bestFit="1" customWidth="1"/>
    <col min="6" max="6" width="30.140625" bestFit="1" customWidth="1"/>
    <col min="7" max="7" width="21.140625" bestFit="1" customWidth="1"/>
    <col min="8" max="8" width="8.5703125" style="5" bestFit="1" customWidth="1"/>
    <col min="9" max="9" width="16.7109375" style="6" bestFit="1" customWidth="1"/>
    <col min="10" max="10" width="16.7109375" bestFit="1" customWidth="1"/>
    <col min="11" max="11" width="30.42578125" bestFit="1" customWidth="1"/>
  </cols>
  <sheetData>
    <row r="1" spans="1:11" x14ac:dyDescent="0.25">
      <c r="A1" t="s">
        <v>24</v>
      </c>
      <c r="B1" t="s">
        <v>25</v>
      </c>
      <c r="C1" s="5" t="s">
        <v>26</v>
      </c>
      <c r="D1" s="6" t="s">
        <v>27</v>
      </c>
      <c r="E1" t="s">
        <v>28</v>
      </c>
      <c r="F1" t="s">
        <v>37</v>
      </c>
      <c r="G1" t="s">
        <v>48</v>
      </c>
      <c r="H1" s="5" t="s">
        <v>49</v>
      </c>
      <c r="I1" s="6" t="s">
        <v>41</v>
      </c>
      <c r="J1" s="6" t="s">
        <v>42</v>
      </c>
      <c r="K1" t="s">
        <v>43</v>
      </c>
    </row>
    <row r="2" spans="1:11" x14ac:dyDescent="0.25">
      <c r="A2" s="4">
        <v>41275</v>
      </c>
      <c r="B2">
        <v>328</v>
      </c>
      <c r="E2" s="6">
        <f>AVERAGE(D5:D61)</f>
        <v>0.18942400235451998</v>
      </c>
      <c r="F2" s="1">
        <f>DATE(2013,1,1)</f>
        <v>41275</v>
      </c>
      <c r="G2" t="s">
        <v>38</v>
      </c>
      <c r="H2" s="5">
        <f>_xlfn.FORECAST.ETS(F59, $B$2:$B$58, $F$2:$F$58, 12)</f>
        <v>710.39179675952369</v>
      </c>
      <c r="I2" s="6">
        <f>ABS(B59-H2)/B59</f>
        <v>7.6351207211399527E-2</v>
      </c>
      <c r="J2" s="6">
        <f>AVERAGE(I2:I4)</f>
        <v>9.7805311951371043E-2</v>
      </c>
      <c r="K2" s="6">
        <f>AVERAGE(D59:D61)</f>
        <v>0.19908582970507901</v>
      </c>
    </row>
    <row r="3" spans="1:11" x14ac:dyDescent="0.25">
      <c r="A3" s="4">
        <v>41306</v>
      </c>
      <c r="B3">
        <v>322</v>
      </c>
      <c r="F3" s="1">
        <v>41306</v>
      </c>
      <c r="G3" t="s">
        <v>39</v>
      </c>
      <c r="H3" s="5">
        <f>_xlfn.FORECAST.ETS(F60, $B$2:$B$58, $F$2:$F$58, 12)</f>
        <v>771.97144850268501</v>
      </c>
      <c r="I3" s="6">
        <f>ABS(B60-H3)/B60</f>
        <v>0.15564588099204343</v>
      </c>
    </row>
    <row r="4" spans="1:11" x14ac:dyDescent="0.25">
      <c r="A4" s="4">
        <v>41334</v>
      </c>
      <c r="B4">
        <v>477</v>
      </c>
      <c r="E4" s="8" t="s">
        <v>29</v>
      </c>
      <c r="F4" s="1">
        <v>41334</v>
      </c>
      <c r="G4" t="s">
        <v>40</v>
      </c>
      <c r="H4" s="5">
        <f>_xlfn.FORECAST.ETS(F61, $B$2:$B$58, $F$2:$F$58, 12)</f>
        <v>565.73624579780721</v>
      </c>
      <c r="I4" s="6">
        <f>ABS(B61-H4)/B61</f>
        <v>6.1418847650670197E-2</v>
      </c>
    </row>
    <row r="5" spans="1:11" x14ac:dyDescent="0.25">
      <c r="A5" s="4">
        <v>41365</v>
      </c>
      <c r="B5">
        <v>522</v>
      </c>
      <c r="C5" s="5">
        <f>AVERAGE(B2:B4)</f>
        <v>375.66666666666669</v>
      </c>
      <c r="D5" s="6">
        <f>ABS(B5-C5)/B5</f>
        <v>0.2803320561941251</v>
      </c>
      <c r="E5" s="5">
        <f>_xlfn.STDEV.S(B2:B61)</f>
        <v>139.27534002465433</v>
      </c>
      <c r="F5" s="1">
        <v>41365</v>
      </c>
    </row>
    <row r="6" spans="1:11" x14ac:dyDescent="0.25">
      <c r="A6" s="4">
        <v>41395</v>
      </c>
      <c r="B6">
        <v>531</v>
      </c>
      <c r="C6" s="5">
        <f>AVERAGE(B3:B5)</f>
        <v>440.33333333333331</v>
      </c>
      <c r="D6" s="6">
        <f t="shared" ref="D6:D61" si="0">ABS(B6-C6)/B6</f>
        <v>0.17074701820464536</v>
      </c>
      <c r="F6" s="1">
        <v>41395</v>
      </c>
      <c r="J6" s="6"/>
    </row>
    <row r="7" spans="1:11" x14ac:dyDescent="0.25">
      <c r="A7" s="4">
        <v>41426</v>
      </c>
      <c r="B7">
        <v>627</v>
      </c>
      <c r="C7" s="5">
        <f t="shared" ref="C7:C62" si="1">AVERAGE(B4:B6)</f>
        <v>510</v>
      </c>
      <c r="D7" s="6">
        <f t="shared" si="0"/>
        <v>0.18660287081339713</v>
      </c>
      <c r="E7" s="8" t="s">
        <v>32</v>
      </c>
      <c r="F7" s="1">
        <v>41426</v>
      </c>
    </row>
    <row r="8" spans="1:11" x14ac:dyDescent="0.25">
      <c r="A8" s="4">
        <v>41456</v>
      </c>
      <c r="B8">
        <v>661</v>
      </c>
      <c r="C8" s="5">
        <f t="shared" si="1"/>
        <v>560</v>
      </c>
      <c r="D8" s="6">
        <f t="shared" si="0"/>
        <v>0.15279878971255673</v>
      </c>
      <c r="E8" s="6">
        <f>E5/AVERAGE(B2:B61)</f>
        <v>0.2291466601261177</v>
      </c>
      <c r="F8" s="1">
        <v>41456</v>
      </c>
    </row>
    <row r="9" spans="1:11" x14ac:dyDescent="0.25">
      <c r="A9" s="4">
        <v>41487</v>
      </c>
      <c r="B9">
        <v>594</v>
      </c>
      <c r="C9" s="5">
        <f t="shared" si="1"/>
        <v>606.33333333333337</v>
      </c>
      <c r="D9" s="6">
        <f t="shared" si="0"/>
        <v>2.0763187429854162E-2</v>
      </c>
      <c r="F9" s="1">
        <v>41487</v>
      </c>
    </row>
    <row r="10" spans="1:11" x14ac:dyDescent="0.25">
      <c r="A10" s="4">
        <v>41518</v>
      </c>
      <c r="B10">
        <v>519</v>
      </c>
      <c r="C10" s="5">
        <f t="shared" si="1"/>
        <v>627.33333333333337</v>
      </c>
      <c r="D10" s="6">
        <f t="shared" si="0"/>
        <v>0.2087347463070007</v>
      </c>
      <c r="E10" s="8" t="s">
        <v>30</v>
      </c>
      <c r="F10" s="1">
        <v>41518</v>
      </c>
    </row>
    <row r="11" spans="1:11" x14ac:dyDescent="0.25">
      <c r="A11" s="4">
        <v>41548</v>
      </c>
      <c r="B11">
        <v>484</v>
      </c>
      <c r="C11" s="5">
        <f t="shared" si="1"/>
        <v>591.33333333333337</v>
      </c>
      <c r="D11" s="6">
        <f t="shared" si="0"/>
        <v>0.22176308539944911</v>
      </c>
      <c r="E11" s="5">
        <f>ROUNDUP(1.65*E5*SQRT(0.5),0)</f>
        <v>163</v>
      </c>
      <c r="F11" s="1">
        <v>41548</v>
      </c>
    </row>
    <row r="12" spans="1:11" x14ac:dyDescent="0.25">
      <c r="A12" s="4">
        <v>41579</v>
      </c>
      <c r="B12">
        <v>572</v>
      </c>
      <c r="C12" s="5">
        <f t="shared" si="1"/>
        <v>532.33333333333337</v>
      </c>
      <c r="D12" s="6">
        <f t="shared" si="0"/>
        <v>6.9347319347319275E-2</v>
      </c>
      <c r="F12" s="1">
        <v>41579</v>
      </c>
    </row>
    <row r="13" spans="1:11" x14ac:dyDescent="0.25">
      <c r="A13" s="4">
        <v>41609</v>
      </c>
      <c r="B13">
        <v>388</v>
      </c>
      <c r="C13" s="5">
        <f t="shared" si="1"/>
        <v>525</v>
      </c>
      <c r="D13" s="6">
        <f t="shared" si="0"/>
        <v>0.35309278350515466</v>
      </c>
      <c r="E13" s="8" t="s">
        <v>31</v>
      </c>
      <c r="F13" s="1">
        <v>41609</v>
      </c>
    </row>
    <row r="14" spans="1:11" x14ac:dyDescent="0.25">
      <c r="A14" s="4">
        <v>41640</v>
      </c>
      <c r="B14">
        <v>435</v>
      </c>
      <c r="C14" s="5">
        <f t="shared" si="1"/>
        <v>481.33333333333331</v>
      </c>
      <c r="D14" s="6">
        <f t="shared" si="0"/>
        <v>0.10651340996168578</v>
      </c>
      <c r="E14" s="5">
        <f>ROUNDUP((AVERAGE(B2:B61)*0.5)+E11,0)</f>
        <v>467</v>
      </c>
      <c r="F14" s="1">
        <v>41640</v>
      </c>
    </row>
    <row r="15" spans="1:11" x14ac:dyDescent="0.25">
      <c r="A15" s="4">
        <v>41671</v>
      </c>
      <c r="B15">
        <v>405</v>
      </c>
      <c r="C15" s="5">
        <f t="shared" si="1"/>
        <v>465</v>
      </c>
      <c r="D15" s="6">
        <f t="shared" si="0"/>
        <v>0.14814814814814814</v>
      </c>
      <c r="F15" s="1">
        <v>41671</v>
      </c>
    </row>
    <row r="16" spans="1:11" x14ac:dyDescent="0.25">
      <c r="A16" s="4">
        <v>41699</v>
      </c>
      <c r="B16">
        <v>549</v>
      </c>
      <c r="C16" s="5">
        <f t="shared" si="1"/>
        <v>409.33333333333331</v>
      </c>
      <c r="D16" s="6">
        <f t="shared" si="0"/>
        <v>0.25440194292653312</v>
      </c>
      <c r="F16" s="1">
        <v>41699</v>
      </c>
    </row>
    <row r="17" spans="1:6" x14ac:dyDescent="0.25">
      <c r="A17" s="4">
        <v>41730</v>
      </c>
      <c r="B17">
        <v>573</v>
      </c>
      <c r="C17" s="5">
        <f t="shared" si="1"/>
        <v>463</v>
      </c>
      <c r="D17" s="6">
        <f t="shared" si="0"/>
        <v>0.19197207678883071</v>
      </c>
      <c r="F17" s="1">
        <v>41730</v>
      </c>
    </row>
    <row r="18" spans="1:6" x14ac:dyDescent="0.25">
      <c r="A18" s="4">
        <v>41760</v>
      </c>
      <c r="B18">
        <v>651</v>
      </c>
      <c r="C18" s="5">
        <f t="shared" si="1"/>
        <v>509</v>
      </c>
      <c r="D18" s="6">
        <f t="shared" si="0"/>
        <v>0.21812596006144394</v>
      </c>
      <c r="F18" s="1">
        <v>41760</v>
      </c>
    </row>
    <row r="19" spans="1:6" x14ac:dyDescent="0.25">
      <c r="A19" s="4">
        <v>41791</v>
      </c>
      <c r="B19">
        <v>710</v>
      </c>
      <c r="C19" s="5">
        <f t="shared" si="1"/>
        <v>591</v>
      </c>
      <c r="D19" s="6">
        <f t="shared" si="0"/>
        <v>0.1676056338028169</v>
      </c>
      <c r="F19" s="1">
        <v>41791</v>
      </c>
    </row>
    <row r="20" spans="1:6" x14ac:dyDescent="0.25">
      <c r="A20" s="4">
        <v>41821</v>
      </c>
      <c r="B20">
        <v>746</v>
      </c>
      <c r="C20" s="5">
        <f t="shared" si="1"/>
        <v>644.66666666666663</v>
      </c>
      <c r="D20" s="6">
        <f t="shared" si="0"/>
        <v>0.13583556747095626</v>
      </c>
      <c r="F20" s="1">
        <v>41821</v>
      </c>
    </row>
    <row r="21" spans="1:6" x14ac:dyDescent="0.25">
      <c r="A21" s="4">
        <v>41852</v>
      </c>
      <c r="B21">
        <v>671</v>
      </c>
      <c r="C21" s="5">
        <f t="shared" si="1"/>
        <v>702.33333333333337</v>
      </c>
      <c r="D21" s="6">
        <f t="shared" si="0"/>
        <v>4.6696472925981176E-2</v>
      </c>
      <c r="F21" s="1">
        <v>41852</v>
      </c>
    </row>
    <row r="22" spans="1:6" x14ac:dyDescent="0.25">
      <c r="A22" s="4">
        <v>41883</v>
      </c>
      <c r="B22">
        <v>566</v>
      </c>
      <c r="C22" s="5">
        <f t="shared" si="1"/>
        <v>709</v>
      </c>
      <c r="D22" s="6">
        <f t="shared" si="0"/>
        <v>0.25265017667844525</v>
      </c>
      <c r="F22" s="1">
        <v>41883</v>
      </c>
    </row>
    <row r="23" spans="1:6" x14ac:dyDescent="0.25">
      <c r="A23" s="4">
        <v>41913</v>
      </c>
      <c r="B23">
        <v>555</v>
      </c>
      <c r="C23" s="5">
        <f t="shared" si="1"/>
        <v>661</v>
      </c>
      <c r="D23" s="6">
        <f t="shared" si="0"/>
        <v>0.19099099099099098</v>
      </c>
      <c r="F23" s="1">
        <v>41913</v>
      </c>
    </row>
    <row r="24" spans="1:6" x14ac:dyDescent="0.25">
      <c r="A24" s="4">
        <v>41944</v>
      </c>
      <c r="B24">
        <v>619</v>
      </c>
      <c r="C24" s="5">
        <f t="shared" si="1"/>
        <v>597.33333333333337</v>
      </c>
      <c r="D24" s="6">
        <f t="shared" si="0"/>
        <v>3.5002692514808767E-2</v>
      </c>
      <c r="F24" s="1">
        <v>41944</v>
      </c>
    </row>
    <row r="25" spans="1:6" x14ac:dyDescent="0.25">
      <c r="A25" s="4">
        <v>41974</v>
      </c>
      <c r="B25">
        <v>409</v>
      </c>
      <c r="C25" s="5">
        <f t="shared" si="1"/>
        <v>580</v>
      </c>
      <c r="D25" s="6">
        <f t="shared" si="0"/>
        <v>0.41809290953545231</v>
      </c>
      <c r="F25" s="1">
        <v>41974</v>
      </c>
    </row>
    <row r="26" spans="1:6" x14ac:dyDescent="0.25">
      <c r="A26" s="4">
        <v>42005</v>
      </c>
      <c r="B26">
        <v>428</v>
      </c>
      <c r="C26" s="5">
        <f t="shared" si="1"/>
        <v>527.66666666666663</v>
      </c>
      <c r="D26" s="6">
        <f t="shared" si="0"/>
        <v>0.23286604361370708</v>
      </c>
      <c r="F26" s="1">
        <v>42005</v>
      </c>
    </row>
    <row r="27" spans="1:6" x14ac:dyDescent="0.25">
      <c r="A27" s="4">
        <v>42036</v>
      </c>
      <c r="B27">
        <v>399</v>
      </c>
      <c r="C27" s="5">
        <f t="shared" si="1"/>
        <v>485.33333333333331</v>
      </c>
      <c r="D27" s="6">
        <f t="shared" si="0"/>
        <v>0.21637426900584791</v>
      </c>
      <c r="F27" s="1">
        <v>42036</v>
      </c>
    </row>
    <row r="28" spans="1:6" x14ac:dyDescent="0.25">
      <c r="A28" s="4">
        <v>42064</v>
      </c>
      <c r="B28">
        <v>552</v>
      </c>
      <c r="C28" s="5">
        <f t="shared" si="1"/>
        <v>412</v>
      </c>
      <c r="D28" s="6">
        <f t="shared" si="0"/>
        <v>0.25362318840579712</v>
      </c>
      <c r="F28" s="1">
        <v>42064</v>
      </c>
    </row>
    <row r="29" spans="1:6" x14ac:dyDescent="0.25">
      <c r="A29" s="4">
        <v>42095</v>
      </c>
      <c r="B29">
        <v>652</v>
      </c>
      <c r="C29" s="5">
        <f t="shared" si="1"/>
        <v>459.66666666666669</v>
      </c>
      <c r="D29" s="6">
        <f t="shared" si="0"/>
        <v>0.29498977505112473</v>
      </c>
      <c r="F29" s="1">
        <v>42095</v>
      </c>
    </row>
    <row r="30" spans="1:6" x14ac:dyDescent="0.25">
      <c r="A30" s="4">
        <v>42125</v>
      </c>
      <c r="B30">
        <v>711</v>
      </c>
      <c r="C30" s="5">
        <f t="shared" si="1"/>
        <v>534.33333333333337</v>
      </c>
      <c r="D30" s="6">
        <f t="shared" si="0"/>
        <v>0.24847632442569145</v>
      </c>
      <c r="F30" s="1">
        <v>42125</v>
      </c>
    </row>
    <row r="31" spans="1:6" x14ac:dyDescent="0.25">
      <c r="A31" s="4">
        <v>42156</v>
      </c>
      <c r="B31">
        <v>748</v>
      </c>
      <c r="C31" s="5">
        <f t="shared" si="1"/>
        <v>638.33333333333337</v>
      </c>
      <c r="D31" s="6">
        <f t="shared" si="0"/>
        <v>0.14661319073083773</v>
      </c>
      <c r="F31" s="1">
        <v>42156</v>
      </c>
    </row>
    <row r="32" spans="1:6" x14ac:dyDescent="0.25">
      <c r="A32" s="4">
        <v>42186</v>
      </c>
      <c r="B32">
        <v>842</v>
      </c>
      <c r="C32" s="5">
        <f t="shared" si="1"/>
        <v>703.66666666666663</v>
      </c>
      <c r="D32" s="6">
        <f t="shared" si="0"/>
        <v>0.16429136975455269</v>
      </c>
      <c r="F32" s="1">
        <v>42186</v>
      </c>
    </row>
    <row r="33" spans="1:6" x14ac:dyDescent="0.25">
      <c r="A33" s="4">
        <v>42217</v>
      </c>
      <c r="B33">
        <v>706</v>
      </c>
      <c r="C33" s="5">
        <f t="shared" si="1"/>
        <v>767</v>
      </c>
      <c r="D33" s="6">
        <f t="shared" si="0"/>
        <v>8.640226628895184E-2</v>
      </c>
      <c r="F33" s="1">
        <v>42217</v>
      </c>
    </row>
    <row r="34" spans="1:6" x14ac:dyDescent="0.25">
      <c r="A34" s="4">
        <v>42248</v>
      </c>
      <c r="B34">
        <v>678</v>
      </c>
      <c r="C34" s="5">
        <f t="shared" si="1"/>
        <v>765.33333333333337</v>
      </c>
      <c r="D34" s="6">
        <f t="shared" si="0"/>
        <v>0.12881022615535895</v>
      </c>
      <c r="F34" s="1">
        <v>42248</v>
      </c>
    </row>
    <row r="35" spans="1:6" x14ac:dyDescent="0.25">
      <c r="A35" s="4">
        <v>42278</v>
      </c>
      <c r="B35">
        <v>647</v>
      </c>
      <c r="C35" s="5">
        <f t="shared" si="1"/>
        <v>742</v>
      </c>
      <c r="D35" s="6">
        <f t="shared" si="0"/>
        <v>0.14683153013910355</v>
      </c>
      <c r="F35" s="1">
        <v>42278</v>
      </c>
    </row>
    <row r="36" spans="1:6" x14ac:dyDescent="0.25">
      <c r="A36" s="4">
        <v>42309</v>
      </c>
      <c r="B36">
        <v>684</v>
      </c>
      <c r="C36" s="5">
        <f t="shared" si="1"/>
        <v>677</v>
      </c>
      <c r="D36" s="6">
        <f t="shared" si="0"/>
        <v>1.023391812865497E-2</v>
      </c>
      <c r="F36" s="1">
        <v>42309</v>
      </c>
    </row>
    <row r="37" spans="1:6" x14ac:dyDescent="0.25">
      <c r="A37" s="4">
        <v>42339</v>
      </c>
      <c r="B37">
        <v>460</v>
      </c>
      <c r="C37" s="5">
        <f t="shared" si="1"/>
        <v>669.66666666666663</v>
      </c>
      <c r="D37" s="6">
        <f t="shared" si="0"/>
        <v>0.45579710144927527</v>
      </c>
      <c r="F37" s="1">
        <v>42339</v>
      </c>
    </row>
    <row r="38" spans="1:6" x14ac:dyDescent="0.25">
      <c r="A38" s="4">
        <v>42370</v>
      </c>
      <c r="B38">
        <v>449</v>
      </c>
      <c r="C38" s="5">
        <f t="shared" si="1"/>
        <v>597</v>
      </c>
      <c r="D38" s="6">
        <f t="shared" si="0"/>
        <v>0.32962138084632514</v>
      </c>
      <c r="F38" s="1">
        <v>42370</v>
      </c>
    </row>
    <row r="39" spans="1:6" x14ac:dyDescent="0.25">
      <c r="A39" s="4">
        <v>42401</v>
      </c>
      <c r="B39">
        <v>450</v>
      </c>
      <c r="C39" s="5">
        <f t="shared" si="1"/>
        <v>531</v>
      </c>
      <c r="D39" s="6">
        <f t="shared" si="0"/>
        <v>0.18</v>
      </c>
      <c r="F39" s="1">
        <v>42401</v>
      </c>
    </row>
    <row r="40" spans="1:6" x14ac:dyDescent="0.25">
      <c r="A40" s="4">
        <v>42430</v>
      </c>
      <c r="B40">
        <v>589</v>
      </c>
      <c r="C40" s="5">
        <f t="shared" si="1"/>
        <v>453</v>
      </c>
      <c r="D40" s="6">
        <f t="shared" si="0"/>
        <v>0.23089983022071306</v>
      </c>
      <c r="F40" s="1">
        <v>42430</v>
      </c>
    </row>
    <row r="41" spans="1:6" x14ac:dyDescent="0.25">
      <c r="A41" s="4">
        <v>42461</v>
      </c>
      <c r="B41">
        <v>694</v>
      </c>
      <c r="C41" s="5">
        <f t="shared" si="1"/>
        <v>496</v>
      </c>
      <c r="D41" s="6">
        <f t="shared" si="0"/>
        <v>0.28530259365994237</v>
      </c>
      <c r="F41" s="1">
        <v>42461</v>
      </c>
    </row>
    <row r="42" spans="1:6" x14ac:dyDescent="0.25">
      <c r="A42" s="4">
        <v>42491</v>
      </c>
      <c r="B42">
        <v>782</v>
      </c>
      <c r="C42" s="5">
        <f t="shared" si="1"/>
        <v>577.66666666666663</v>
      </c>
      <c r="D42" s="6">
        <f t="shared" si="0"/>
        <v>0.26129582267689688</v>
      </c>
      <c r="F42" s="1">
        <v>42491</v>
      </c>
    </row>
    <row r="43" spans="1:6" x14ac:dyDescent="0.25">
      <c r="A43" s="4">
        <v>42522</v>
      </c>
      <c r="B43">
        <v>790</v>
      </c>
      <c r="C43" s="5">
        <f t="shared" si="1"/>
        <v>688.33333333333337</v>
      </c>
      <c r="D43" s="6">
        <f t="shared" si="0"/>
        <v>0.12869198312236282</v>
      </c>
      <c r="F43" s="1">
        <v>42522</v>
      </c>
    </row>
    <row r="44" spans="1:6" x14ac:dyDescent="0.25">
      <c r="A44" s="4">
        <v>42552</v>
      </c>
      <c r="B44">
        <v>903</v>
      </c>
      <c r="C44" s="5">
        <f t="shared" si="1"/>
        <v>755.33333333333337</v>
      </c>
      <c r="D44" s="6">
        <f t="shared" si="0"/>
        <v>0.16352897748246581</v>
      </c>
      <c r="F44" s="1">
        <v>42552</v>
      </c>
    </row>
    <row r="45" spans="1:6" x14ac:dyDescent="0.25">
      <c r="A45" s="4">
        <v>42583</v>
      </c>
      <c r="B45">
        <v>727</v>
      </c>
      <c r="C45" s="5">
        <f t="shared" si="1"/>
        <v>825</v>
      </c>
      <c r="D45" s="6">
        <f t="shared" si="0"/>
        <v>0.13480055020632736</v>
      </c>
      <c r="F45" s="1">
        <v>42583</v>
      </c>
    </row>
    <row r="46" spans="1:6" x14ac:dyDescent="0.25">
      <c r="A46" s="4">
        <v>42614</v>
      </c>
      <c r="B46">
        <v>709</v>
      </c>
      <c r="C46" s="5">
        <f t="shared" si="1"/>
        <v>806.66666666666663</v>
      </c>
      <c r="D46" s="6">
        <f t="shared" si="0"/>
        <v>0.13775270333803474</v>
      </c>
      <c r="F46" s="1">
        <v>42614</v>
      </c>
    </row>
    <row r="47" spans="1:6" x14ac:dyDescent="0.25">
      <c r="A47" s="4">
        <v>42644</v>
      </c>
      <c r="B47">
        <v>699</v>
      </c>
      <c r="C47" s="5">
        <f t="shared" si="1"/>
        <v>779.66666666666663</v>
      </c>
      <c r="D47" s="6">
        <f t="shared" si="0"/>
        <v>0.11540295660467328</v>
      </c>
      <c r="F47" s="1">
        <v>42644</v>
      </c>
    </row>
    <row r="48" spans="1:6" x14ac:dyDescent="0.25">
      <c r="A48" s="4">
        <v>42675</v>
      </c>
      <c r="B48">
        <v>662</v>
      </c>
      <c r="C48" s="5">
        <f t="shared" si="1"/>
        <v>711.66666666666663</v>
      </c>
      <c r="D48" s="6">
        <f t="shared" si="0"/>
        <v>7.5025176233635388E-2</v>
      </c>
      <c r="F48" s="1">
        <v>42675</v>
      </c>
    </row>
    <row r="49" spans="1:6" x14ac:dyDescent="0.25">
      <c r="A49" s="4">
        <v>42705</v>
      </c>
      <c r="B49">
        <v>496</v>
      </c>
      <c r="C49" s="5">
        <f t="shared" si="1"/>
        <v>690</v>
      </c>
      <c r="D49" s="6">
        <f t="shared" si="0"/>
        <v>0.3911290322580645</v>
      </c>
      <c r="F49" s="1">
        <v>42705</v>
      </c>
    </row>
    <row r="50" spans="1:6" x14ac:dyDescent="0.25">
      <c r="A50" s="4">
        <v>42736</v>
      </c>
      <c r="B50">
        <v>485</v>
      </c>
      <c r="C50" s="5">
        <f t="shared" si="1"/>
        <v>619</v>
      </c>
      <c r="D50" s="6">
        <f t="shared" si="0"/>
        <v>0.27628865979381445</v>
      </c>
      <c r="F50" s="1">
        <v>42736</v>
      </c>
    </row>
    <row r="51" spans="1:6" x14ac:dyDescent="0.25">
      <c r="A51" s="4">
        <v>42767</v>
      </c>
      <c r="B51">
        <v>487</v>
      </c>
      <c r="C51" s="5">
        <f t="shared" si="1"/>
        <v>547.66666666666663</v>
      </c>
      <c r="D51" s="6">
        <f t="shared" si="0"/>
        <v>0.12457221081451053</v>
      </c>
      <c r="F51" s="1">
        <v>42767</v>
      </c>
    </row>
    <row r="52" spans="1:6" x14ac:dyDescent="0.25">
      <c r="A52" s="4">
        <v>42795</v>
      </c>
      <c r="B52">
        <v>561</v>
      </c>
      <c r="C52" s="5">
        <f t="shared" si="1"/>
        <v>489.33333333333331</v>
      </c>
      <c r="D52" s="6">
        <f t="shared" si="0"/>
        <v>0.12774806892453955</v>
      </c>
      <c r="F52" s="1">
        <v>42795</v>
      </c>
    </row>
    <row r="53" spans="1:6" x14ac:dyDescent="0.25">
      <c r="A53" s="4">
        <v>42826</v>
      </c>
      <c r="B53">
        <v>677</v>
      </c>
      <c r="C53" s="5">
        <f t="shared" si="1"/>
        <v>511</v>
      </c>
      <c r="D53" s="6">
        <f t="shared" si="0"/>
        <v>0.24519940915805022</v>
      </c>
      <c r="F53" s="1">
        <v>42826</v>
      </c>
    </row>
    <row r="54" spans="1:6" x14ac:dyDescent="0.25">
      <c r="A54" s="4">
        <v>42856</v>
      </c>
      <c r="B54">
        <v>773</v>
      </c>
      <c r="C54" s="5">
        <f t="shared" si="1"/>
        <v>575</v>
      </c>
      <c r="D54" s="6">
        <f t="shared" si="0"/>
        <v>0.25614489003880986</v>
      </c>
      <c r="F54" s="1">
        <v>42856</v>
      </c>
    </row>
    <row r="55" spans="1:6" x14ac:dyDescent="0.25">
      <c r="A55" s="4">
        <v>42887</v>
      </c>
      <c r="B55">
        <v>850</v>
      </c>
      <c r="C55" s="5">
        <f t="shared" si="1"/>
        <v>670.33333333333337</v>
      </c>
      <c r="D55" s="6">
        <f t="shared" si="0"/>
        <v>0.21137254901960781</v>
      </c>
      <c r="F55" s="1">
        <v>42887</v>
      </c>
    </row>
    <row r="56" spans="1:6" x14ac:dyDescent="0.25">
      <c r="A56" s="4">
        <v>42917</v>
      </c>
      <c r="B56">
        <v>873</v>
      </c>
      <c r="C56" s="5">
        <f t="shared" si="1"/>
        <v>766.66666666666663</v>
      </c>
      <c r="D56" s="6">
        <f t="shared" si="0"/>
        <v>0.12180221458571978</v>
      </c>
      <c r="F56" s="1">
        <v>42917</v>
      </c>
    </row>
    <row r="57" spans="1:6" x14ac:dyDescent="0.25">
      <c r="A57" s="4">
        <v>42948</v>
      </c>
      <c r="B57">
        <v>794</v>
      </c>
      <c r="C57" s="5">
        <f t="shared" si="1"/>
        <v>832</v>
      </c>
      <c r="D57" s="6">
        <f t="shared" si="0"/>
        <v>4.7858942065491183E-2</v>
      </c>
      <c r="F57" s="1">
        <v>42948</v>
      </c>
    </row>
    <row r="58" spans="1:6" x14ac:dyDescent="0.25">
      <c r="A58" s="4">
        <v>42979</v>
      </c>
      <c r="B58">
        <v>736</v>
      </c>
      <c r="C58" s="5">
        <f t="shared" si="1"/>
        <v>839</v>
      </c>
      <c r="D58" s="6">
        <f t="shared" si="0"/>
        <v>0.13994565217391305</v>
      </c>
      <c r="F58" s="1">
        <v>42979</v>
      </c>
    </row>
    <row r="59" spans="1:6" x14ac:dyDescent="0.25">
      <c r="A59" s="4">
        <v>43009</v>
      </c>
      <c r="B59">
        <v>660</v>
      </c>
      <c r="C59" s="5">
        <f t="shared" si="1"/>
        <v>801</v>
      </c>
      <c r="D59" s="6">
        <f t="shared" si="0"/>
        <v>0.21363636363636362</v>
      </c>
      <c r="F59" s="1">
        <v>43009</v>
      </c>
    </row>
    <row r="60" spans="1:6" x14ac:dyDescent="0.25">
      <c r="A60" s="4">
        <v>43040</v>
      </c>
      <c r="B60">
        <v>668</v>
      </c>
      <c r="C60" s="5">
        <f t="shared" si="1"/>
        <v>730</v>
      </c>
      <c r="D60" s="6">
        <f t="shared" si="0"/>
        <v>9.2814371257485026E-2</v>
      </c>
      <c r="F60" s="1">
        <v>43040</v>
      </c>
    </row>
    <row r="61" spans="1:6" x14ac:dyDescent="0.25">
      <c r="A61" s="4">
        <v>43070</v>
      </c>
      <c r="B61">
        <v>533</v>
      </c>
      <c r="C61" s="5">
        <f t="shared" si="1"/>
        <v>688</v>
      </c>
      <c r="D61" s="6">
        <f t="shared" si="0"/>
        <v>0.29080675422138835</v>
      </c>
      <c r="F61" s="1">
        <v>43070</v>
      </c>
    </row>
    <row r="62" spans="1:6" x14ac:dyDescent="0.25">
      <c r="A62" s="4">
        <v>43101</v>
      </c>
      <c r="C62" s="5">
        <f t="shared" si="1"/>
        <v>620.33333333333337</v>
      </c>
      <c r="F62" s="1">
        <v>43101</v>
      </c>
    </row>
    <row r="63" spans="1:6" x14ac:dyDescent="0.25">
      <c r="A63" s="4"/>
    </row>
    <row r="64" spans="1:6" x14ac:dyDescent="0.25">
      <c r="A6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3A6B-234E-4B6B-A3B0-E7B5853553B8}">
  <dimension ref="A1:E64"/>
  <sheetViews>
    <sheetView workbookViewId="0">
      <selection activeCell="E17" sqref="E17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22.42578125" style="5" bestFit="1" customWidth="1"/>
    <col min="4" max="4" width="7.140625" style="6" bestFit="1" customWidth="1"/>
    <col min="5" max="5" width="29.42578125" bestFit="1" customWidth="1"/>
  </cols>
  <sheetData>
    <row r="1" spans="1:5" x14ac:dyDescent="0.25">
      <c r="A1" t="s">
        <v>24</v>
      </c>
      <c r="B1" t="s">
        <v>25</v>
      </c>
      <c r="C1" s="5" t="s">
        <v>26</v>
      </c>
      <c r="D1" s="6" t="s">
        <v>27</v>
      </c>
      <c r="E1" t="s">
        <v>28</v>
      </c>
    </row>
    <row r="2" spans="1:5" x14ac:dyDescent="0.25">
      <c r="A2" s="4">
        <v>41275</v>
      </c>
      <c r="B2">
        <v>911</v>
      </c>
      <c r="E2" s="6">
        <f>AVERAGE(D5:D61)</f>
        <v>0.17313146751994721</v>
      </c>
    </row>
    <row r="3" spans="1:5" x14ac:dyDescent="0.25">
      <c r="A3" s="4">
        <v>41306</v>
      </c>
      <c r="B3">
        <v>873</v>
      </c>
    </row>
    <row r="4" spans="1:5" x14ac:dyDescent="0.25">
      <c r="A4" s="4">
        <v>41334</v>
      </c>
      <c r="B4">
        <v>1299</v>
      </c>
      <c r="E4" s="8" t="s">
        <v>29</v>
      </c>
    </row>
    <row r="5" spans="1:5" x14ac:dyDescent="0.25">
      <c r="A5" s="4">
        <v>41365</v>
      </c>
      <c r="B5">
        <v>1316</v>
      </c>
      <c r="C5" s="5">
        <f>AVERAGE(B2:B4)</f>
        <v>1027.6666666666667</v>
      </c>
      <c r="D5" s="6">
        <f>ABS(B5-C5)/B5</f>
        <v>0.21909827760891584</v>
      </c>
      <c r="E5" s="5">
        <f>_xlfn.STDEV.S(B2:B61)</f>
        <v>356.84975236464976</v>
      </c>
    </row>
    <row r="6" spans="1:5" x14ac:dyDescent="0.25">
      <c r="A6" s="4">
        <v>41395</v>
      </c>
      <c r="B6">
        <v>1527</v>
      </c>
      <c r="C6" s="5">
        <f t="shared" ref="C6:C62" si="0">AVERAGE(B3:B5)</f>
        <v>1162.6666666666667</v>
      </c>
      <c r="D6" s="6">
        <f t="shared" ref="D6:D61" si="1">ABS(B6-C6)/B6</f>
        <v>0.23859419340755289</v>
      </c>
    </row>
    <row r="7" spans="1:5" x14ac:dyDescent="0.25">
      <c r="A7" s="4">
        <v>41426</v>
      </c>
      <c r="B7">
        <v>1643</v>
      </c>
      <c r="C7" s="5">
        <f t="shared" si="0"/>
        <v>1380.6666666666667</v>
      </c>
      <c r="D7" s="6">
        <f t="shared" si="1"/>
        <v>0.15966727530939334</v>
      </c>
      <c r="E7" s="8" t="s">
        <v>32</v>
      </c>
    </row>
    <row r="8" spans="1:5" x14ac:dyDescent="0.25">
      <c r="A8" s="4">
        <v>41456</v>
      </c>
      <c r="B8">
        <v>1743</v>
      </c>
      <c r="C8" s="5">
        <f t="shared" si="0"/>
        <v>1495.3333333333333</v>
      </c>
      <c r="D8" s="6">
        <f t="shared" si="1"/>
        <v>0.1420921782367566</v>
      </c>
      <c r="E8" s="6">
        <f>E5/AVERAGE(B2:B61)</f>
        <v>0.2206180849240493</v>
      </c>
    </row>
    <row r="9" spans="1:5" x14ac:dyDescent="0.25">
      <c r="A9" s="4">
        <v>41487</v>
      </c>
      <c r="B9">
        <v>1591</v>
      </c>
      <c r="C9" s="5">
        <f t="shared" si="0"/>
        <v>1637.6666666666667</v>
      </c>
      <c r="D9" s="6">
        <f t="shared" si="1"/>
        <v>2.933165723863403E-2</v>
      </c>
    </row>
    <row r="10" spans="1:5" x14ac:dyDescent="0.25">
      <c r="A10" s="4">
        <v>41518</v>
      </c>
      <c r="B10">
        <v>1353</v>
      </c>
      <c r="C10" s="5">
        <f t="shared" si="0"/>
        <v>1659</v>
      </c>
      <c r="D10" s="6">
        <f t="shared" si="1"/>
        <v>0.22616407982261641</v>
      </c>
      <c r="E10" s="8" t="s">
        <v>30</v>
      </c>
    </row>
    <row r="11" spans="1:5" x14ac:dyDescent="0.25">
      <c r="A11" s="4">
        <v>41548</v>
      </c>
      <c r="B11">
        <v>1330</v>
      </c>
      <c r="C11" s="5">
        <f t="shared" si="0"/>
        <v>1562.3333333333333</v>
      </c>
      <c r="D11" s="6">
        <f t="shared" si="1"/>
        <v>0.17468671679197989</v>
      </c>
      <c r="E11" s="5">
        <f>ROUNDUP(1.65*E5*SQRT(0.5),0)</f>
        <v>417</v>
      </c>
    </row>
    <row r="12" spans="1:5" x14ac:dyDescent="0.25">
      <c r="A12" s="4">
        <v>41579</v>
      </c>
      <c r="B12">
        <v>1427</v>
      </c>
      <c r="C12" s="5">
        <f t="shared" si="0"/>
        <v>1424.6666666666667</v>
      </c>
      <c r="D12" s="6">
        <f t="shared" si="1"/>
        <v>1.6351319785096409E-3</v>
      </c>
    </row>
    <row r="13" spans="1:5" x14ac:dyDescent="0.25">
      <c r="A13" s="4">
        <v>41609</v>
      </c>
      <c r="B13">
        <v>1023</v>
      </c>
      <c r="C13" s="5">
        <f t="shared" si="0"/>
        <v>1370</v>
      </c>
      <c r="D13" s="6">
        <f t="shared" si="1"/>
        <v>0.3391984359726295</v>
      </c>
      <c r="E13" s="8" t="s">
        <v>31</v>
      </c>
    </row>
    <row r="14" spans="1:5" x14ac:dyDescent="0.25">
      <c r="A14" s="4">
        <v>41640</v>
      </c>
      <c r="B14">
        <v>1116</v>
      </c>
      <c r="C14" s="5">
        <f t="shared" si="0"/>
        <v>1260</v>
      </c>
      <c r="D14" s="6">
        <f t="shared" si="1"/>
        <v>0.12903225806451613</v>
      </c>
      <c r="E14" s="5">
        <f>ROUNDUP((AVERAGE(B2:B61)*0.5)+E11,0)</f>
        <v>1226</v>
      </c>
    </row>
    <row r="15" spans="1:5" x14ac:dyDescent="0.25">
      <c r="A15" s="4">
        <v>41671</v>
      </c>
      <c r="B15">
        <v>1135</v>
      </c>
      <c r="C15" s="5">
        <f t="shared" si="0"/>
        <v>1188.6666666666667</v>
      </c>
      <c r="D15" s="6">
        <f t="shared" si="1"/>
        <v>4.728340675477246E-2</v>
      </c>
    </row>
    <row r="16" spans="1:5" x14ac:dyDescent="0.25">
      <c r="A16" s="4">
        <v>41699</v>
      </c>
      <c r="B16">
        <v>1406</v>
      </c>
      <c r="C16" s="5">
        <f t="shared" si="0"/>
        <v>1091.3333333333333</v>
      </c>
      <c r="D16" s="6">
        <f t="shared" si="1"/>
        <v>0.22380275011853965</v>
      </c>
    </row>
    <row r="17" spans="1:4" x14ac:dyDescent="0.25">
      <c r="A17" s="4">
        <v>41730</v>
      </c>
      <c r="B17">
        <v>1645</v>
      </c>
      <c r="C17" s="5">
        <f t="shared" si="0"/>
        <v>1219</v>
      </c>
      <c r="D17" s="6">
        <f t="shared" si="1"/>
        <v>0.2589665653495441</v>
      </c>
    </row>
    <row r="18" spans="1:4" x14ac:dyDescent="0.25">
      <c r="A18" s="4">
        <v>41760</v>
      </c>
      <c r="B18">
        <v>1870</v>
      </c>
      <c r="C18" s="5">
        <f t="shared" si="0"/>
        <v>1395.3333333333333</v>
      </c>
      <c r="D18" s="6">
        <f t="shared" si="1"/>
        <v>0.25383244206773625</v>
      </c>
    </row>
    <row r="19" spans="1:4" x14ac:dyDescent="0.25">
      <c r="A19" s="4">
        <v>41791</v>
      </c>
      <c r="B19">
        <v>1849</v>
      </c>
      <c r="C19" s="5">
        <f t="shared" si="0"/>
        <v>1640.3333333333333</v>
      </c>
      <c r="D19" s="6">
        <f t="shared" si="1"/>
        <v>0.1128537948440599</v>
      </c>
    </row>
    <row r="20" spans="1:4" x14ac:dyDescent="0.25">
      <c r="A20" s="4">
        <v>41821</v>
      </c>
      <c r="B20">
        <v>2039</v>
      </c>
      <c r="C20" s="5">
        <f t="shared" si="0"/>
        <v>1788</v>
      </c>
      <c r="D20" s="6">
        <f t="shared" si="1"/>
        <v>0.12309955860716038</v>
      </c>
    </row>
    <row r="21" spans="1:4" x14ac:dyDescent="0.25">
      <c r="A21" s="4">
        <v>41852</v>
      </c>
      <c r="B21">
        <v>1823</v>
      </c>
      <c r="C21" s="5">
        <f t="shared" si="0"/>
        <v>1919.3333333333333</v>
      </c>
      <c r="D21" s="6">
        <f t="shared" si="1"/>
        <v>5.2843298592064318E-2</v>
      </c>
    </row>
    <row r="22" spans="1:4" x14ac:dyDescent="0.25">
      <c r="A22" s="4">
        <v>41883</v>
      </c>
      <c r="B22">
        <v>1539</v>
      </c>
      <c r="C22" s="5">
        <f t="shared" si="0"/>
        <v>1903.6666666666667</v>
      </c>
      <c r="D22" s="6">
        <f t="shared" si="1"/>
        <v>0.23695040069309081</v>
      </c>
    </row>
    <row r="23" spans="1:4" x14ac:dyDescent="0.25">
      <c r="A23" s="4">
        <v>41913</v>
      </c>
      <c r="B23">
        <v>1506</v>
      </c>
      <c r="C23" s="5">
        <f t="shared" si="0"/>
        <v>1800.3333333333333</v>
      </c>
      <c r="D23" s="6">
        <f t="shared" si="1"/>
        <v>0.19544046038069937</v>
      </c>
    </row>
    <row r="24" spans="1:4" x14ac:dyDescent="0.25">
      <c r="A24" s="4">
        <v>41944</v>
      </c>
      <c r="B24">
        <v>1595</v>
      </c>
      <c r="C24" s="5">
        <f t="shared" si="0"/>
        <v>1622.6666666666667</v>
      </c>
      <c r="D24" s="6">
        <f t="shared" si="1"/>
        <v>1.734587251828636E-2</v>
      </c>
    </row>
    <row r="25" spans="1:4" x14ac:dyDescent="0.25">
      <c r="A25" s="4">
        <v>41974</v>
      </c>
      <c r="B25">
        <v>1211</v>
      </c>
      <c r="C25" s="5">
        <f t="shared" si="0"/>
        <v>1546.6666666666667</v>
      </c>
      <c r="D25" s="6">
        <f t="shared" si="1"/>
        <v>0.27718139278832926</v>
      </c>
    </row>
    <row r="26" spans="1:4" x14ac:dyDescent="0.25">
      <c r="A26" s="4">
        <v>42005</v>
      </c>
      <c r="B26">
        <v>1114</v>
      </c>
      <c r="C26" s="5">
        <f t="shared" si="0"/>
        <v>1437.3333333333333</v>
      </c>
      <c r="D26" s="6">
        <f t="shared" si="1"/>
        <v>0.29024536205864743</v>
      </c>
    </row>
    <row r="27" spans="1:4" x14ac:dyDescent="0.25">
      <c r="A27" s="4">
        <v>42036</v>
      </c>
      <c r="B27">
        <v>1157</v>
      </c>
      <c r="C27" s="5">
        <f t="shared" si="0"/>
        <v>1306.6666666666667</v>
      </c>
      <c r="D27" s="6">
        <f t="shared" si="1"/>
        <v>0.12935753385191595</v>
      </c>
    </row>
    <row r="28" spans="1:4" x14ac:dyDescent="0.25">
      <c r="A28" s="4">
        <v>42064</v>
      </c>
      <c r="B28">
        <v>1536</v>
      </c>
      <c r="C28" s="5">
        <f t="shared" si="0"/>
        <v>1160.6666666666667</v>
      </c>
      <c r="D28" s="6">
        <f t="shared" si="1"/>
        <v>0.24435763888888884</v>
      </c>
    </row>
    <row r="29" spans="1:4" x14ac:dyDescent="0.25">
      <c r="A29" s="4">
        <v>42095</v>
      </c>
      <c r="B29">
        <v>1700</v>
      </c>
      <c r="C29" s="5">
        <f t="shared" si="0"/>
        <v>1269</v>
      </c>
      <c r="D29" s="6">
        <f t="shared" si="1"/>
        <v>0.25352941176470589</v>
      </c>
    </row>
    <row r="30" spans="1:4" x14ac:dyDescent="0.25">
      <c r="A30" s="4">
        <v>42125</v>
      </c>
      <c r="B30">
        <v>1941</v>
      </c>
      <c r="C30" s="5">
        <f t="shared" si="0"/>
        <v>1464.3333333333333</v>
      </c>
      <c r="D30" s="6">
        <f t="shared" si="1"/>
        <v>0.24557788081744808</v>
      </c>
    </row>
    <row r="31" spans="1:4" x14ac:dyDescent="0.25">
      <c r="A31" s="4">
        <v>42156</v>
      </c>
      <c r="B31">
        <v>1828</v>
      </c>
      <c r="C31" s="5">
        <f t="shared" si="0"/>
        <v>1725.6666666666667</v>
      </c>
      <c r="D31" s="6">
        <f t="shared" si="1"/>
        <v>5.5981035740335479E-2</v>
      </c>
    </row>
    <row r="32" spans="1:4" x14ac:dyDescent="0.25">
      <c r="A32" s="4">
        <v>42186</v>
      </c>
      <c r="B32">
        <v>1967</v>
      </c>
      <c r="C32" s="5">
        <f t="shared" si="0"/>
        <v>1823</v>
      </c>
      <c r="D32" s="6">
        <f t="shared" si="1"/>
        <v>7.3207930859176415E-2</v>
      </c>
    </row>
    <row r="33" spans="1:4" x14ac:dyDescent="0.25">
      <c r="A33" s="4">
        <v>42217</v>
      </c>
      <c r="B33">
        <v>1915</v>
      </c>
      <c r="C33" s="5">
        <f t="shared" si="0"/>
        <v>1912</v>
      </c>
      <c r="D33" s="6">
        <f t="shared" si="1"/>
        <v>1.566579634464752E-3</v>
      </c>
    </row>
    <row r="34" spans="1:4" x14ac:dyDescent="0.25">
      <c r="A34" s="4">
        <v>42248</v>
      </c>
      <c r="B34">
        <v>1625</v>
      </c>
      <c r="C34" s="5">
        <f t="shared" si="0"/>
        <v>1903.3333333333333</v>
      </c>
      <c r="D34" s="6">
        <f t="shared" si="1"/>
        <v>0.17128205128205123</v>
      </c>
    </row>
    <row r="35" spans="1:4" x14ac:dyDescent="0.25">
      <c r="A35" s="4">
        <v>42278</v>
      </c>
      <c r="B35">
        <v>1622</v>
      </c>
      <c r="C35" s="5">
        <f t="shared" si="0"/>
        <v>1835.6666666666667</v>
      </c>
      <c r="D35" s="6">
        <f t="shared" si="1"/>
        <v>0.13173037402383894</v>
      </c>
    </row>
    <row r="36" spans="1:4" x14ac:dyDescent="0.25">
      <c r="A36" s="4">
        <v>42309</v>
      </c>
      <c r="B36">
        <v>1680</v>
      </c>
      <c r="C36" s="5">
        <f t="shared" si="0"/>
        <v>1720.6666666666667</v>
      </c>
      <c r="D36" s="6">
        <f t="shared" si="1"/>
        <v>2.4206349206349252E-2</v>
      </c>
    </row>
    <row r="37" spans="1:4" x14ac:dyDescent="0.25">
      <c r="A37" s="4">
        <v>42339</v>
      </c>
      <c r="B37">
        <v>1227</v>
      </c>
      <c r="C37" s="5">
        <f t="shared" si="0"/>
        <v>1642.3333333333333</v>
      </c>
      <c r="D37" s="6">
        <f t="shared" si="1"/>
        <v>0.33849497419179564</v>
      </c>
    </row>
    <row r="38" spans="1:4" x14ac:dyDescent="0.25">
      <c r="A38" s="4">
        <v>42370</v>
      </c>
      <c r="B38">
        <v>1248</v>
      </c>
      <c r="C38" s="5">
        <f t="shared" si="0"/>
        <v>1509.6666666666667</v>
      </c>
      <c r="D38" s="6">
        <f t="shared" si="1"/>
        <v>0.20966880341880348</v>
      </c>
    </row>
    <row r="39" spans="1:4" x14ac:dyDescent="0.25">
      <c r="A39" s="4">
        <v>42401</v>
      </c>
      <c r="B39">
        <v>1270</v>
      </c>
      <c r="C39" s="5">
        <f t="shared" si="0"/>
        <v>1385</v>
      </c>
      <c r="D39" s="6">
        <f t="shared" si="1"/>
        <v>9.055118110236221E-2</v>
      </c>
    </row>
    <row r="40" spans="1:4" x14ac:dyDescent="0.25">
      <c r="A40" s="4">
        <v>42430</v>
      </c>
      <c r="B40">
        <v>1628</v>
      </c>
      <c r="C40" s="5">
        <f t="shared" si="0"/>
        <v>1248.3333333333333</v>
      </c>
      <c r="D40" s="6">
        <f t="shared" si="1"/>
        <v>0.23321048321048327</v>
      </c>
    </row>
    <row r="41" spans="1:4" x14ac:dyDescent="0.25">
      <c r="A41" s="4">
        <v>42461</v>
      </c>
      <c r="B41">
        <v>1791</v>
      </c>
      <c r="C41" s="5">
        <f t="shared" si="0"/>
        <v>1382</v>
      </c>
      <c r="D41" s="6">
        <f t="shared" si="1"/>
        <v>0.2283640424343942</v>
      </c>
    </row>
    <row r="42" spans="1:4" x14ac:dyDescent="0.25">
      <c r="A42" s="4">
        <v>42491</v>
      </c>
      <c r="B42">
        <v>2003</v>
      </c>
      <c r="C42" s="5">
        <f t="shared" si="0"/>
        <v>1563</v>
      </c>
      <c r="D42" s="6">
        <f t="shared" si="1"/>
        <v>0.21967049425861207</v>
      </c>
    </row>
    <row r="43" spans="1:4" x14ac:dyDescent="0.25">
      <c r="A43" s="4">
        <v>42522</v>
      </c>
      <c r="B43">
        <v>2062</v>
      </c>
      <c r="C43" s="5">
        <f t="shared" si="0"/>
        <v>1807.3333333333333</v>
      </c>
      <c r="D43" s="6">
        <f t="shared" si="1"/>
        <v>0.123504688005173</v>
      </c>
    </row>
    <row r="44" spans="1:4" x14ac:dyDescent="0.25">
      <c r="A44" s="4">
        <v>42552</v>
      </c>
      <c r="B44">
        <v>2387</v>
      </c>
      <c r="C44" s="5">
        <f t="shared" si="0"/>
        <v>1952</v>
      </c>
      <c r="D44" s="6">
        <f t="shared" si="1"/>
        <v>0.18223711772098869</v>
      </c>
    </row>
    <row r="45" spans="1:4" x14ac:dyDescent="0.25">
      <c r="A45" s="4">
        <v>42583</v>
      </c>
      <c r="B45">
        <v>2016</v>
      </c>
      <c r="C45" s="5">
        <f t="shared" si="0"/>
        <v>2150.6666666666665</v>
      </c>
      <c r="D45" s="6">
        <f t="shared" si="1"/>
        <v>6.6798941798941719E-2</v>
      </c>
    </row>
    <row r="46" spans="1:4" x14ac:dyDescent="0.25">
      <c r="A46" s="4">
        <v>42614</v>
      </c>
      <c r="B46">
        <v>1807</v>
      </c>
      <c r="C46" s="5">
        <f t="shared" si="0"/>
        <v>2155</v>
      </c>
      <c r="D46" s="6">
        <f t="shared" si="1"/>
        <v>0.19258439402324296</v>
      </c>
    </row>
    <row r="47" spans="1:4" x14ac:dyDescent="0.25">
      <c r="A47" s="4">
        <v>42644</v>
      </c>
      <c r="B47">
        <v>1806</v>
      </c>
      <c r="C47" s="5">
        <f t="shared" si="0"/>
        <v>2070</v>
      </c>
      <c r="D47" s="6">
        <f t="shared" si="1"/>
        <v>0.1461794019933555</v>
      </c>
    </row>
    <row r="48" spans="1:4" x14ac:dyDescent="0.25">
      <c r="A48" s="4">
        <v>42675</v>
      </c>
      <c r="B48">
        <v>1789</v>
      </c>
      <c r="C48" s="5">
        <f t="shared" si="0"/>
        <v>1876.3333333333333</v>
      </c>
      <c r="D48" s="6">
        <f t="shared" si="1"/>
        <v>4.8816843674305901E-2</v>
      </c>
    </row>
    <row r="49" spans="1:4" x14ac:dyDescent="0.25">
      <c r="A49" s="4">
        <v>42705</v>
      </c>
      <c r="B49">
        <v>1338</v>
      </c>
      <c r="C49" s="5">
        <f t="shared" si="0"/>
        <v>1800.6666666666667</v>
      </c>
      <c r="D49" s="6">
        <f t="shared" si="1"/>
        <v>0.34578973592426515</v>
      </c>
    </row>
    <row r="50" spans="1:4" x14ac:dyDescent="0.25">
      <c r="A50" s="4">
        <v>42736</v>
      </c>
      <c r="B50">
        <v>1202</v>
      </c>
      <c r="C50" s="5">
        <f t="shared" si="0"/>
        <v>1644.3333333333333</v>
      </c>
      <c r="D50" s="6">
        <f t="shared" si="1"/>
        <v>0.36799778147531886</v>
      </c>
    </row>
    <row r="51" spans="1:4" x14ac:dyDescent="0.25">
      <c r="A51" s="4">
        <v>42767</v>
      </c>
      <c r="B51">
        <v>1196</v>
      </c>
      <c r="C51" s="5">
        <f t="shared" si="0"/>
        <v>1443</v>
      </c>
      <c r="D51" s="6">
        <f t="shared" si="1"/>
        <v>0.20652173913043478</v>
      </c>
    </row>
    <row r="52" spans="1:4" x14ac:dyDescent="0.25">
      <c r="A52" s="4">
        <v>42795</v>
      </c>
      <c r="B52">
        <v>1592</v>
      </c>
      <c r="C52" s="5">
        <f t="shared" si="0"/>
        <v>1245.3333333333333</v>
      </c>
      <c r="D52" s="6">
        <f t="shared" si="1"/>
        <v>0.21775544388609719</v>
      </c>
    </row>
    <row r="53" spans="1:4" x14ac:dyDescent="0.25">
      <c r="A53" s="4">
        <v>42826</v>
      </c>
      <c r="B53">
        <v>1951</v>
      </c>
      <c r="C53" s="5">
        <f t="shared" si="0"/>
        <v>1330</v>
      </c>
      <c r="D53" s="6">
        <f t="shared" si="1"/>
        <v>0.31829830855971297</v>
      </c>
    </row>
    <row r="54" spans="1:4" x14ac:dyDescent="0.25">
      <c r="A54" s="4">
        <v>42856</v>
      </c>
      <c r="B54">
        <v>2101</v>
      </c>
      <c r="C54" s="5">
        <f t="shared" si="0"/>
        <v>1579.6666666666667</v>
      </c>
      <c r="D54" s="6">
        <f t="shared" si="1"/>
        <v>0.24813580834523238</v>
      </c>
    </row>
    <row r="55" spans="1:4" x14ac:dyDescent="0.25">
      <c r="A55" s="4">
        <v>42887</v>
      </c>
      <c r="B55">
        <v>2214</v>
      </c>
      <c r="C55" s="5">
        <f t="shared" si="0"/>
        <v>1881.3333333333333</v>
      </c>
      <c r="D55" s="6">
        <f t="shared" si="1"/>
        <v>0.15025594700391451</v>
      </c>
    </row>
    <row r="56" spans="1:4" x14ac:dyDescent="0.25">
      <c r="A56" s="4">
        <v>42917</v>
      </c>
      <c r="B56">
        <v>2370</v>
      </c>
      <c r="C56" s="5">
        <f t="shared" si="0"/>
        <v>2088.6666666666665</v>
      </c>
      <c r="D56" s="6">
        <f t="shared" si="1"/>
        <v>0.11870604781997193</v>
      </c>
    </row>
    <row r="57" spans="1:4" x14ac:dyDescent="0.25">
      <c r="A57" s="4">
        <v>42948</v>
      </c>
      <c r="B57">
        <v>2089</v>
      </c>
      <c r="C57" s="5">
        <f t="shared" si="0"/>
        <v>2228.3333333333335</v>
      </c>
      <c r="D57" s="6">
        <f t="shared" si="1"/>
        <v>6.6698579862773333E-2</v>
      </c>
    </row>
    <row r="58" spans="1:4" x14ac:dyDescent="0.25">
      <c r="A58" s="4">
        <v>42979</v>
      </c>
      <c r="B58">
        <v>1923</v>
      </c>
      <c r="C58" s="5">
        <f t="shared" si="0"/>
        <v>2224.3333333333335</v>
      </c>
      <c r="D58" s="6">
        <f t="shared" si="1"/>
        <v>0.15669960131738611</v>
      </c>
    </row>
    <row r="59" spans="1:4" x14ac:dyDescent="0.25">
      <c r="A59" s="4">
        <v>43009</v>
      </c>
      <c r="B59">
        <v>1748</v>
      </c>
      <c r="C59" s="5">
        <f t="shared" si="0"/>
        <v>2127.3333333333335</v>
      </c>
      <c r="D59" s="6">
        <f t="shared" si="1"/>
        <v>0.21700991609458437</v>
      </c>
    </row>
    <row r="60" spans="1:4" x14ac:dyDescent="0.25">
      <c r="A60" s="4">
        <v>43040</v>
      </c>
      <c r="B60">
        <v>1962</v>
      </c>
      <c r="C60" s="5">
        <f t="shared" si="0"/>
        <v>1920</v>
      </c>
      <c r="D60" s="6">
        <f t="shared" si="1"/>
        <v>2.1406727828746176E-2</v>
      </c>
    </row>
    <row r="61" spans="1:4" x14ac:dyDescent="0.25">
      <c r="A61" s="4">
        <v>43070</v>
      </c>
      <c r="B61">
        <v>1475</v>
      </c>
      <c r="C61" s="5">
        <f t="shared" si="0"/>
        <v>1877.6666666666667</v>
      </c>
      <c r="D61" s="6">
        <f t="shared" si="1"/>
        <v>0.27299435028248592</v>
      </c>
    </row>
    <row r="62" spans="1:4" x14ac:dyDescent="0.25">
      <c r="A62" s="4">
        <v>43101</v>
      </c>
      <c r="C62" s="5">
        <f t="shared" si="0"/>
        <v>1728.3333333333333</v>
      </c>
    </row>
    <row r="63" spans="1:4" x14ac:dyDescent="0.25">
      <c r="A63" s="4"/>
    </row>
    <row r="64" spans="1:4" x14ac:dyDescent="0.25">
      <c r="A64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BCE7-E81C-4EC8-B3DA-144556B6FCF2}">
  <dimension ref="A1:E64"/>
  <sheetViews>
    <sheetView workbookViewId="0">
      <selection activeCell="P17" sqref="P17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22.42578125" style="5" bestFit="1" customWidth="1"/>
    <col min="4" max="4" width="7.140625" style="6" bestFit="1" customWidth="1"/>
    <col min="5" max="5" width="29.42578125" style="6" bestFit="1" customWidth="1"/>
  </cols>
  <sheetData>
    <row r="1" spans="1:5" x14ac:dyDescent="0.25">
      <c r="A1" t="s">
        <v>24</v>
      </c>
      <c r="B1" t="s">
        <v>25</v>
      </c>
      <c r="C1" s="5" t="s">
        <v>26</v>
      </c>
      <c r="D1" s="6" t="s">
        <v>27</v>
      </c>
      <c r="E1" s="6" t="s">
        <v>28</v>
      </c>
    </row>
    <row r="2" spans="1:5" x14ac:dyDescent="0.25">
      <c r="A2" s="4">
        <v>41275</v>
      </c>
      <c r="B2">
        <v>547</v>
      </c>
      <c r="E2" s="6">
        <f>AVERAGE(D5:D61)</f>
        <v>0.17857717995799713</v>
      </c>
    </row>
    <row r="3" spans="1:5" x14ac:dyDescent="0.25">
      <c r="A3" s="4">
        <v>41306</v>
      </c>
      <c r="B3">
        <v>597</v>
      </c>
    </row>
    <row r="4" spans="1:5" x14ac:dyDescent="0.25">
      <c r="A4" s="4">
        <v>41334</v>
      </c>
      <c r="B4">
        <v>789</v>
      </c>
      <c r="E4" s="8" t="s">
        <v>29</v>
      </c>
    </row>
    <row r="5" spans="1:5" x14ac:dyDescent="0.25">
      <c r="A5" s="4">
        <v>41365</v>
      </c>
      <c r="B5">
        <v>853</v>
      </c>
      <c r="C5" s="5">
        <f>AVERAGE(B2:B4)</f>
        <v>644.33333333333337</v>
      </c>
      <c r="D5" s="6">
        <f>ABS(B5-C5)/B5</f>
        <v>0.24462680734661973</v>
      </c>
      <c r="E5" s="5">
        <f>_xlfn.STDEV.S(B2:B61)</f>
        <v>224.43578725076355</v>
      </c>
    </row>
    <row r="6" spans="1:5" x14ac:dyDescent="0.25">
      <c r="A6" s="4">
        <v>41395</v>
      </c>
      <c r="B6">
        <v>993</v>
      </c>
      <c r="C6" s="5">
        <f t="shared" ref="C6:C62" si="0">AVERAGE(B3:B5)</f>
        <v>746.33333333333337</v>
      </c>
      <c r="D6" s="6">
        <f t="shared" ref="D6:D61" si="1">ABS(B6-C6)/B6</f>
        <v>0.24840550520308824</v>
      </c>
      <c r="E6"/>
    </row>
    <row r="7" spans="1:5" x14ac:dyDescent="0.25">
      <c r="A7" s="4">
        <v>41426</v>
      </c>
      <c r="B7">
        <v>996</v>
      </c>
      <c r="C7" s="5">
        <f t="shared" si="0"/>
        <v>878.33333333333337</v>
      </c>
      <c r="D7" s="6">
        <f t="shared" si="1"/>
        <v>0.11813922356091026</v>
      </c>
      <c r="E7" s="8" t="s">
        <v>32</v>
      </c>
    </row>
    <row r="8" spans="1:5" x14ac:dyDescent="0.25">
      <c r="A8" s="4">
        <v>41456</v>
      </c>
      <c r="B8">
        <v>1105</v>
      </c>
      <c r="C8" s="5">
        <f t="shared" si="0"/>
        <v>947.33333333333337</v>
      </c>
      <c r="D8" s="6">
        <f t="shared" si="1"/>
        <v>0.14268476621417794</v>
      </c>
      <c r="E8" s="6">
        <f>E5/AVERAGE(B2:B61)</f>
        <v>0.22207439617147356</v>
      </c>
    </row>
    <row r="9" spans="1:5" x14ac:dyDescent="0.25">
      <c r="A9" s="4">
        <v>41487</v>
      </c>
      <c r="B9">
        <v>996</v>
      </c>
      <c r="C9" s="5">
        <f t="shared" si="0"/>
        <v>1031.3333333333333</v>
      </c>
      <c r="D9" s="6">
        <f t="shared" si="1"/>
        <v>3.5475234270414914E-2</v>
      </c>
      <c r="E9"/>
    </row>
    <row r="10" spans="1:5" x14ac:dyDescent="0.25">
      <c r="A10" s="4">
        <v>41518</v>
      </c>
      <c r="B10">
        <v>891</v>
      </c>
      <c r="C10" s="5">
        <f t="shared" si="0"/>
        <v>1032.3333333333333</v>
      </c>
      <c r="D10" s="6">
        <f t="shared" si="1"/>
        <v>0.15862326973438076</v>
      </c>
      <c r="E10" s="8" t="s">
        <v>30</v>
      </c>
    </row>
    <row r="11" spans="1:5" x14ac:dyDescent="0.25">
      <c r="A11" s="4">
        <v>41548</v>
      </c>
      <c r="B11">
        <v>776</v>
      </c>
      <c r="C11" s="5">
        <f t="shared" si="0"/>
        <v>997.33333333333337</v>
      </c>
      <c r="D11" s="6">
        <f t="shared" si="1"/>
        <v>0.28522336769759454</v>
      </c>
      <c r="E11" s="5">
        <f>ROUNDUP(1.65*E5*SQRT(0.5),0)</f>
        <v>262</v>
      </c>
    </row>
    <row r="12" spans="1:5" x14ac:dyDescent="0.25">
      <c r="A12" s="4">
        <v>41579</v>
      </c>
      <c r="B12">
        <v>900</v>
      </c>
      <c r="C12" s="5">
        <f t="shared" si="0"/>
        <v>887.66666666666663</v>
      </c>
      <c r="D12" s="6">
        <f t="shared" si="1"/>
        <v>1.3703703703703746E-2</v>
      </c>
      <c r="E12"/>
    </row>
    <row r="13" spans="1:5" x14ac:dyDescent="0.25">
      <c r="A13" s="4">
        <v>41609</v>
      </c>
      <c r="B13">
        <v>657</v>
      </c>
      <c r="C13" s="5">
        <f t="shared" si="0"/>
        <v>855.66666666666663</v>
      </c>
      <c r="D13" s="6">
        <f t="shared" si="1"/>
        <v>0.30238457635717902</v>
      </c>
      <c r="E13" s="8" t="s">
        <v>31</v>
      </c>
    </row>
    <row r="14" spans="1:5" x14ac:dyDescent="0.25">
      <c r="A14" s="4">
        <v>41640</v>
      </c>
      <c r="B14">
        <v>654</v>
      </c>
      <c r="C14" s="5">
        <f t="shared" si="0"/>
        <v>777.66666666666663</v>
      </c>
      <c r="D14" s="6">
        <f t="shared" si="1"/>
        <v>0.18909276248725784</v>
      </c>
      <c r="E14" s="5">
        <f>ROUNDUP((AVERAGE(B2:B61)*0.5)+E11,0)</f>
        <v>768</v>
      </c>
    </row>
    <row r="15" spans="1:5" x14ac:dyDescent="0.25">
      <c r="A15" s="4">
        <v>41671</v>
      </c>
      <c r="B15">
        <v>674</v>
      </c>
      <c r="C15" s="5">
        <f t="shared" si="0"/>
        <v>737</v>
      </c>
      <c r="D15" s="6">
        <f t="shared" si="1"/>
        <v>9.3471810089020765E-2</v>
      </c>
    </row>
    <row r="16" spans="1:5" x14ac:dyDescent="0.25">
      <c r="A16" s="4">
        <v>41699</v>
      </c>
      <c r="B16">
        <v>885</v>
      </c>
      <c r="C16" s="5">
        <f t="shared" si="0"/>
        <v>661.66666666666663</v>
      </c>
      <c r="D16" s="6">
        <f t="shared" si="1"/>
        <v>0.25235404896421848</v>
      </c>
    </row>
    <row r="17" spans="1:4" x14ac:dyDescent="0.25">
      <c r="A17" s="4">
        <v>41730</v>
      </c>
      <c r="B17">
        <v>973</v>
      </c>
      <c r="C17" s="5">
        <f t="shared" si="0"/>
        <v>737.66666666666663</v>
      </c>
      <c r="D17" s="6">
        <f t="shared" si="1"/>
        <v>0.24186365193559442</v>
      </c>
    </row>
    <row r="18" spans="1:4" x14ac:dyDescent="0.25">
      <c r="A18" s="4">
        <v>41760</v>
      </c>
      <c r="B18">
        <v>1168</v>
      </c>
      <c r="C18" s="5">
        <f t="shared" si="0"/>
        <v>844</v>
      </c>
      <c r="D18" s="6">
        <f t="shared" si="1"/>
        <v>0.2773972602739726</v>
      </c>
    </row>
    <row r="19" spans="1:4" x14ac:dyDescent="0.25">
      <c r="A19" s="4">
        <v>41791</v>
      </c>
      <c r="B19">
        <v>1129</v>
      </c>
      <c r="C19" s="5">
        <f t="shared" si="0"/>
        <v>1008.6666666666666</v>
      </c>
      <c r="D19" s="6">
        <f t="shared" si="1"/>
        <v>0.10658399763802778</v>
      </c>
    </row>
    <row r="20" spans="1:4" x14ac:dyDescent="0.25">
      <c r="A20" s="4">
        <v>41821</v>
      </c>
      <c r="B20">
        <v>1204</v>
      </c>
      <c r="C20" s="5">
        <f t="shared" si="0"/>
        <v>1090</v>
      </c>
      <c r="D20" s="6">
        <f t="shared" si="1"/>
        <v>9.4684385382059796E-2</v>
      </c>
    </row>
    <row r="21" spans="1:4" x14ac:dyDescent="0.25">
      <c r="A21" s="4">
        <v>41852</v>
      </c>
      <c r="B21">
        <v>1116</v>
      </c>
      <c r="C21" s="5">
        <f t="shared" si="0"/>
        <v>1167</v>
      </c>
      <c r="D21" s="6">
        <f t="shared" si="1"/>
        <v>4.5698924731182797E-2</v>
      </c>
    </row>
    <row r="22" spans="1:4" x14ac:dyDescent="0.25">
      <c r="A22" s="4">
        <v>41883</v>
      </c>
      <c r="B22">
        <v>971</v>
      </c>
      <c r="C22" s="5">
        <f t="shared" si="0"/>
        <v>1149.6666666666667</v>
      </c>
      <c r="D22" s="6">
        <f t="shared" si="1"/>
        <v>0.1840027463096465</v>
      </c>
    </row>
    <row r="23" spans="1:4" x14ac:dyDescent="0.25">
      <c r="A23" s="4">
        <v>41913</v>
      </c>
      <c r="B23">
        <v>981</v>
      </c>
      <c r="C23" s="5">
        <f t="shared" si="0"/>
        <v>1097</v>
      </c>
      <c r="D23" s="6">
        <f t="shared" si="1"/>
        <v>0.11824668705402651</v>
      </c>
    </row>
    <row r="24" spans="1:4" x14ac:dyDescent="0.25">
      <c r="A24" s="4">
        <v>41944</v>
      </c>
      <c r="B24">
        <v>1020</v>
      </c>
      <c r="C24" s="5">
        <f t="shared" si="0"/>
        <v>1022.6666666666666</v>
      </c>
      <c r="D24" s="6">
        <f t="shared" si="1"/>
        <v>2.6143790849672832E-3</v>
      </c>
    </row>
    <row r="25" spans="1:4" x14ac:dyDescent="0.25">
      <c r="A25" s="4">
        <v>41974</v>
      </c>
      <c r="B25">
        <v>729</v>
      </c>
      <c r="C25" s="5">
        <f t="shared" si="0"/>
        <v>990.66666666666663</v>
      </c>
      <c r="D25" s="6">
        <f t="shared" si="1"/>
        <v>0.3589391860996799</v>
      </c>
    </row>
    <row r="26" spans="1:4" x14ac:dyDescent="0.25">
      <c r="A26" s="4">
        <v>42005</v>
      </c>
      <c r="B26">
        <v>719</v>
      </c>
      <c r="C26" s="5">
        <f t="shared" si="0"/>
        <v>910</v>
      </c>
      <c r="D26" s="6">
        <f t="shared" si="1"/>
        <v>0.26564673157162727</v>
      </c>
    </row>
    <row r="27" spans="1:4" x14ac:dyDescent="0.25">
      <c r="A27" s="4">
        <v>42036</v>
      </c>
      <c r="B27">
        <v>670</v>
      </c>
      <c r="C27" s="5">
        <f t="shared" si="0"/>
        <v>822.66666666666663</v>
      </c>
      <c r="D27" s="6">
        <f t="shared" si="1"/>
        <v>0.22786069651741289</v>
      </c>
    </row>
    <row r="28" spans="1:4" x14ac:dyDescent="0.25">
      <c r="A28" s="4">
        <v>42064</v>
      </c>
      <c r="B28">
        <v>908</v>
      </c>
      <c r="C28" s="5">
        <f t="shared" si="0"/>
        <v>706</v>
      </c>
      <c r="D28" s="6">
        <f t="shared" si="1"/>
        <v>0.22246696035242292</v>
      </c>
    </row>
    <row r="29" spans="1:4" x14ac:dyDescent="0.25">
      <c r="A29" s="4">
        <v>42095</v>
      </c>
      <c r="B29">
        <v>1058</v>
      </c>
      <c r="C29" s="5">
        <f t="shared" si="0"/>
        <v>765.66666666666663</v>
      </c>
      <c r="D29" s="6">
        <f t="shared" si="1"/>
        <v>0.2763074984247007</v>
      </c>
    </row>
    <row r="30" spans="1:4" x14ac:dyDescent="0.25">
      <c r="A30" s="4">
        <v>42125</v>
      </c>
      <c r="B30">
        <v>1236</v>
      </c>
      <c r="C30" s="5">
        <f t="shared" si="0"/>
        <v>878.66666666666663</v>
      </c>
      <c r="D30" s="6">
        <f t="shared" si="1"/>
        <v>0.28910463861920177</v>
      </c>
    </row>
    <row r="31" spans="1:4" x14ac:dyDescent="0.25">
      <c r="A31" s="4">
        <v>42156</v>
      </c>
      <c r="B31">
        <v>1215</v>
      </c>
      <c r="C31" s="5">
        <f t="shared" si="0"/>
        <v>1067.3333333333333</v>
      </c>
      <c r="D31" s="6">
        <f t="shared" si="1"/>
        <v>0.12153635116598085</v>
      </c>
    </row>
    <row r="32" spans="1:4" x14ac:dyDescent="0.25">
      <c r="A32" s="4">
        <v>42186</v>
      </c>
      <c r="B32">
        <v>1325</v>
      </c>
      <c r="C32" s="5">
        <f t="shared" si="0"/>
        <v>1169.6666666666667</v>
      </c>
      <c r="D32" s="6">
        <f t="shared" si="1"/>
        <v>0.11723270440251567</v>
      </c>
    </row>
    <row r="33" spans="1:4" x14ac:dyDescent="0.25">
      <c r="A33" s="4">
        <v>42217</v>
      </c>
      <c r="B33">
        <v>1178</v>
      </c>
      <c r="C33" s="5">
        <f t="shared" si="0"/>
        <v>1258.6666666666667</v>
      </c>
      <c r="D33" s="6">
        <f t="shared" si="1"/>
        <v>6.8477645727221342E-2</v>
      </c>
    </row>
    <row r="34" spans="1:4" x14ac:dyDescent="0.25">
      <c r="A34" s="4">
        <v>42248</v>
      </c>
      <c r="B34">
        <v>1112</v>
      </c>
      <c r="C34" s="5">
        <f t="shared" si="0"/>
        <v>1239.3333333333333</v>
      </c>
      <c r="D34" s="6">
        <f t="shared" si="1"/>
        <v>0.11450839328537163</v>
      </c>
    </row>
    <row r="35" spans="1:4" x14ac:dyDescent="0.25">
      <c r="A35" s="4">
        <v>42278</v>
      </c>
      <c r="B35">
        <v>1041</v>
      </c>
      <c r="C35" s="5">
        <f t="shared" si="0"/>
        <v>1205</v>
      </c>
      <c r="D35" s="6">
        <f t="shared" si="1"/>
        <v>0.15754082612872239</v>
      </c>
    </row>
    <row r="36" spans="1:4" x14ac:dyDescent="0.25">
      <c r="A36" s="4">
        <v>42309</v>
      </c>
      <c r="B36">
        <v>1059</v>
      </c>
      <c r="C36" s="5">
        <f t="shared" si="0"/>
        <v>1110.3333333333333</v>
      </c>
      <c r="D36" s="6">
        <f t="shared" si="1"/>
        <v>4.8473402581051234E-2</v>
      </c>
    </row>
    <row r="37" spans="1:4" x14ac:dyDescent="0.25">
      <c r="A37" s="4">
        <v>42339</v>
      </c>
      <c r="B37">
        <v>750</v>
      </c>
      <c r="C37" s="5">
        <f t="shared" si="0"/>
        <v>1070.6666666666667</v>
      </c>
      <c r="D37" s="6">
        <f t="shared" si="1"/>
        <v>0.42755555555555563</v>
      </c>
    </row>
    <row r="38" spans="1:4" x14ac:dyDescent="0.25">
      <c r="A38" s="4">
        <v>42370</v>
      </c>
      <c r="B38">
        <v>795</v>
      </c>
      <c r="C38" s="5">
        <f t="shared" si="0"/>
        <v>950</v>
      </c>
      <c r="D38" s="6">
        <f t="shared" si="1"/>
        <v>0.19496855345911951</v>
      </c>
    </row>
    <row r="39" spans="1:4" x14ac:dyDescent="0.25">
      <c r="A39" s="4">
        <v>42401</v>
      </c>
      <c r="B39">
        <v>791</v>
      </c>
      <c r="C39" s="5">
        <f t="shared" si="0"/>
        <v>868</v>
      </c>
      <c r="D39" s="6">
        <f t="shared" si="1"/>
        <v>9.7345132743362831E-2</v>
      </c>
    </row>
    <row r="40" spans="1:4" x14ac:dyDescent="0.25">
      <c r="A40" s="4">
        <v>42430</v>
      </c>
      <c r="B40">
        <v>1001</v>
      </c>
      <c r="C40" s="5">
        <f t="shared" si="0"/>
        <v>778.66666666666663</v>
      </c>
      <c r="D40" s="6">
        <f t="shared" si="1"/>
        <v>0.22211122211122214</v>
      </c>
    </row>
    <row r="41" spans="1:4" x14ac:dyDescent="0.25">
      <c r="A41" s="4">
        <v>42461</v>
      </c>
      <c r="B41">
        <v>1113</v>
      </c>
      <c r="C41" s="5">
        <f t="shared" si="0"/>
        <v>862.33333333333337</v>
      </c>
      <c r="D41" s="6">
        <f t="shared" si="1"/>
        <v>0.22521713087750819</v>
      </c>
    </row>
    <row r="42" spans="1:4" x14ac:dyDescent="0.25">
      <c r="A42" s="4">
        <v>42491</v>
      </c>
      <c r="B42">
        <v>1297</v>
      </c>
      <c r="C42" s="5">
        <f t="shared" si="0"/>
        <v>968.33333333333337</v>
      </c>
      <c r="D42" s="6">
        <f t="shared" si="1"/>
        <v>0.25340529426882547</v>
      </c>
    </row>
    <row r="43" spans="1:4" x14ac:dyDescent="0.25">
      <c r="A43" s="4">
        <v>42522</v>
      </c>
      <c r="B43">
        <v>1276</v>
      </c>
      <c r="C43" s="5">
        <f t="shared" si="0"/>
        <v>1137</v>
      </c>
      <c r="D43" s="6">
        <f t="shared" si="1"/>
        <v>0.10893416927899686</v>
      </c>
    </row>
    <row r="44" spans="1:4" x14ac:dyDescent="0.25">
      <c r="A44" s="4">
        <v>42552</v>
      </c>
      <c r="B44">
        <v>1443</v>
      </c>
      <c r="C44" s="5">
        <f t="shared" si="0"/>
        <v>1228.6666666666667</v>
      </c>
      <c r="D44" s="6">
        <f t="shared" si="1"/>
        <v>0.14853314853314847</v>
      </c>
    </row>
    <row r="45" spans="1:4" x14ac:dyDescent="0.25">
      <c r="A45" s="4">
        <v>42583</v>
      </c>
      <c r="B45">
        <v>1197</v>
      </c>
      <c r="C45" s="5">
        <f t="shared" si="0"/>
        <v>1338.6666666666667</v>
      </c>
      <c r="D45" s="6">
        <f t="shared" si="1"/>
        <v>0.11835143414090789</v>
      </c>
    </row>
    <row r="46" spans="1:4" x14ac:dyDescent="0.25">
      <c r="A46" s="4">
        <v>42614</v>
      </c>
      <c r="B46">
        <v>1163</v>
      </c>
      <c r="C46" s="5">
        <f t="shared" si="0"/>
        <v>1305.3333333333333</v>
      </c>
      <c r="D46" s="6">
        <f t="shared" si="1"/>
        <v>0.12238463743192886</v>
      </c>
    </row>
    <row r="47" spans="1:4" x14ac:dyDescent="0.25">
      <c r="A47" s="4">
        <v>42644</v>
      </c>
      <c r="B47">
        <v>1076</v>
      </c>
      <c r="C47" s="5">
        <f t="shared" si="0"/>
        <v>1267.6666666666667</v>
      </c>
      <c r="D47" s="6">
        <f t="shared" si="1"/>
        <v>0.17812887236679065</v>
      </c>
    </row>
    <row r="48" spans="1:4" x14ac:dyDescent="0.25">
      <c r="A48" s="4">
        <v>42675</v>
      </c>
      <c r="B48">
        <v>1134</v>
      </c>
      <c r="C48" s="5">
        <f t="shared" si="0"/>
        <v>1145.3333333333333</v>
      </c>
      <c r="D48" s="6">
        <f t="shared" si="1"/>
        <v>9.9941211052321493E-3</v>
      </c>
    </row>
    <row r="49" spans="1:4" x14ac:dyDescent="0.25">
      <c r="A49" s="4">
        <v>42705</v>
      </c>
      <c r="B49">
        <v>831</v>
      </c>
      <c r="C49" s="5">
        <f t="shared" si="0"/>
        <v>1124.3333333333333</v>
      </c>
      <c r="D49" s="6">
        <f t="shared" si="1"/>
        <v>0.35298836742880058</v>
      </c>
    </row>
    <row r="50" spans="1:4" x14ac:dyDescent="0.25">
      <c r="A50" s="4">
        <v>42736</v>
      </c>
      <c r="B50">
        <v>788</v>
      </c>
      <c r="C50" s="5">
        <f t="shared" si="0"/>
        <v>1013.6666666666666</v>
      </c>
      <c r="D50" s="6">
        <f t="shared" si="1"/>
        <v>0.28637901861252113</v>
      </c>
    </row>
    <row r="51" spans="1:4" x14ac:dyDescent="0.25">
      <c r="A51" s="4">
        <v>42767</v>
      </c>
      <c r="B51">
        <v>777</v>
      </c>
      <c r="C51" s="5">
        <f t="shared" si="0"/>
        <v>917.66666666666663</v>
      </c>
      <c r="D51" s="6">
        <f t="shared" si="1"/>
        <v>0.18103818103818098</v>
      </c>
    </row>
    <row r="52" spans="1:4" x14ac:dyDescent="0.25">
      <c r="A52" s="4">
        <v>42795</v>
      </c>
      <c r="B52">
        <v>1023</v>
      </c>
      <c r="C52" s="5">
        <f t="shared" si="0"/>
        <v>798.66666666666663</v>
      </c>
      <c r="D52" s="6">
        <f t="shared" si="1"/>
        <v>0.21928967090257417</v>
      </c>
    </row>
    <row r="53" spans="1:4" x14ac:dyDescent="0.25">
      <c r="A53" s="4">
        <v>42826</v>
      </c>
      <c r="B53">
        <v>1207</v>
      </c>
      <c r="C53" s="5">
        <f t="shared" si="0"/>
        <v>862.66666666666663</v>
      </c>
      <c r="D53" s="6">
        <f t="shared" si="1"/>
        <v>0.28528030930682136</v>
      </c>
    </row>
    <row r="54" spans="1:4" x14ac:dyDescent="0.25">
      <c r="A54" s="4">
        <v>42856</v>
      </c>
      <c r="B54">
        <v>1387</v>
      </c>
      <c r="C54" s="5">
        <f t="shared" si="0"/>
        <v>1002.3333333333334</v>
      </c>
      <c r="D54" s="6">
        <f t="shared" si="1"/>
        <v>0.27733717856284545</v>
      </c>
    </row>
    <row r="55" spans="1:4" x14ac:dyDescent="0.25">
      <c r="A55" s="4">
        <v>42887</v>
      </c>
      <c r="B55">
        <v>1356</v>
      </c>
      <c r="C55" s="5">
        <f t="shared" si="0"/>
        <v>1205.6666666666667</v>
      </c>
      <c r="D55" s="6">
        <f t="shared" si="1"/>
        <v>0.11086529006882984</v>
      </c>
    </row>
    <row r="56" spans="1:4" x14ac:dyDescent="0.25">
      <c r="A56" s="4">
        <v>42917</v>
      </c>
      <c r="B56">
        <v>1501</v>
      </c>
      <c r="C56" s="5">
        <f t="shared" si="0"/>
        <v>1316.6666666666667</v>
      </c>
      <c r="D56" s="6">
        <f t="shared" si="1"/>
        <v>0.1228070175438596</v>
      </c>
    </row>
    <row r="57" spans="1:4" x14ac:dyDescent="0.25">
      <c r="A57" s="4">
        <v>42948</v>
      </c>
      <c r="B57">
        <v>1278</v>
      </c>
      <c r="C57" s="5">
        <f t="shared" si="0"/>
        <v>1414.6666666666667</v>
      </c>
      <c r="D57" s="6">
        <f t="shared" si="1"/>
        <v>0.10693792383933234</v>
      </c>
    </row>
    <row r="58" spans="1:4" x14ac:dyDescent="0.25">
      <c r="A58" s="4">
        <v>42979</v>
      </c>
      <c r="B58">
        <v>1200</v>
      </c>
      <c r="C58" s="5">
        <f t="shared" si="0"/>
        <v>1378.3333333333333</v>
      </c>
      <c r="D58" s="6">
        <f t="shared" si="1"/>
        <v>0.14861111111111105</v>
      </c>
    </row>
    <row r="59" spans="1:4" x14ac:dyDescent="0.25">
      <c r="A59" s="4">
        <v>43009</v>
      </c>
      <c r="B59">
        <v>1100</v>
      </c>
      <c r="C59" s="5">
        <f t="shared" si="0"/>
        <v>1326.3333333333333</v>
      </c>
      <c r="D59" s="6">
        <f t="shared" si="1"/>
        <v>0.20575757575757569</v>
      </c>
    </row>
    <row r="60" spans="1:4" x14ac:dyDescent="0.25">
      <c r="A60" s="4">
        <v>43040</v>
      </c>
      <c r="B60">
        <v>1156</v>
      </c>
      <c r="C60" s="5">
        <f t="shared" si="0"/>
        <v>1192.6666666666667</v>
      </c>
      <c r="D60" s="6">
        <f t="shared" si="1"/>
        <v>3.1718569780853585E-2</v>
      </c>
    </row>
    <row r="61" spans="1:4" x14ac:dyDescent="0.25">
      <c r="A61" s="4">
        <v>43070</v>
      </c>
      <c r="B61">
        <v>873</v>
      </c>
      <c r="C61" s="5">
        <f t="shared" si="0"/>
        <v>1152</v>
      </c>
      <c r="D61" s="6">
        <f t="shared" si="1"/>
        <v>0.31958762886597936</v>
      </c>
    </row>
    <row r="62" spans="1:4" x14ac:dyDescent="0.25">
      <c r="A62" s="4">
        <v>43101</v>
      </c>
      <c r="C62" s="5">
        <f t="shared" si="0"/>
        <v>1043</v>
      </c>
    </row>
    <row r="63" spans="1:4" x14ac:dyDescent="0.25">
      <c r="A63" s="4"/>
    </row>
    <row r="64" spans="1:4" x14ac:dyDescent="0.25">
      <c r="A64" s="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AB3D-8EE9-42EB-ADC4-FE217177B9DC}">
  <dimension ref="A1:E64"/>
  <sheetViews>
    <sheetView workbookViewId="0">
      <selection activeCell="F29" sqref="F29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22.42578125" style="5" bestFit="1" customWidth="1"/>
    <col min="4" max="4" width="7.140625" style="6" bestFit="1" customWidth="1"/>
    <col min="5" max="5" width="29.42578125" style="6" bestFit="1" customWidth="1"/>
  </cols>
  <sheetData>
    <row r="1" spans="1:5" x14ac:dyDescent="0.25">
      <c r="A1" t="s">
        <v>24</v>
      </c>
      <c r="B1" t="s">
        <v>25</v>
      </c>
      <c r="C1" s="5" t="s">
        <v>26</v>
      </c>
      <c r="D1" s="6" t="s">
        <v>27</v>
      </c>
      <c r="E1" s="6" t="s">
        <v>28</v>
      </c>
    </row>
    <row r="2" spans="1:5" x14ac:dyDescent="0.25">
      <c r="A2" s="4">
        <v>41275</v>
      </c>
      <c r="B2">
        <v>346</v>
      </c>
      <c r="E2" s="6">
        <f>AVERAGE(D5:D61)</f>
        <v>0.17614708497174494</v>
      </c>
    </row>
    <row r="3" spans="1:5" x14ac:dyDescent="0.25">
      <c r="A3" s="4">
        <v>41306</v>
      </c>
      <c r="B3">
        <v>340</v>
      </c>
    </row>
    <row r="4" spans="1:5" x14ac:dyDescent="0.25">
      <c r="A4" s="4">
        <v>41334</v>
      </c>
      <c r="B4">
        <v>467</v>
      </c>
      <c r="E4" s="8" t="s">
        <v>29</v>
      </c>
    </row>
    <row r="5" spans="1:5" x14ac:dyDescent="0.25">
      <c r="A5" s="4">
        <v>41365</v>
      </c>
      <c r="B5">
        <v>514</v>
      </c>
      <c r="C5" s="5">
        <f>AVERAGE(B2:B4)</f>
        <v>384.33333333333331</v>
      </c>
      <c r="D5" s="6">
        <f>ABS(B5-C5)/B5</f>
        <v>0.25226977950713364</v>
      </c>
      <c r="E5" s="5">
        <f>_xlfn.STDEV.S(B2:B61)</f>
        <v>133.66206650579232</v>
      </c>
    </row>
    <row r="6" spans="1:5" x14ac:dyDescent="0.25">
      <c r="A6" s="4">
        <v>41395</v>
      </c>
      <c r="B6">
        <v>632</v>
      </c>
      <c r="C6" s="5">
        <f t="shared" ref="C6:C62" si="0">AVERAGE(B3:B5)</f>
        <v>440.33333333333331</v>
      </c>
      <c r="D6" s="6">
        <f t="shared" ref="D6:D61" si="1">ABS(B6-C6)/B6</f>
        <v>0.30327004219409287</v>
      </c>
      <c r="E6"/>
    </row>
    <row r="7" spans="1:5" x14ac:dyDescent="0.25">
      <c r="A7" s="4">
        <v>41426</v>
      </c>
      <c r="B7">
        <v>599</v>
      </c>
      <c r="C7" s="5">
        <f t="shared" si="0"/>
        <v>537.66666666666663</v>
      </c>
      <c r="D7" s="6">
        <f t="shared" si="1"/>
        <v>0.10239287701725104</v>
      </c>
      <c r="E7" s="8" t="s">
        <v>32</v>
      </c>
    </row>
    <row r="8" spans="1:5" x14ac:dyDescent="0.25">
      <c r="A8" s="4">
        <v>41456</v>
      </c>
      <c r="B8">
        <v>626</v>
      </c>
      <c r="C8" s="5">
        <f t="shared" si="0"/>
        <v>581.66666666666663</v>
      </c>
      <c r="D8" s="6">
        <f t="shared" si="1"/>
        <v>7.082002129925459E-2</v>
      </c>
      <c r="E8" s="6">
        <f>E5/AVERAGE(B2:B61)</f>
        <v>0.22008024122797856</v>
      </c>
    </row>
    <row r="9" spans="1:5" x14ac:dyDescent="0.25">
      <c r="A9" s="4">
        <v>41487</v>
      </c>
      <c r="B9">
        <v>580</v>
      </c>
      <c r="C9" s="5">
        <f t="shared" si="0"/>
        <v>619</v>
      </c>
      <c r="D9" s="6">
        <f t="shared" si="1"/>
        <v>6.7241379310344823E-2</v>
      </c>
      <c r="E9"/>
    </row>
    <row r="10" spans="1:5" x14ac:dyDescent="0.25">
      <c r="A10" s="4">
        <v>41518</v>
      </c>
      <c r="B10">
        <v>554</v>
      </c>
      <c r="C10" s="5">
        <f t="shared" si="0"/>
        <v>601.66666666666663</v>
      </c>
      <c r="D10" s="6">
        <f t="shared" si="1"/>
        <v>8.6040914560770093E-2</v>
      </c>
      <c r="E10" s="8" t="s">
        <v>30</v>
      </c>
    </row>
    <row r="11" spans="1:5" x14ac:dyDescent="0.25">
      <c r="A11" s="4">
        <v>41548</v>
      </c>
      <c r="B11">
        <v>475</v>
      </c>
      <c r="C11" s="5">
        <f t="shared" si="0"/>
        <v>586.66666666666663</v>
      </c>
      <c r="D11" s="6">
        <f t="shared" si="1"/>
        <v>0.23508771929824554</v>
      </c>
      <c r="E11" s="5">
        <f>ROUNDUP(1.65*E5*SQRT(0.5),0)</f>
        <v>156</v>
      </c>
    </row>
    <row r="12" spans="1:5" x14ac:dyDescent="0.25">
      <c r="A12" s="4">
        <v>41579</v>
      </c>
      <c r="B12">
        <v>519</v>
      </c>
      <c r="C12" s="5">
        <f t="shared" si="0"/>
        <v>536.33333333333337</v>
      </c>
      <c r="D12" s="6">
        <f t="shared" si="1"/>
        <v>3.3397559409120176E-2</v>
      </c>
      <c r="E12"/>
    </row>
    <row r="13" spans="1:5" x14ac:dyDescent="0.25">
      <c r="A13" s="4">
        <v>41609</v>
      </c>
      <c r="B13">
        <v>393</v>
      </c>
      <c r="C13" s="5">
        <f t="shared" si="0"/>
        <v>516</v>
      </c>
      <c r="D13" s="6">
        <f t="shared" si="1"/>
        <v>0.31297709923664124</v>
      </c>
      <c r="E13" s="8" t="s">
        <v>31</v>
      </c>
    </row>
    <row r="14" spans="1:5" x14ac:dyDescent="0.25">
      <c r="A14" s="4">
        <v>41640</v>
      </c>
      <c r="B14">
        <v>366</v>
      </c>
      <c r="C14" s="5">
        <f t="shared" si="0"/>
        <v>462.33333333333331</v>
      </c>
      <c r="D14" s="6">
        <f t="shared" si="1"/>
        <v>0.26320582877959919</v>
      </c>
      <c r="E14" s="5">
        <f>ROUNDUP((AVERAGE(B2:B61)*0.5)+E11,0)</f>
        <v>460</v>
      </c>
    </row>
    <row r="15" spans="1:5" x14ac:dyDescent="0.25">
      <c r="A15" s="4">
        <v>41671</v>
      </c>
      <c r="B15">
        <v>415</v>
      </c>
      <c r="C15" s="5">
        <f t="shared" si="0"/>
        <v>426</v>
      </c>
      <c r="D15" s="6">
        <f t="shared" si="1"/>
        <v>2.6506024096385541E-2</v>
      </c>
    </row>
    <row r="16" spans="1:5" x14ac:dyDescent="0.25">
      <c r="A16" s="4">
        <v>41699</v>
      </c>
      <c r="B16">
        <v>524</v>
      </c>
      <c r="C16" s="5">
        <f t="shared" si="0"/>
        <v>391.33333333333331</v>
      </c>
      <c r="D16" s="6">
        <f t="shared" si="1"/>
        <v>0.25318066157760816</v>
      </c>
    </row>
    <row r="17" spans="1:4" x14ac:dyDescent="0.25">
      <c r="A17" s="4">
        <v>41730</v>
      </c>
      <c r="B17">
        <v>631</v>
      </c>
      <c r="C17" s="5">
        <f t="shared" si="0"/>
        <v>435</v>
      </c>
      <c r="D17" s="6">
        <f t="shared" si="1"/>
        <v>0.31061806656101426</v>
      </c>
    </row>
    <row r="18" spans="1:4" x14ac:dyDescent="0.25">
      <c r="A18" s="4">
        <v>41760</v>
      </c>
      <c r="B18">
        <v>645</v>
      </c>
      <c r="C18" s="5">
        <f t="shared" si="0"/>
        <v>523.33333333333337</v>
      </c>
      <c r="D18" s="6">
        <f t="shared" si="1"/>
        <v>0.18863049095607229</v>
      </c>
    </row>
    <row r="19" spans="1:4" x14ac:dyDescent="0.25">
      <c r="A19" s="4">
        <v>41791</v>
      </c>
      <c r="B19">
        <v>693</v>
      </c>
      <c r="C19" s="5">
        <f t="shared" si="0"/>
        <v>600</v>
      </c>
      <c r="D19" s="6">
        <f t="shared" si="1"/>
        <v>0.13419913419913421</v>
      </c>
    </row>
    <row r="20" spans="1:4" x14ac:dyDescent="0.25">
      <c r="A20" s="4">
        <v>41821</v>
      </c>
      <c r="B20">
        <v>791</v>
      </c>
      <c r="C20" s="5">
        <f t="shared" si="0"/>
        <v>656.33333333333337</v>
      </c>
      <c r="D20" s="6">
        <f t="shared" si="1"/>
        <v>0.17024863042562152</v>
      </c>
    </row>
    <row r="21" spans="1:4" x14ac:dyDescent="0.25">
      <c r="A21" s="4">
        <v>41852</v>
      </c>
      <c r="B21">
        <v>705</v>
      </c>
      <c r="C21" s="5">
        <f t="shared" si="0"/>
        <v>709.66666666666663</v>
      </c>
      <c r="D21" s="6">
        <f t="shared" si="1"/>
        <v>6.6193853427895443E-3</v>
      </c>
    </row>
    <row r="22" spans="1:4" x14ac:dyDescent="0.25">
      <c r="A22" s="4">
        <v>41883</v>
      </c>
      <c r="B22">
        <v>605</v>
      </c>
      <c r="C22" s="5">
        <f t="shared" si="0"/>
        <v>729.66666666666663</v>
      </c>
      <c r="D22" s="6">
        <f t="shared" si="1"/>
        <v>0.206060606060606</v>
      </c>
    </row>
    <row r="23" spans="1:4" x14ac:dyDescent="0.25">
      <c r="A23" s="4">
        <v>41913</v>
      </c>
      <c r="B23">
        <v>541</v>
      </c>
      <c r="C23" s="5">
        <f t="shared" si="0"/>
        <v>700.33333333333337</v>
      </c>
      <c r="D23" s="6">
        <f t="shared" si="1"/>
        <v>0.29451632778804687</v>
      </c>
    </row>
    <row r="24" spans="1:4" x14ac:dyDescent="0.25">
      <c r="A24" s="4">
        <v>41944</v>
      </c>
      <c r="B24">
        <v>640</v>
      </c>
      <c r="C24" s="5">
        <f t="shared" si="0"/>
        <v>617</v>
      </c>
      <c r="D24" s="6">
        <f t="shared" si="1"/>
        <v>3.5937499999999997E-2</v>
      </c>
    </row>
    <row r="25" spans="1:4" x14ac:dyDescent="0.25">
      <c r="A25" s="4">
        <v>41974</v>
      </c>
      <c r="B25">
        <v>474</v>
      </c>
      <c r="C25" s="5">
        <f t="shared" si="0"/>
        <v>595.33333333333337</v>
      </c>
      <c r="D25" s="6">
        <f t="shared" si="1"/>
        <v>0.25597749648382567</v>
      </c>
    </row>
    <row r="26" spans="1:4" x14ac:dyDescent="0.25">
      <c r="A26" s="4">
        <v>42005</v>
      </c>
      <c r="B26">
        <v>454</v>
      </c>
      <c r="C26" s="5">
        <f t="shared" si="0"/>
        <v>551.66666666666663</v>
      </c>
      <c r="D26" s="6">
        <f t="shared" si="1"/>
        <v>0.21512481644640227</v>
      </c>
    </row>
    <row r="27" spans="1:4" x14ac:dyDescent="0.25">
      <c r="A27" s="4">
        <v>42036</v>
      </c>
      <c r="B27">
        <v>407</v>
      </c>
      <c r="C27" s="5">
        <f t="shared" si="0"/>
        <v>522.66666666666663</v>
      </c>
      <c r="D27" s="6">
        <f t="shared" si="1"/>
        <v>0.2841932841932841</v>
      </c>
    </row>
    <row r="28" spans="1:4" x14ac:dyDescent="0.25">
      <c r="A28" s="4">
        <v>42064</v>
      </c>
      <c r="B28">
        <v>552</v>
      </c>
      <c r="C28" s="5">
        <f t="shared" si="0"/>
        <v>445</v>
      </c>
      <c r="D28" s="6">
        <f t="shared" si="1"/>
        <v>0.19384057971014493</v>
      </c>
    </row>
    <row r="29" spans="1:4" x14ac:dyDescent="0.25">
      <c r="A29" s="4">
        <v>42095</v>
      </c>
      <c r="B29">
        <v>666</v>
      </c>
      <c r="C29" s="5">
        <f t="shared" si="0"/>
        <v>471</v>
      </c>
      <c r="D29" s="6">
        <f t="shared" si="1"/>
        <v>0.2927927927927928</v>
      </c>
    </row>
    <row r="30" spans="1:4" x14ac:dyDescent="0.25">
      <c r="A30" s="4">
        <v>42125</v>
      </c>
      <c r="B30">
        <v>732</v>
      </c>
      <c r="C30" s="5">
        <f t="shared" si="0"/>
        <v>541.66666666666663</v>
      </c>
      <c r="D30" s="6">
        <f t="shared" si="1"/>
        <v>0.26001821493624777</v>
      </c>
    </row>
    <row r="31" spans="1:4" x14ac:dyDescent="0.25">
      <c r="A31" s="4">
        <v>42156</v>
      </c>
      <c r="B31">
        <v>686</v>
      </c>
      <c r="C31" s="5">
        <f t="shared" si="0"/>
        <v>650</v>
      </c>
      <c r="D31" s="6">
        <f t="shared" si="1"/>
        <v>5.2478134110787174E-2</v>
      </c>
    </row>
    <row r="32" spans="1:4" x14ac:dyDescent="0.25">
      <c r="A32" s="4">
        <v>42186</v>
      </c>
      <c r="B32">
        <v>783</v>
      </c>
      <c r="C32" s="5">
        <f t="shared" si="0"/>
        <v>694.66666666666663</v>
      </c>
      <c r="D32" s="6">
        <f t="shared" si="1"/>
        <v>0.11281396338867608</v>
      </c>
    </row>
    <row r="33" spans="1:4" x14ac:dyDescent="0.25">
      <c r="A33" s="4">
        <v>42217</v>
      </c>
      <c r="B33">
        <v>691</v>
      </c>
      <c r="C33" s="5">
        <f t="shared" si="0"/>
        <v>733.66666666666663</v>
      </c>
      <c r="D33" s="6">
        <f t="shared" si="1"/>
        <v>6.1746261456825803E-2</v>
      </c>
    </row>
    <row r="34" spans="1:4" x14ac:dyDescent="0.25">
      <c r="A34" s="4">
        <v>42248</v>
      </c>
      <c r="B34">
        <v>650</v>
      </c>
      <c r="C34" s="5">
        <f t="shared" si="0"/>
        <v>720</v>
      </c>
      <c r="D34" s="6">
        <f t="shared" si="1"/>
        <v>0.1076923076923077</v>
      </c>
    </row>
    <row r="35" spans="1:4" x14ac:dyDescent="0.25">
      <c r="A35" s="4">
        <v>42278</v>
      </c>
      <c r="B35">
        <v>604</v>
      </c>
      <c r="C35" s="5">
        <f t="shared" si="0"/>
        <v>708</v>
      </c>
      <c r="D35" s="6">
        <f t="shared" si="1"/>
        <v>0.17218543046357615</v>
      </c>
    </row>
    <row r="36" spans="1:4" x14ac:dyDescent="0.25">
      <c r="A36" s="4">
        <v>42309</v>
      </c>
      <c r="B36">
        <v>605</v>
      </c>
      <c r="C36" s="5">
        <f t="shared" si="0"/>
        <v>648.33333333333337</v>
      </c>
      <c r="D36" s="6">
        <f t="shared" si="1"/>
        <v>7.1625344352617137E-2</v>
      </c>
    </row>
    <row r="37" spans="1:4" x14ac:dyDescent="0.25">
      <c r="A37" s="4">
        <v>42339</v>
      </c>
      <c r="B37">
        <v>461</v>
      </c>
      <c r="C37" s="5">
        <f t="shared" si="0"/>
        <v>619.66666666666663</v>
      </c>
      <c r="D37" s="6">
        <f t="shared" si="1"/>
        <v>0.34417932031814885</v>
      </c>
    </row>
    <row r="38" spans="1:4" x14ac:dyDescent="0.25">
      <c r="A38" s="4">
        <v>42370</v>
      </c>
      <c r="B38">
        <v>447</v>
      </c>
      <c r="C38" s="5">
        <f t="shared" si="0"/>
        <v>556.66666666666663</v>
      </c>
      <c r="D38" s="6">
        <f t="shared" si="1"/>
        <v>0.24533929903057411</v>
      </c>
    </row>
    <row r="39" spans="1:4" x14ac:dyDescent="0.25">
      <c r="A39" s="4">
        <v>42401</v>
      </c>
      <c r="B39">
        <v>491</v>
      </c>
      <c r="C39" s="5">
        <f t="shared" si="0"/>
        <v>504.33333333333331</v>
      </c>
      <c r="D39" s="6">
        <f t="shared" si="1"/>
        <v>2.7155465037338726E-2</v>
      </c>
    </row>
    <row r="40" spans="1:4" x14ac:dyDescent="0.25">
      <c r="A40" s="4">
        <v>42430</v>
      </c>
      <c r="B40">
        <v>594</v>
      </c>
      <c r="C40" s="5">
        <f t="shared" si="0"/>
        <v>466.33333333333331</v>
      </c>
      <c r="D40" s="6">
        <f t="shared" si="1"/>
        <v>0.21492704826038161</v>
      </c>
    </row>
    <row r="41" spans="1:4" x14ac:dyDescent="0.25">
      <c r="A41" s="4">
        <v>42461</v>
      </c>
      <c r="B41">
        <v>706</v>
      </c>
      <c r="C41" s="5">
        <f t="shared" si="0"/>
        <v>510.66666666666669</v>
      </c>
      <c r="D41" s="6">
        <f t="shared" si="1"/>
        <v>0.27667610953729932</v>
      </c>
    </row>
    <row r="42" spans="1:4" x14ac:dyDescent="0.25">
      <c r="A42" s="4">
        <v>42491</v>
      </c>
      <c r="B42">
        <v>779</v>
      </c>
      <c r="C42" s="5">
        <f t="shared" si="0"/>
        <v>597</v>
      </c>
      <c r="D42" s="6">
        <f t="shared" si="1"/>
        <v>0.23363286264441591</v>
      </c>
    </row>
    <row r="43" spans="1:4" x14ac:dyDescent="0.25">
      <c r="A43" s="4">
        <v>42522</v>
      </c>
      <c r="B43">
        <v>810</v>
      </c>
      <c r="C43" s="5">
        <f t="shared" si="0"/>
        <v>693</v>
      </c>
      <c r="D43" s="6">
        <f t="shared" si="1"/>
        <v>0.14444444444444443</v>
      </c>
    </row>
    <row r="44" spans="1:4" x14ac:dyDescent="0.25">
      <c r="A44" s="4">
        <v>42552</v>
      </c>
      <c r="B44">
        <v>856</v>
      </c>
      <c r="C44" s="5">
        <f t="shared" si="0"/>
        <v>765</v>
      </c>
      <c r="D44" s="6">
        <f t="shared" si="1"/>
        <v>0.10630841121495327</v>
      </c>
    </row>
    <row r="45" spans="1:4" x14ac:dyDescent="0.25">
      <c r="A45" s="4">
        <v>42583</v>
      </c>
      <c r="B45">
        <v>739</v>
      </c>
      <c r="C45" s="5">
        <f t="shared" si="0"/>
        <v>815</v>
      </c>
      <c r="D45" s="6">
        <f t="shared" si="1"/>
        <v>0.10284167794316644</v>
      </c>
    </row>
    <row r="46" spans="1:4" x14ac:dyDescent="0.25">
      <c r="A46" s="4">
        <v>42614</v>
      </c>
      <c r="B46">
        <v>689</v>
      </c>
      <c r="C46" s="5">
        <f t="shared" si="0"/>
        <v>801.66666666666663</v>
      </c>
      <c r="D46" s="6">
        <f t="shared" si="1"/>
        <v>0.16352201257861629</v>
      </c>
    </row>
    <row r="47" spans="1:4" x14ac:dyDescent="0.25">
      <c r="A47" s="4">
        <v>42644</v>
      </c>
      <c r="B47">
        <v>687</v>
      </c>
      <c r="C47" s="5">
        <f t="shared" si="0"/>
        <v>761.33333333333337</v>
      </c>
      <c r="D47" s="6">
        <f t="shared" si="1"/>
        <v>0.10819990295972834</v>
      </c>
    </row>
    <row r="48" spans="1:4" x14ac:dyDescent="0.25">
      <c r="A48" s="4">
        <v>42675</v>
      </c>
      <c r="B48">
        <v>643</v>
      </c>
      <c r="C48" s="5">
        <f t="shared" si="0"/>
        <v>705</v>
      </c>
      <c r="D48" s="6">
        <f t="shared" si="1"/>
        <v>9.6423017107309481E-2</v>
      </c>
    </row>
    <row r="49" spans="1:4" x14ac:dyDescent="0.25">
      <c r="A49" s="4">
        <v>42705</v>
      </c>
      <c r="B49">
        <v>555</v>
      </c>
      <c r="C49" s="5">
        <f t="shared" si="0"/>
        <v>673</v>
      </c>
      <c r="D49" s="6">
        <f t="shared" si="1"/>
        <v>0.21261261261261261</v>
      </c>
    </row>
    <row r="50" spans="1:4" x14ac:dyDescent="0.25">
      <c r="A50" s="4">
        <v>42736</v>
      </c>
      <c r="B50">
        <v>488</v>
      </c>
      <c r="C50" s="5">
        <f t="shared" si="0"/>
        <v>628.33333333333337</v>
      </c>
      <c r="D50" s="6">
        <f t="shared" si="1"/>
        <v>0.28756830601092903</v>
      </c>
    </row>
    <row r="51" spans="1:4" x14ac:dyDescent="0.25">
      <c r="A51" s="4">
        <v>42767</v>
      </c>
      <c r="B51">
        <v>464</v>
      </c>
      <c r="C51" s="5">
        <f t="shared" si="0"/>
        <v>562</v>
      </c>
      <c r="D51" s="6">
        <f t="shared" si="1"/>
        <v>0.21120689655172414</v>
      </c>
    </row>
    <row r="52" spans="1:4" x14ac:dyDescent="0.25">
      <c r="A52" s="4">
        <v>42795</v>
      </c>
      <c r="B52">
        <v>622</v>
      </c>
      <c r="C52" s="5">
        <f t="shared" si="0"/>
        <v>502.33333333333331</v>
      </c>
      <c r="D52" s="6">
        <f t="shared" si="1"/>
        <v>0.192390139335477</v>
      </c>
    </row>
    <row r="53" spans="1:4" x14ac:dyDescent="0.25">
      <c r="A53" s="4">
        <v>42826</v>
      </c>
      <c r="B53">
        <v>724</v>
      </c>
      <c r="C53" s="5">
        <f t="shared" si="0"/>
        <v>524.66666666666663</v>
      </c>
      <c r="D53" s="6">
        <f t="shared" si="1"/>
        <v>0.2753222836095765</v>
      </c>
    </row>
    <row r="54" spans="1:4" x14ac:dyDescent="0.25">
      <c r="A54" s="4">
        <v>42856</v>
      </c>
      <c r="B54">
        <v>742</v>
      </c>
      <c r="C54" s="5">
        <f t="shared" si="0"/>
        <v>603.33333333333337</v>
      </c>
      <c r="D54" s="6">
        <f t="shared" si="1"/>
        <v>0.18688230008984721</v>
      </c>
    </row>
    <row r="55" spans="1:4" x14ac:dyDescent="0.25">
      <c r="A55" s="4">
        <v>42887</v>
      </c>
      <c r="B55">
        <v>814</v>
      </c>
      <c r="C55" s="5">
        <f t="shared" si="0"/>
        <v>696</v>
      </c>
      <c r="D55" s="6">
        <f t="shared" si="1"/>
        <v>0.14496314496314497</v>
      </c>
    </row>
    <row r="56" spans="1:4" x14ac:dyDescent="0.25">
      <c r="A56" s="4">
        <v>42917</v>
      </c>
      <c r="B56">
        <v>917</v>
      </c>
      <c r="C56" s="5">
        <f t="shared" si="0"/>
        <v>760</v>
      </c>
      <c r="D56" s="6">
        <f t="shared" si="1"/>
        <v>0.17121046892039257</v>
      </c>
    </row>
    <row r="57" spans="1:4" x14ac:dyDescent="0.25">
      <c r="A57" s="4">
        <v>42948</v>
      </c>
      <c r="B57">
        <v>780</v>
      </c>
      <c r="C57" s="5">
        <f t="shared" si="0"/>
        <v>824.33333333333337</v>
      </c>
      <c r="D57" s="6">
        <f t="shared" si="1"/>
        <v>5.6837606837606885E-2</v>
      </c>
    </row>
    <row r="58" spans="1:4" x14ac:dyDescent="0.25">
      <c r="A58" s="4">
        <v>42979</v>
      </c>
      <c r="B58">
        <v>649</v>
      </c>
      <c r="C58" s="5">
        <f t="shared" si="0"/>
        <v>837</v>
      </c>
      <c r="D58" s="6">
        <f t="shared" si="1"/>
        <v>0.2896764252696456</v>
      </c>
    </row>
    <row r="59" spans="1:4" x14ac:dyDescent="0.25">
      <c r="A59" s="4">
        <v>43009</v>
      </c>
      <c r="B59">
        <v>680</v>
      </c>
      <c r="C59" s="5">
        <f t="shared" si="0"/>
        <v>782</v>
      </c>
      <c r="D59" s="6">
        <f t="shared" si="1"/>
        <v>0.15</v>
      </c>
    </row>
    <row r="60" spans="1:4" x14ac:dyDescent="0.25">
      <c r="A60" s="4">
        <v>43040</v>
      </c>
      <c r="B60">
        <v>701</v>
      </c>
      <c r="C60" s="5">
        <f t="shared" si="0"/>
        <v>703</v>
      </c>
      <c r="D60" s="6">
        <f t="shared" si="1"/>
        <v>2.8530670470756064E-3</v>
      </c>
    </row>
    <row r="61" spans="1:4" x14ac:dyDescent="0.25">
      <c r="A61" s="4">
        <v>43070</v>
      </c>
      <c r="B61">
        <v>497</v>
      </c>
      <c r="C61" s="5">
        <f t="shared" si="0"/>
        <v>676.66666666666663</v>
      </c>
      <c r="D61" s="6">
        <f t="shared" si="1"/>
        <v>0.36150234741784032</v>
      </c>
    </row>
    <row r="62" spans="1:4" x14ac:dyDescent="0.25">
      <c r="A62" s="4">
        <v>43101</v>
      </c>
      <c r="C62" s="5">
        <f t="shared" si="0"/>
        <v>626</v>
      </c>
    </row>
    <row r="63" spans="1:4" x14ac:dyDescent="0.25">
      <c r="A63" s="4"/>
    </row>
    <row r="64" spans="1:4" x14ac:dyDescent="0.25">
      <c r="A64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393F-340B-45F7-811E-EB3514B4DE13}">
  <dimension ref="A1:E64"/>
  <sheetViews>
    <sheetView workbookViewId="0">
      <selection activeCell="O19" sqref="O19"/>
    </sheetView>
  </sheetViews>
  <sheetFormatPr defaultRowHeight="15" x14ac:dyDescent="0.25"/>
  <cols>
    <col min="1" max="1" width="7.28515625" bestFit="1" customWidth="1"/>
    <col min="2" max="2" width="11.7109375" bestFit="1" customWidth="1"/>
    <col min="3" max="3" width="22.42578125" style="5" bestFit="1" customWidth="1"/>
    <col min="4" max="4" width="7.140625" style="6" bestFit="1" customWidth="1"/>
    <col min="5" max="5" width="29.42578125" bestFit="1" customWidth="1"/>
  </cols>
  <sheetData>
    <row r="1" spans="1:5" x14ac:dyDescent="0.25">
      <c r="A1" t="s">
        <v>24</v>
      </c>
      <c r="B1" t="s">
        <v>25</v>
      </c>
      <c r="C1" s="5" t="s">
        <v>26</v>
      </c>
      <c r="D1" s="6" t="s">
        <v>27</v>
      </c>
      <c r="E1" t="s">
        <v>28</v>
      </c>
    </row>
    <row r="2" spans="1:5" x14ac:dyDescent="0.25">
      <c r="A2" s="4">
        <v>41275</v>
      </c>
      <c r="B2">
        <v>276</v>
      </c>
      <c r="E2" s="6">
        <f>AVERAGE(D5:D61)</f>
        <v>0.16843450897973994</v>
      </c>
    </row>
    <row r="3" spans="1:5" x14ac:dyDescent="0.25">
      <c r="A3" s="4">
        <v>41306</v>
      </c>
      <c r="B3">
        <v>276</v>
      </c>
    </row>
    <row r="4" spans="1:5" x14ac:dyDescent="0.25">
      <c r="A4" s="4">
        <v>41334</v>
      </c>
      <c r="B4">
        <v>378</v>
      </c>
      <c r="E4" s="8" t="s">
        <v>29</v>
      </c>
    </row>
    <row r="5" spans="1:5" x14ac:dyDescent="0.25">
      <c r="A5" s="4">
        <v>41365</v>
      </c>
      <c r="B5">
        <v>417</v>
      </c>
      <c r="C5" s="5">
        <f>AVERAGE(B2:B4)</f>
        <v>310</v>
      </c>
      <c r="D5" s="6">
        <f>ABS(B5-C5)/B5</f>
        <v>0.25659472422062352</v>
      </c>
      <c r="E5" s="5">
        <f>_xlfn.STDEV.S(B2:B61)</f>
        <v>110.76456810741695</v>
      </c>
    </row>
    <row r="6" spans="1:5" x14ac:dyDescent="0.25">
      <c r="A6" s="4">
        <v>41395</v>
      </c>
      <c r="B6">
        <v>497</v>
      </c>
      <c r="C6" s="5">
        <f t="shared" ref="C6:C61" si="0">AVERAGE(B3:B5)</f>
        <v>357</v>
      </c>
      <c r="D6" s="6">
        <f t="shared" ref="D6:D61" si="1">ABS(B6-C6)/B6</f>
        <v>0.28169014084507044</v>
      </c>
    </row>
    <row r="7" spans="1:5" x14ac:dyDescent="0.25">
      <c r="A7" s="4">
        <v>41426</v>
      </c>
      <c r="B7">
        <v>497</v>
      </c>
      <c r="C7" s="5">
        <f t="shared" si="0"/>
        <v>430.66666666666669</v>
      </c>
      <c r="D7" s="6">
        <f t="shared" si="1"/>
        <v>0.13346747149564048</v>
      </c>
      <c r="E7" s="8" t="s">
        <v>32</v>
      </c>
    </row>
    <row r="8" spans="1:5" x14ac:dyDescent="0.25">
      <c r="A8" s="4">
        <v>41456</v>
      </c>
      <c r="B8">
        <v>519</v>
      </c>
      <c r="C8" s="5">
        <f t="shared" si="0"/>
        <v>470.33333333333331</v>
      </c>
      <c r="D8" s="6">
        <f t="shared" si="1"/>
        <v>9.3770070648683396E-2</v>
      </c>
      <c r="E8" s="6">
        <f>E5/AVERAGE(B2:B61)</f>
        <v>0.21908271259090217</v>
      </c>
    </row>
    <row r="9" spans="1:5" x14ac:dyDescent="0.25">
      <c r="A9" s="4">
        <v>41487</v>
      </c>
      <c r="B9">
        <v>508</v>
      </c>
      <c r="C9" s="5">
        <f t="shared" si="0"/>
        <v>504.33333333333331</v>
      </c>
      <c r="D9" s="6">
        <f t="shared" si="1"/>
        <v>7.2178477690289086E-3</v>
      </c>
    </row>
    <row r="10" spans="1:5" x14ac:dyDescent="0.25">
      <c r="A10" s="4">
        <v>41518</v>
      </c>
      <c r="B10">
        <v>430</v>
      </c>
      <c r="C10" s="5">
        <f t="shared" si="0"/>
        <v>508</v>
      </c>
      <c r="D10" s="6">
        <f t="shared" si="1"/>
        <v>0.18139534883720931</v>
      </c>
      <c r="E10" s="8" t="s">
        <v>30</v>
      </c>
    </row>
    <row r="11" spans="1:5" x14ac:dyDescent="0.25">
      <c r="A11" s="4">
        <v>41548</v>
      </c>
      <c r="B11">
        <v>426</v>
      </c>
      <c r="C11" s="5">
        <f t="shared" si="0"/>
        <v>485.66666666666669</v>
      </c>
      <c r="D11" s="6">
        <f t="shared" si="1"/>
        <v>0.14006259780907673</v>
      </c>
      <c r="E11" s="5">
        <f>ROUNDUP(1.65*E5*SQRT(0.5),0)</f>
        <v>130</v>
      </c>
    </row>
    <row r="12" spans="1:5" x14ac:dyDescent="0.25">
      <c r="A12" s="4">
        <v>41579</v>
      </c>
      <c r="B12">
        <v>422</v>
      </c>
      <c r="C12" s="5">
        <f t="shared" si="0"/>
        <v>454.66666666666669</v>
      </c>
      <c r="D12" s="6">
        <f t="shared" si="1"/>
        <v>7.7409162717219634E-2</v>
      </c>
    </row>
    <row r="13" spans="1:5" x14ac:dyDescent="0.25">
      <c r="A13" s="4">
        <v>41609</v>
      </c>
      <c r="B13">
        <v>356</v>
      </c>
      <c r="C13" s="5">
        <f t="shared" si="0"/>
        <v>426</v>
      </c>
      <c r="D13" s="6">
        <f t="shared" si="1"/>
        <v>0.19662921348314608</v>
      </c>
      <c r="E13" s="8" t="s">
        <v>31</v>
      </c>
    </row>
    <row r="14" spans="1:5" x14ac:dyDescent="0.25">
      <c r="A14" s="4">
        <v>41640</v>
      </c>
      <c r="B14">
        <v>330</v>
      </c>
      <c r="C14" s="5">
        <f t="shared" si="0"/>
        <v>401.33333333333331</v>
      </c>
      <c r="D14" s="6">
        <f t="shared" si="1"/>
        <v>0.21616161616161611</v>
      </c>
      <c r="E14" s="5">
        <f>ROUNDUP((AVERAGE(B2:B61)*0.5)+E11,0)</f>
        <v>383</v>
      </c>
    </row>
    <row r="15" spans="1:5" x14ac:dyDescent="0.25">
      <c r="A15" s="4">
        <v>41671</v>
      </c>
      <c r="B15">
        <v>314</v>
      </c>
      <c r="C15" s="5">
        <f t="shared" si="0"/>
        <v>369.33333333333331</v>
      </c>
      <c r="D15" s="6">
        <f t="shared" si="1"/>
        <v>0.17622080679405513</v>
      </c>
    </row>
    <row r="16" spans="1:5" x14ac:dyDescent="0.25">
      <c r="A16" s="4">
        <v>41699</v>
      </c>
      <c r="B16">
        <v>472</v>
      </c>
      <c r="C16" s="5">
        <f t="shared" si="0"/>
        <v>333.33333333333331</v>
      </c>
      <c r="D16" s="6">
        <f t="shared" si="1"/>
        <v>0.29378531073446329</v>
      </c>
    </row>
    <row r="17" spans="1:4" x14ac:dyDescent="0.25">
      <c r="A17" s="4">
        <v>41730</v>
      </c>
      <c r="B17">
        <v>516</v>
      </c>
      <c r="C17" s="5">
        <f t="shared" si="0"/>
        <v>372</v>
      </c>
      <c r="D17" s="6">
        <f t="shared" si="1"/>
        <v>0.27906976744186046</v>
      </c>
    </row>
    <row r="18" spans="1:4" x14ac:dyDescent="0.25">
      <c r="A18" s="4">
        <v>41760</v>
      </c>
      <c r="B18">
        <v>598</v>
      </c>
      <c r="C18" s="5">
        <f t="shared" si="0"/>
        <v>434</v>
      </c>
      <c r="D18" s="6">
        <f t="shared" si="1"/>
        <v>0.27424749163879597</v>
      </c>
    </row>
    <row r="19" spans="1:4" x14ac:dyDescent="0.25">
      <c r="A19" s="4">
        <v>41791</v>
      </c>
      <c r="B19">
        <v>565</v>
      </c>
      <c r="C19" s="5">
        <f t="shared" si="0"/>
        <v>528.66666666666663</v>
      </c>
      <c r="D19" s="6">
        <f t="shared" si="1"/>
        <v>6.430678466076703E-2</v>
      </c>
    </row>
    <row r="20" spans="1:4" x14ac:dyDescent="0.25">
      <c r="A20" s="4">
        <v>41821</v>
      </c>
      <c r="B20">
        <v>634</v>
      </c>
      <c r="C20" s="5">
        <f t="shared" si="0"/>
        <v>559.66666666666663</v>
      </c>
      <c r="D20" s="6">
        <f t="shared" si="1"/>
        <v>0.11724500525762362</v>
      </c>
    </row>
    <row r="21" spans="1:4" x14ac:dyDescent="0.25">
      <c r="A21" s="4">
        <v>41852</v>
      </c>
      <c r="B21">
        <v>589</v>
      </c>
      <c r="C21" s="5">
        <f t="shared" si="0"/>
        <v>599</v>
      </c>
      <c r="D21" s="6">
        <f t="shared" si="1"/>
        <v>1.6977928692699491E-2</v>
      </c>
    </row>
    <row r="22" spans="1:4" x14ac:dyDescent="0.25">
      <c r="A22" s="4">
        <v>41883</v>
      </c>
      <c r="B22">
        <v>473</v>
      </c>
      <c r="C22" s="5">
        <f t="shared" si="0"/>
        <v>596</v>
      </c>
      <c r="D22" s="6">
        <f t="shared" si="1"/>
        <v>0.26004228329809725</v>
      </c>
    </row>
    <row r="23" spans="1:4" x14ac:dyDescent="0.25">
      <c r="A23" s="4">
        <v>41913</v>
      </c>
      <c r="B23">
        <v>465</v>
      </c>
      <c r="C23" s="5">
        <f t="shared" si="0"/>
        <v>565.33333333333337</v>
      </c>
      <c r="D23" s="6">
        <f t="shared" si="1"/>
        <v>0.2157706093189965</v>
      </c>
    </row>
    <row r="24" spans="1:4" x14ac:dyDescent="0.25">
      <c r="A24" s="4">
        <v>41944</v>
      </c>
      <c r="B24">
        <v>501</v>
      </c>
      <c r="C24" s="5">
        <f t="shared" si="0"/>
        <v>509</v>
      </c>
      <c r="D24" s="6">
        <f t="shared" si="1"/>
        <v>1.5968063872255488E-2</v>
      </c>
    </row>
    <row r="25" spans="1:4" x14ac:dyDescent="0.25">
      <c r="A25" s="4">
        <v>41974</v>
      </c>
      <c r="B25">
        <v>343</v>
      </c>
      <c r="C25" s="5">
        <f t="shared" si="0"/>
        <v>479.66666666666669</v>
      </c>
      <c r="D25" s="6">
        <f t="shared" si="1"/>
        <v>0.39844509232264341</v>
      </c>
    </row>
    <row r="26" spans="1:4" x14ac:dyDescent="0.25">
      <c r="A26" s="4">
        <v>42005</v>
      </c>
      <c r="B26">
        <v>367</v>
      </c>
      <c r="C26" s="5">
        <f t="shared" si="0"/>
        <v>436.33333333333331</v>
      </c>
      <c r="D26" s="6">
        <f t="shared" si="1"/>
        <v>0.18891916439600359</v>
      </c>
    </row>
    <row r="27" spans="1:4" x14ac:dyDescent="0.25">
      <c r="A27" s="4">
        <v>42036</v>
      </c>
      <c r="B27">
        <v>335</v>
      </c>
      <c r="C27" s="5">
        <f t="shared" si="0"/>
        <v>403.66666666666669</v>
      </c>
      <c r="D27" s="6">
        <f t="shared" si="1"/>
        <v>0.2049751243781095</v>
      </c>
    </row>
    <row r="28" spans="1:4" x14ac:dyDescent="0.25">
      <c r="A28" s="4">
        <v>42064</v>
      </c>
      <c r="B28">
        <v>470</v>
      </c>
      <c r="C28" s="5">
        <f t="shared" si="0"/>
        <v>348.33333333333331</v>
      </c>
      <c r="D28" s="6">
        <f t="shared" si="1"/>
        <v>0.2588652482269504</v>
      </c>
    </row>
    <row r="29" spans="1:4" x14ac:dyDescent="0.25">
      <c r="A29" s="4">
        <v>42095</v>
      </c>
      <c r="B29">
        <v>495</v>
      </c>
      <c r="C29" s="5">
        <f t="shared" si="0"/>
        <v>390.66666666666669</v>
      </c>
      <c r="D29" s="6">
        <f t="shared" si="1"/>
        <v>0.21077441077441073</v>
      </c>
    </row>
    <row r="30" spans="1:4" x14ac:dyDescent="0.25">
      <c r="A30" s="4">
        <v>42125</v>
      </c>
      <c r="B30">
        <v>559</v>
      </c>
      <c r="C30" s="5">
        <f t="shared" si="0"/>
        <v>433.33333333333331</v>
      </c>
      <c r="D30" s="6">
        <f t="shared" si="1"/>
        <v>0.22480620155038764</v>
      </c>
    </row>
    <row r="31" spans="1:4" x14ac:dyDescent="0.25">
      <c r="A31" s="4">
        <v>42156</v>
      </c>
      <c r="B31">
        <v>614</v>
      </c>
      <c r="C31" s="5">
        <f t="shared" si="0"/>
        <v>508</v>
      </c>
      <c r="D31" s="6">
        <f t="shared" si="1"/>
        <v>0.17263843648208468</v>
      </c>
    </row>
    <row r="32" spans="1:4" x14ac:dyDescent="0.25">
      <c r="A32" s="4">
        <v>42186</v>
      </c>
      <c r="B32">
        <v>632</v>
      </c>
      <c r="C32" s="5">
        <f t="shared" si="0"/>
        <v>556</v>
      </c>
      <c r="D32" s="6">
        <f t="shared" si="1"/>
        <v>0.12025316455696203</v>
      </c>
    </row>
    <row r="33" spans="1:4" x14ac:dyDescent="0.25">
      <c r="A33" s="4">
        <v>42217</v>
      </c>
      <c r="B33">
        <v>616</v>
      </c>
      <c r="C33" s="5">
        <f t="shared" si="0"/>
        <v>601.66666666666663</v>
      </c>
      <c r="D33" s="6">
        <f t="shared" si="1"/>
        <v>2.3268398268398331E-2</v>
      </c>
    </row>
    <row r="34" spans="1:4" x14ac:dyDescent="0.25">
      <c r="A34" s="4">
        <v>42248</v>
      </c>
      <c r="B34">
        <v>511</v>
      </c>
      <c r="C34" s="5">
        <f t="shared" si="0"/>
        <v>620.66666666666663</v>
      </c>
      <c r="D34" s="6">
        <f t="shared" si="1"/>
        <v>0.21461187214611865</v>
      </c>
    </row>
    <row r="35" spans="1:4" x14ac:dyDescent="0.25">
      <c r="A35" s="4">
        <v>42278</v>
      </c>
      <c r="B35">
        <v>486</v>
      </c>
      <c r="C35" s="5">
        <f t="shared" si="0"/>
        <v>586.33333333333337</v>
      </c>
      <c r="D35" s="6">
        <f t="shared" si="1"/>
        <v>0.20644718792866948</v>
      </c>
    </row>
    <row r="36" spans="1:4" x14ac:dyDescent="0.25">
      <c r="A36" s="4">
        <v>42309</v>
      </c>
      <c r="B36">
        <v>509</v>
      </c>
      <c r="C36" s="5">
        <f t="shared" si="0"/>
        <v>537.66666666666663</v>
      </c>
      <c r="D36" s="6">
        <f t="shared" si="1"/>
        <v>5.6319580877537578E-2</v>
      </c>
    </row>
    <row r="37" spans="1:4" x14ac:dyDescent="0.25">
      <c r="A37" s="4">
        <v>42339</v>
      </c>
      <c r="B37">
        <v>380</v>
      </c>
      <c r="C37" s="5">
        <f t="shared" si="0"/>
        <v>502</v>
      </c>
      <c r="D37" s="6">
        <f t="shared" si="1"/>
        <v>0.32105263157894737</v>
      </c>
    </row>
    <row r="38" spans="1:4" x14ac:dyDescent="0.25">
      <c r="A38" s="4">
        <v>42370</v>
      </c>
      <c r="B38">
        <v>413</v>
      </c>
      <c r="C38" s="5">
        <f t="shared" si="0"/>
        <v>458.33333333333331</v>
      </c>
      <c r="D38" s="6">
        <f t="shared" si="1"/>
        <v>0.1097659402744148</v>
      </c>
    </row>
    <row r="39" spans="1:4" x14ac:dyDescent="0.25">
      <c r="A39" s="4">
        <v>42401</v>
      </c>
      <c r="B39">
        <v>417</v>
      </c>
      <c r="C39" s="5">
        <f t="shared" si="0"/>
        <v>434</v>
      </c>
      <c r="D39" s="6">
        <f t="shared" si="1"/>
        <v>4.0767386091127102E-2</v>
      </c>
    </row>
    <row r="40" spans="1:4" x14ac:dyDescent="0.25">
      <c r="A40" s="4">
        <v>42430</v>
      </c>
      <c r="B40">
        <v>515</v>
      </c>
      <c r="C40" s="5">
        <f t="shared" si="0"/>
        <v>403.33333333333331</v>
      </c>
      <c r="D40" s="6">
        <f t="shared" si="1"/>
        <v>0.21682847896440133</v>
      </c>
    </row>
    <row r="41" spans="1:4" x14ac:dyDescent="0.25">
      <c r="A41" s="4">
        <v>42461</v>
      </c>
      <c r="B41">
        <v>581</v>
      </c>
      <c r="C41" s="5">
        <f t="shared" si="0"/>
        <v>448.33333333333331</v>
      </c>
      <c r="D41" s="6">
        <f t="shared" si="1"/>
        <v>0.2283419391853127</v>
      </c>
    </row>
    <row r="42" spans="1:4" x14ac:dyDescent="0.25">
      <c r="A42" s="4">
        <v>42491</v>
      </c>
      <c r="B42">
        <v>619</v>
      </c>
      <c r="C42" s="5">
        <f t="shared" si="0"/>
        <v>504.33333333333331</v>
      </c>
      <c r="D42" s="6">
        <f t="shared" si="1"/>
        <v>0.18524501884760369</v>
      </c>
    </row>
    <row r="43" spans="1:4" x14ac:dyDescent="0.25">
      <c r="A43" s="4">
        <v>42522</v>
      </c>
      <c r="B43">
        <v>643</v>
      </c>
      <c r="C43" s="5">
        <f t="shared" si="0"/>
        <v>571.66666666666663</v>
      </c>
      <c r="D43" s="6">
        <f t="shared" si="1"/>
        <v>0.11093831000518409</v>
      </c>
    </row>
    <row r="44" spans="1:4" x14ac:dyDescent="0.25">
      <c r="A44" s="4">
        <v>42552</v>
      </c>
      <c r="B44">
        <v>744</v>
      </c>
      <c r="C44" s="5">
        <f t="shared" si="0"/>
        <v>614.33333333333337</v>
      </c>
      <c r="D44" s="6">
        <f t="shared" si="1"/>
        <v>0.17428315412186374</v>
      </c>
    </row>
    <row r="45" spans="1:4" x14ac:dyDescent="0.25">
      <c r="A45" s="4">
        <v>42583</v>
      </c>
      <c r="B45">
        <v>655</v>
      </c>
      <c r="C45" s="5">
        <f t="shared" si="0"/>
        <v>668.66666666666663</v>
      </c>
      <c r="D45" s="6">
        <f t="shared" si="1"/>
        <v>2.0865139949109358E-2</v>
      </c>
    </row>
    <row r="46" spans="1:4" x14ac:dyDescent="0.25">
      <c r="A46" s="4">
        <v>42614</v>
      </c>
      <c r="B46">
        <v>584</v>
      </c>
      <c r="C46" s="5">
        <f t="shared" si="0"/>
        <v>680.66666666666663</v>
      </c>
      <c r="D46" s="6">
        <f t="shared" si="1"/>
        <v>0.16552511415525106</v>
      </c>
    </row>
    <row r="47" spans="1:4" x14ac:dyDescent="0.25">
      <c r="A47" s="4">
        <v>42644</v>
      </c>
      <c r="B47">
        <v>565</v>
      </c>
      <c r="C47" s="5">
        <f t="shared" si="0"/>
        <v>661</v>
      </c>
      <c r="D47" s="6">
        <f t="shared" si="1"/>
        <v>0.16991150442477876</v>
      </c>
    </row>
    <row r="48" spans="1:4" x14ac:dyDescent="0.25">
      <c r="A48" s="4">
        <v>42675</v>
      </c>
      <c r="B48">
        <v>559</v>
      </c>
      <c r="C48" s="5">
        <f t="shared" si="0"/>
        <v>601.33333333333337</v>
      </c>
      <c r="D48" s="6">
        <f t="shared" si="1"/>
        <v>7.5730471079308359E-2</v>
      </c>
    </row>
    <row r="49" spans="1:4" x14ac:dyDescent="0.25">
      <c r="A49" s="4">
        <v>42705</v>
      </c>
      <c r="B49">
        <v>440</v>
      </c>
      <c r="C49" s="5">
        <f t="shared" si="0"/>
        <v>569.33333333333337</v>
      </c>
      <c r="D49" s="6">
        <f t="shared" si="1"/>
        <v>0.293939393939394</v>
      </c>
    </row>
    <row r="50" spans="1:4" x14ac:dyDescent="0.25">
      <c r="A50" s="4">
        <v>42736</v>
      </c>
      <c r="B50">
        <v>407</v>
      </c>
      <c r="C50" s="5">
        <f t="shared" si="0"/>
        <v>521.33333333333337</v>
      </c>
      <c r="D50" s="6">
        <f t="shared" si="1"/>
        <v>0.28091728091728102</v>
      </c>
    </row>
    <row r="51" spans="1:4" x14ac:dyDescent="0.25">
      <c r="A51" s="4">
        <v>42767</v>
      </c>
      <c r="B51">
        <v>432</v>
      </c>
      <c r="C51" s="5">
        <f t="shared" si="0"/>
        <v>468.66666666666669</v>
      </c>
      <c r="D51" s="6">
        <f t="shared" si="1"/>
        <v>8.4876543209876587E-2</v>
      </c>
    </row>
    <row r="52" spans="1:4" x14ac:dyDescent="0.25">
      <c r="A52" s="4">
        <v>42795</v>
      </c>
      <c r="B52">
        <v>512</v>
      </c>
      <c r="C52" s="5">
        <f t="shared" si="0"/>
        <v>426.33333333333331</v>
      </c>
      <c r="D52" s="6">
        <f t="shared" si="1"/>
        <v>0.16731770833333337</v>
      </c>
    </row>
    <row r="53" spans="1:4" x14ac:dyDescent="0.25">
      <c r="A53" s="4">
        <v>42826</v>
      </c>
      <c r="B53">
        <v>633</v>
      </c>
      <c r="C53" s="5">
        <f t="shared" si="0"/>
        <v>450.33333333333331</v>
      </c>
      <c r="D53" s="6">
        <f t="shared" si="1"/>
        <v>0.28857293312269616</v>
      </c>
    </row>
    <row r="54" spans="1:4" x14ac:dyDescent="0.25">
      <c r="A54" s="4">
        <v>42856</v>
      </c>
      <c r="B54">
        <v>653</v>
      </c>
      <c r="C54" s="5">
        <f t="shared" si="0"/>
        <v>525.66666666666663</v>
      </c>
      <c r="D54" s="6">
        <f t="shared" si="1"/>
        <v>0.19499744767738647</v>
      </c>
    </row>
    <row r="55" spans="1:4" x14ac:dyDescent="0.25">
      <c r="A55" s="4">
        <v>42887</v>
      </c>
      <c r="B55">
        <v>686</v>
      </c>
      <c r="C55" s="5">
        <f t="shared" si="0"/>
        <v>599.33333333333337</v>
      </c>
      <c r="D55" s="6">
        <f t="shared" si="1"/>
        <v>0.12633624878522831</v>
      </c>
    </row>
    <row r="56" spans="1:4" x14ac:dyDescent="0.25">
      <c r="A56" s="4">
        <v>42917</v>
      </c>
      <c r="B56">
        <v>699</v>
      </c>
      <c r="C56" s="5">
        <f t="shared" si="0"/>
        <v>657.33333333333337</v>
      </c>
      <c r="D56" s="6">
        <f t="shared" si="1"/>
        <v>5.9608965188364275E-2</v>
      </c>
    </row>
    <row r="57" spans="1:4" x14ac:dyDescent="0.25">
      <c r="A57" s="4">
        <v>42948</v>
      </c>
      <c r="B57">
        <v>637</v>
      </c>
      <c r="C57" s="5">
        <f t="shared" si="0"/>
        <v>679.33333333333337</v>
      </c>
      <c r="D57" s="6">
        <f t="shared" si="1"/>
        <v>6.6457352171637951E-2</v>
      </c>
    </row>
    <row r="58" spans="1:4" x14ac:dyDescent="0.25">
      <c r="A58" s="4">
        <v>42979</v>
      </c>
      <c r="B58">
        <v>589</v>
      </c>
      <c r="C58" s="5">
        <f t="shared" si="0"/>
        <v>674</v>
      </c>
      <c r="D58" s="6">
        <f t="shared" si="1"/>
        <v>0.14431239388794567</v>
      </c>
    </row>
    <row r="59" spans="1:4" x14ac:dyDescent="0.25">
      <c r="A59" s="4">
        <v>43009</v>
      </c>
      <c r="B59">
        <v>565</v>
      </c>
      <c r="C59" s="5">
        <f t="shared" si="0"/>
        <v>641.66666666666663</v>
      </c>
      <c r="D59" s="6">
        <f t="shared" si="1"/>
        <v>0.13569321533923298</v>
      </c>
    </row>
    <row r="60" spans="1:4" x14ac:dyDescent="0.25">
      <c r="A60" s="4">
        <v>43040</v>
      </c>
      <c r="B60">
        <v>575</v>
      </c>
      <c r="C60" s="5">
        <f t="shared" si="0"/>
        <v>597</v>
      </c>
      <c r="D60" s="6">
        <f t="shared" si="1"/>
        <v>3.826086956521739E-2</v>
      </c>
    </row>
    <row r="61" spans="1:4" x14ac:dyDescent="0.25">
      <c r="A61" s="4">
        <v>43070</v>
      </c>
      <c r="B61">
        <v>436</v>
      </c>
      <c r="C61" s="5">
        <f t="shared" si="0"/>
        <v>576.33333333333337</v>
      </c>
      <c r="D61" s="6">
        <f t="shared" si="1"/>
        <v>0.32186544342507656</v>
      </c>
    </row>
    <row r="62" spans="1:4" x14ac:dyDescent="0.25">
      <c r="A62" s="4">
        <v>43101</v>
      </c>
      <c r="C62" s="5">
        <f>AVERAGE(B59:B61)</f>
        <v>525.33333333333337</v>
      </c>
    </row>
    <row r="63" spans="1:4" x14ac:dyDescent="0.25">
      <c r="A63" s="4"/>
    </row>
    <row r="64" spans="1:4" x14ac:dyDescent="0.25">
      <c r="A64" s="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D8BF-8D94-48EA-BB24-EAA1897CDA53}">
  <dimension ref="A1:F6"/>
  <sheetViews>
    <sheetView workbookViewId="0">
      <selection activeCell="L13" sqref="L13"/>
    </sheetView>
  </sheetViews>
  <sheetFormatPr defaultRowHeight="15" x14ac:dyDescent="0.25"/>
  <cols>
    <col min="1" max="1" width="7.42578125" bestFit="1" customWidth="1"/>
    <col min="2" max="2" width="26.5703125" style="5" bestFit="1" customWidth="1"/>
    <col min="3" max="3" width="20.5703125" bestFit="1" customWidth="1"/>
    <col min="4" max="4" width="24.7109375" bestFit="1" customWidth="1"/>
    <col min="5" max="5" width="14.42578125" bestFit="1" customWidth="1"/>
    <col min="6" max="6" width="15.85546875" bestFit="1" customWidth="1"/>
  </cols>
  <sheetData>
    <row r="1" spans="1:6" x14ac:dyDescent="0.25">
      <c r="A1" s="3" t="s">
        <v>33</v>
      </c>
      <c r="B1" s="5" t="s">
        <v>34</v>
      </c>
      <c r="C1" t="s">
        <v>29</v>
      </c>
      <c r="D1" t="s">
        <v>32</v>
      </c>
      <c r="E1" t="s">
        <v>30</v>
      </c>
      <c r="F1" t="s">
        <v>31</v>
      </c>
    </row>
    <row r="2" spans="1:6" x14ac:dyDescent="0.25">
      <c r="A2">
        <v>1</v>
      </c>
      <c r="B2" s="5">
        <f>AVERAGE('Item 1 3 Month Moving Avg'!B2:B61)</f>
        <v>607.79999999999995</v>
      </c>
      <c r="C2" s="5">
        <f>'Item 1 3 Month Moving Avg'!E5</f>
        <v>139.27534002465433</v>
      </c>
      <c r="D2" s="6">
        <f>'Item 1 3 Month Moving Avg'!E8</f>
        <v>0.2291466601261177</v>
      </c>
      <c r="E2" s="5">
        <f>'Item 1 3 Month Moving Avg'!E11</f>
        <v>163</v>
      </c>
      <c r="F2" s="5">
        <f>'Item 1 3 Month Moving Avg'!E14</f>
        <v>467</v>
      </c>
    </row>
    <row r="3" spans="1:6" x14ac:dyDescent="0.25">
      <c r="A3">
        <v>2</v>
      </c>
      <c r="B3" s="5">
        <f>AVERAGE('Item 2'!B2:B61)</f>
        <v>1617.5</v>
      </c>
      <c r="C3" s="5">
        <f>'Item 2'!E5</f>
        <v>356.84975236464976</v>
      </c>
      <c r="D3" s="6">
        <f>'Item 2'!E8</f>
        <v>0.2206180849240493</v>
      </c>
      <c r="E3" s="5">
        <f>'Item 2'!E11</f>
        <v>417</v>
      </c>
      <c r="F3" s="5">
        <f>'Item 2'!E14</f>
        <v>1226</v>
      </c>
    </row>
    <row r="4" spans="1:6" x14ac:dyDescent="0.25">
      <c r="A4">
        <v>3</v>
      </c>
      <c r="B4" s="5">
        <f>AVERAGE('Item 3'!B2:B61)</f>
        <v>1010.6333333333333</v>
      </c>
      <c r="C4" s="5">
        <f>'Item 3'!E5</f>
        <v>224.43578725076355</v>
      </c>
      <c r="D4" s="6">
        <f>'Item 3'!E8</f>
        <v>0.22207439617147356</v>
      </c>
      <c r="E4" s="5">
        <f>'Item 3'!E11</f>
        <v>262</v>
      </c>
      <c r="F4" s="5">
        <f>'Item 3'!E14</f>
        <v>768</v>
      </c>
    </row>
    <row r="5" spans="1:6" x14ac:dyDescent="0.25">
      <c r="A5">
        <v>4</v>
      </c>
      <c r="B5" s="5">
        <f>AVERAGE('Item 4'!B2:B61)</f>
        <v>607.33333333333337</v>
      </c>
      <c r="C5" s="5">
        <f>'Item 4'!E5</f>
        <v>133.66206650579232</v>
      </c>
      <c r="D5" s="6">
        <f>'Item 4'!E8</f>
        <v>0.22008024122797856</v>
      </c>
      <c r="E5" s="5">
        <f>'Item 4'!E11</f>
        <v>156</v>
      </c>
      <c r="F5" s="5">
        <f>'Item 4'!E14</f>
        <v>460</v>
      </c>
    </row>
    <row r="6" spans="1:6" x14ac:dyDescent="0.25">
      <c r="A6">
        <v>5</v>
      </c>
      <c r="B6" s="5">
        <f>AVERAGE('Item 5'!B2:B61)</f>
        <v>505.58333333333331</v>
      </c>
      <c r="C6" s="5">
        <f>'Item 5'!E5</f>
        <v>110.76456810741695</v>
      </c>
      <c r="D6" s="6">
        <f>'Item 5'!E8</f>
        <v>0.21908271259090217</v>
      </c>
      <c r="E6" s="5">
        <f>'Item 5'!E11</f>
        <v>130</v>
      </c>
      <c r="F6" s="5">
        <f>'Item 5'!E14</f>
        <v>383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15D0-9682-44B0-AB8B-180F036CA78C}">
  <dimension ref="A18:F35"/>
  <sheetViews>
    <sheetView showGridLines="0" zoomScaleNormal="100" workbookViewId="0">
      <selection activeCell="X36" sqref="X36"/>
    </sheetView>
  </sheetViews>
  <sheetFormatPr defaultRowHeight="15" x14ac:dyDescent="0.25"/>
  <cols>
    <col min="1" max="1" width="9.42578125" customWidth="1"/>
    <col min="2" max="2" width="24.28515625" bestFit="1" customWidth="1"/>
    <col min="3" max="3" width="18.28515625" bestFit="1" customWidth="1"/>
    <col min="4" max="4" width="22.42578125" bestFit="1" customWidth="1"/>
    <col min="5" max="5" width="12.140625" bestFit="1" customWidth="1"/>
    <col min="6" max="6" width="13.5703125" bestFit="1" customWidth="1"/>
  </cols>
  <sheetData>
    <row r="18" spans="1:6" ht="15.75" thickBot="1" x14ac:dyDescent="0.3"/>
    <row r="19" spans="1:6" ht="15.75" thickBot="1" x14ac:dyDescent="0.3">
      <c r="A19" s="13" t="s">
        <v>33</v>
      </c>
      <c r="B19" s="14" t="s">
        <v>34</v>
      </c>
      <c r="C19" s="11" t="s">
        <v>29</v>
      </c>
      <c r="D19" s="11" t="s">
        <v>32</v>
      </c>
      <c r="E19" s="11" t="s">
        <v>30</v>
      </c>
      <c r="F19" s="11" t="s">
        <v>31</v>
      </c>
    </row>
    <row r="20" spans="1:6" x14ac:dyDescent="0.25">
      <c r="A20" s="12">
        <v>1</v>
      </c>
      <c r="B20" s="15">
        <v>607.79999999999995</v>
      </c>
      <c r="C20" s="15">
        <v>139.27534002465433</v>
      </c>
      <c r="D20" s="16">
        <v>0.2291466601261177</v>
      </c>
      <c r="E20" s="15">
        <v>163</v>
      </c>
      <c r="F20" s="15">
        <v>467</v>
      </c>
    </row>
    <row r="21" spans="1:6" x14ac:dyDescent="0.25">
      <c r="A21">
        <v>2</v>
      </c>
      <c r="B21" s="5">
        <v>1617.5</v>
      </c>
      <c r="C21" s="5">
        <v>356.84975236464976</v>
      </c>
      <c r="D21" s="6">
        <v>0.2206180849240493</v>
      </c>
      <c r="E21" s="5">
        <v>417</v>
      </c>
      <c r="F21" s="5">
        <v>1226</v>
      </c>
    </row>
    <row r="22" spans="1:6" x14ac:dyDescent="0.25">
      <c r="A22" s="12">
        <v>3</v>
      </c>
      <c r="B22" s="15">
        <v>1010.6333333333333</v>
      </c>
      <c r="C22" s="15">
        <v>224.43578725076355</v>
      </c>
      <c r="D22" s="16">
        <v>0.22207439617147356</v>
      </c>
      <c r="E22" s="15">
        <v>262</v>
      </c>
      <c r="F22" s="15">
        <v>768</v>
      </c>
    </row>
    <row r="23" spans="1:6" x14ac:dyDescent="0.25">
      <c r="A23">
        <v>4</v>
      </c>
      <c r="B23" s="5">
        <v>607.33333333333337</v>
      </c>
      <c r="C23" s="5">
        <v>133.66206650579232</v>
      </c>
      <c r="D23" s="6">
        <v>0.22008024122797856</v>
      </c>
      <c r="E23" s="5">
        <v>156</v>
      </c>
      <c r="F23" s="5">
        <v>460</v>
      </c>
    </row>
    <row r="24" spans="1:6" ht="15.75" thickBot="1" x14ac:dyDescent="0.3">
      <c r="A24" s="10">
        <v>5</v>
      </c>
      <c r="B24" s="17">
        <v>505.58333333333331</v>
      </c>
      <c r="C24" s="17">
        <v>110.76456810741695</v>
      </c>
      <c r="D24" s="18">
        <v>0.21908271259090217</v>
      </c>
      <c r="E24" s="17">
        <v>130</v>
      </c>
      <c r="F24" s="17">
        <v>383</v>
      </c>
    </row>
    <row r="26" spans="1:6" x14ac:dyDescent="0.25">
      <c r="A26" t="s">
        <v>33</v>
      </c>
      <c r="B26" s="9" t="s">
        <v>35</v>
      </c>
    </row>
    <row r="27" spans="1:6" x14ac:dyDescent="0.25">
      <c r="A27">
        <v>1</v>
      </c>
      <c r="B27" s="6">
        <f>'Item 1 3 Month Moving Avg'!E2</f>
        <v>0.18942400235451998</v>
      </c>
    </row>
    <row r="28" spans="1:6" x14ac:dyDescent="0.25">
      <c r="A28">
        <v>2</v>
      </c>
      <c r="B28" s="6">
        <f>'Item 2'!E2</f>
        <v>0.17313146751994721</v>
      </c>
    </row>
    <row r="29" spans="1:6" x14ac:dyDescent="0.25">
      <c r="A29">
        <v>3</v>
      </c>
      <c r="B29" s="6">
        <f>'Item 3'!E2</f>
        <v>0.17857717995799713</v>
      </c>
    </row>
    <row r="30" spans="1:6" x14ac:dyDescent="0.25">
      <c r="A30">
        <v>4</v>
      </c>
      <c r="B30" s="6">
        <f>'Item 4'!E2</f>
        <v>0.17614708497174494</v>
      </c>
    </row>
    <row r="31" spans="1:6" x14ac:dyDescent="0.25">
      <c r="A31">
        <v>5</v>
      </c>
      <c r="B31" s="6">
        <f>'Item 5'!E2</f>
        <v>0.16843450897973994</v>
      </c>
    </row>
    <row r="33" spans="1:3" x14ac:dyDescent="0.25">
      <c r="A33" t="s">
        <v>44</v>
      </c>
      <c r="B33" t="s">
        <v>45</v>
      </c>
      <c r="C33" t="s">
        <v>46</v>
      </c>
    </row>
    <row r="34" spans="1:3" x14ac:dyDescent="0.25">
      <c r="B34" t="s">
        <v>26</v>
      </c>
      <c r="C34" s="6">
        <f>'Item 1 Exponential Smoothing'!K2</f>
        <v>0.19908582970507901</v>
      </c>
    </row>
    <row r="35" spans="1:3" x14ac:dyDescent="0.25">
      <c r="B35" t="s">
        <v>47</v>
      </c>
      <c r="C35" s="6">
        <f>'Item 1 Exponential Smoothing'!J2</f>
        <v>9.7805311951371043E-2</v>
      </c>
    </row>
  </sheetData>
  <conditionalFormatting sqref="B27:B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C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D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Pivot Table</vt:lpstr>
      <vt:lpstr>Seasonality Chart</vt:lpstr>
      <vt:lpstr>Item 1 3 Month Moving Avg</vt:lpstr>
      <vt:lpstr>Item 1 Exponential Smoothing</vt:lpstr>
      <vt:lpstr>Item 2</vt:lpstr>
      <vt:lpstr>Item 3</vt:lpstr>
      <vt:lpstr>Item 4</vt:lpstr>
      <vt:lpstr>Item 5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//</cp:lastModifiedBy>
  <dcterms:created xsi:type="dcterms:W3CDTF">2026-08-10T08:28:18Z</dcterms:created>
  <dcterms:modified xsi:type="dcterms:W3CDTF">2026-08-28T09:28:20Z</dcterms:modified>
</cp:coreProperties>
</file>